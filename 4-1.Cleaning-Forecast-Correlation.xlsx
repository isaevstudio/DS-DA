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hidePivotFieldList="1"/>
  <mc:AlternateContent xmlns:mc="http://schemas.openxmlformats.org/markup-compatibility/2006">
    <mc:Choice Requires="x15">
      <x15ac:absPath xmlns:x15ac="http://schemas.microsoft.com/office/spreadsheetml/2010/11/ac" url="/Volumes/Parviz New/Desktop MAC/HUMO-Courses/"/>
    </mc:Choice>
  </mc:AlternateContent>
  <xr:revisionPtr revIDLastSave="0" documentId="13_ncr:1_{EB2755DB-37B3-C24F-8776-9CB3129807E0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1" sheetId="2" r:id="rId1"/>
    <sheet name="2" sheetId="3" r:id="rId2"/>
    <sheet name="3" sheetId="4" r:id="rId3"/>
    <sheet name="4" sheetId="5" r:id="rId4"/>
    <sheet name="5 pivotchart" sheetId="7" r:id="rId5"/>
    <sheet name="Correlation" sheetId="8" r:id="rId6"/>
    <sheet name="Forecast" sheetId="9" r:id="rId7"/>
    <sheet name=" Final" sheetId="10" r:id="rId8"/>
  </sheets>
  <definedNames>
    <definedName name="_xlnm._FilterDatabase" localSheetId="0" hidden="1">'1'!$A$1:$D$1</definedName>
    <definedName name="_xlnm._FilterDatabase" localSheetId="2" hidden="1">'3'!$A$1:$J$1125</definedName>
    <definedName name="rate">'3'!$S$1</definedName>
    <definedName name="Slicer_Количество_лиц_в_семье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" i="9" l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B5" i="9"/>
  <c r="B6" i="9"/>
  <c r="B7" i="9" s="1"/>
  <c r="B8" i="9" s="1"/>
  <c r="B9" i="9" s="1"/>
  <c r="B10" i="9"/>
  <c r="B11" i="9" s="1"/>
  <c r="B12" i="9" s="1"/>
  <c r="B13" i="9" s="1"/>
  <c r="B14" i="9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J6" i="4"/>
  <c r="J134" i="4"/>
  <c r="J262" i="4"/>
  <c r="J443" i="4"/>
  <c r="J779" i="4"/>
  <c r="J1116" i="4"/>
  <c r="J1117" i="4"/>
  <c r="J1118" i="4"/>
  <c r="J1119" i="4"/>
  <c r="J1120" i="4"/>
  <c r="J1121" i="4"/>
  <c r="J1122" i="4"/>
  <c r="J1123" i="4"/>
  <c r="J1124" i="4"/>
  <c r="H3" i="4"/>
  <c r="I3" i="4" s="1"/>
  <c r="H4" i="4"/>
  <c r="I4" i="4" s="1"/>
  <c r="H5" i="4"/>
  <c r="I5" i="4"/>
  <c r="H6" i="4"/>
  <c r="I6" i="4" s="1"/>
  <c r="H7" i="4"/>
  <c r="I7" i="4" s="1"/>
  <c r="H8" i="4"/>
  <c r="I8" i="4" s="1"/>
  <c r="H9" i="4"/>
  <c r="I9" i="4"/>
  <c r="H10" i="4"/>
  <c r="I10" i="4" s="1"/>
  <c r="H11" i="4"/>
  <c r="I11" i="4" s="1"/>
  <c r="J2" i="4" s="1"/>
  <c r="H12" i="4"/>
  <c r="I12" i="4" s="1"/>
  <c r="J3" i="4" s="1"/>
  <c r="H13" i="4"/>
  <c r="I13" i="4"/>
  <c r="J4" i="4" s="1"/>
  <c r="H14" i="4"/>
  <c r="I14" i="4" s="1"/>
  <c r="J5" i="4" s="1"/>
  <c r="H15" i="4"/>
  <c r="I15" i="4" s="1"/>
  <c r="H16" i="4"/>
  <c r="I16" i="4" s="1"/>
  <c r="J7" i="4" s="1"/>
  <c r="H17" i="4"/>
  <c r="I17" i="4"/>
  <c r="J8" i="4" s="1"/>
  <c r="H18" i="4"/>
  <c r="I18" i="4" s="1"/>
  <c r="J9" i="4" s="1"/>
  <c r="H19" i="4"/>
  <c r="I19" i="4" s="1"/>
  <c r="J10" i="4" s="1"/>
  <c r="H20" i="4"/>
  <c r="I20" i="4" s="1"/>
  <c r="J11" i="4" s="1"/>
  <c r="H21" i="4"/>
  <c r="I21" i="4" s="1"/>
  <c r="J12" i="4" s="1"/>
  <c r="H22" i="4"/>
  <c r="I22" i="4" s="1"/>
  <c r="J13" i="4" s="1"/>
  <c r="H23" i="4"/>
  <c r="I23" i="4" s="1"/>
  <c r="J14" i="4" s="1"/>
  <c r="H24" i="4"/>
  <c r="I24" i="4" s="1"/>
  <c r="J15" i="4" s="1"/>
  <c r="H25" i="4"/>
  <c r="I25" i="4" s="1"/>
  <c r="J16" i="4" s="1"/>
  <c r="H26" i="4"/>
  <c r="I26" i="4" s="1"/>
  <c r="J17" i="4" s="1"/>
  <c r="H27" i="4"/>
  <c r="I27" i="4" s="1"/>
  <c r="J18" i="4" s="1"/>
  <c r="H28" i="4"/>
  <c r="I28" i="4" s="1"/>
  <c r="J19" i="4" s="1"/>
  <c r="H29" i="4"/>
  <c r="I29" i="4" s="1"/>
  <c r="J20" i="4" s="1"/>
  <c r="H30" i="4"/>
  <c r="I30" i="4" s="1"/>
  <c r="J21" i="4" s="1"/>
  <c r="H31" i="4"/>
  <c r="I31" i="4" s="1"/>
  <c r="J22" i="4" s="1"/>
  <c r="H32" i="4"/>
  <c r="I32" i="4" s="1"/>
  <c r="J23" i="4" s="1"/>
  <c r="H33" i="4"/>
  <c r="I33" i="4" s="1"/>
  <c r="J24" i="4" s="1"/>
  <c r="H34" i="4"/>
  <c r="I34" i="4" s="1"/>
  <c r="J25" i="4" s="1"/>
  <c r="H35" i="4"/>
  <c r="I35" i="4" s="1"/>
  <c r="J26" i="4" s="1"/>
  <c r="H36" i="4"/>
  <c r="I36" i="4" s="1"/>
  <c r="J27" i="4" s="1"/>
  <c r="H37" i="4"/>
  <c r="I37" i="4"/>
  <c r="J28" i="4" s="1"/>
  <c r="H38" i="4"/>
  <c r="I38" i="4" s="1"/>
  <c r="J29" i="4" s="1"/>
  <c r="H39" i="4"/>
  <c r="I39" i="4" s="1"/>
  <c r="J30" i="4" s="1"/>
  <c r="H40" i="4"/>
  <c r="I40" i="4" s="1"/>
  <c r="J31" i="4" s="1"/>
  <c r="H41" i="4"/>
  <c r="I41" i="4"/>
  <c r="J32" i="4" s="1"/>
  <c r="H42" i="4"/>
  <c r="I42" i="4" s="1"/>
  <c r="J33" i="4" s="1"/>
  <c r="H43" i="4"/>
  <c r="I43" i="4" s="1"/>
  <c r="J34" i="4" s="1"/>
  <c r="H44" i="4"/>
  <c r="I44" i="4" s="1"/>
  <c r="J35" i="4" s="1"/>
  <c r="H45" i="4"/>
  <c r="I45" i="4" s="1"/>
  <c r="J36" i="4" s="1"/>
  <c r="H46" i="4"/>
  <c r="I46" i="4" s="1"/>
  <c r="J37" i="4" s="1"/>
  <c r="H47" i="4"/>
  <c r="I47" i="4" s="1"/>
  <c r="J38" i="4" s="1"/>
  <c r="H48" i="4"/>
  <c r="I48" i="4" s="1"/>
  <c r="J39" i="4" s="1"/>
  <c r="H49" i="4"/>
  <c r="I49" i="4"/>
  <c r="J40" i="4" s="1"/>
  <c r="H50" i="4"/>
  <c r="I50" i="4" s="1"/>
  <c r="J41" i="4" s="1"/>
  <c r="H51" i="4"/>
  <c r="I51" i="4" s="1"/>
  <c r="J42" i="4" s="1"/>
  <c r="H52" i="4"/>
  <c r="I52" i="4" s="1"/>
  <c r="J43" i="4" s="1"/>
  <c r="H53" i="4"/>
  <c r="I53" i="4" s="1"/>
  <c r="J44" i="4" s="1"/>
  <c r="H54" i="4"/>
  <c r="I54" i="4" s="1"/>
  <c r="J45" i="4" s="1"/>
  <c r="H55" i="4"/>
  <c r="I55" i="4" s="1"/>
  <c r="J46" i="4" s="1"/>
  <c r="H56" i="4"/>
  <c r="I56" i="4" s="1"/>
  <c r="J47" i="4" s="1"/>
  <c r="H57" i="4"/>
  <c r="I57" i="4"/>
  <c r="J48" i="4" s="1"/>
  <c r="H58" i="4"/>
  <c r="I58" i="4" s="1"/>
  <c r="J49" i="4" s="1"/>
  <c r="H59" i="4"/>
  <c r="I59" i="4" s="1"/>
  <c r="J50" i="4" s="1"/>
  <c r="H60" i="4"/>
  <c r="I60" i="4" s="1"/>
  <c r="J51" i="4" s="1"/>
  <c r="H61" i="4"/>
  <c r="I61" i="4" s="1"/>
  <c r="J52" i="4" s="1"/>
  <c r="H62" i="4"/>
  <c r="I62" i="4" s="1"/>
  <c r="J53" i="4" s="1"/>
  <c r="H63" i="4"/>
  <c r="I63" i="4" s="1"/>
  <c r="J54" i="4" s="1"/>
  <c r="H64" i="4"/>
  <c r="I64" i="4" s="1"/>
  <c r="J55" i="4" s="1"/>
  <c r="H65" i="4"/>
  <c r="I65" i="4" s="1"/>
  <c r="J56" i="4" s="1"/>
  <c r="H66" i="4"/>
  <c r="I66" i="4" s="1"/>
  <c r="J57" i="4" s="1"/>
  <c r="H67" i="4"/>
  <c r="I67" i="4" s="1"/>
  <c r="J58" i="4" s="1"/>
  <c r="H68" i="4"/>
  <c r="I68" i="4" s="1"/>
  <c r="J59" i="4" s="1"/>
  <c r="H69" i="4"/>
  <c r="I69" i="4"/>
  <c r="J60" i="4" s="1"/>
  <c r="H70" i="4"/>
  <c r="I70" i="4" s="1"/>
  <c r="J61" i="4" s="1"/>
  <c r="H71" i="4"/>
  <c r="I71" i="4" s="1"/>
  <c r="J62" i="4" s="1"/>
  <c r="H72" i="4"/>
  <c r="I72" i="4" s="1"/>
  <c r="J63" i="4" s="1"/>
  <c r="H73" i="4"/>
  <c r="I73" i="4"/>
  <c r="J64" i="4" s="1"/>
  <c r="H74" i="4"/>
  <c r="I74" i="4" s="1"/>
  <c r="J65" i="4" s="1"/>
  <c r="H75" i="4"/>
  <c r="I75" i="4" s="1"/>
  <c r="J66" i="4" s="1"/>
  <c r="H76" i="4"/>
  <c r="I76" i="4" s="1"/>
  <c r="J67" i="4" s="1"/>
  <c r="H77" i="4"/>
  <c r="I77" i="4" s="1"/>
  <c r="J68" i="4" s="1"/>
  <c r="H78" i="4"/>
  <c r="I78" i="4" s="1"/>
  <c r="J69" i="4" s="1"/>
  <c r="H79" i="4"/>
  <c r="I79" i="4" s="1"/>
  <c r="J70" i="4" s="1"/>
  <c r="H80" i="4"/>
  <c r="I80" i="4" s="1"/>
  <c r="J71" i="4" s="1"/>
  <c r="H81" i="4"/>
  <c r="I81" i="4"/>
  <c r="J72" i="4" s="1"/>
  <c r="H82" i="4"/>
  <c r="I82" i="4" s="1"/>
  <c r="J73" i="4" s="1"/>
  <c r="H83" i="4"/>
  <c r="I83" i="4" s="1"/>
  <c r="J74" i="4" s="1"/>
  <c r="H84" i="4"/>
  <c r="I84" i="4" s="1"/>
  <c r="J75" i="4" s="1"/>
  <c r="H85" i="4"/>
  <c r="I85" i="4" s="1"/>
  <c r="J76" i="4" s="1"/>
  <c r="H86" i="4"/>
  <c r="I86" i="4" s="1"/>
  <c r="J77" i="4" s="1"/>
  <c r="H87" i="4"/>
  <c r="I87" i="4" s="1"/>
  <c r="J78" i="4" s="1"/>
  <c r="H88" i="4"/>
  <c r="I88" i="4" s="1"/>
  <c r="J79" i="4" s="1"/>
  <c r="H89" i="4"/>
  <c r="I89" i="4" s="1"/>
  <c r="J80" i="4" s="1"/>
  <c r="H90" i="4"/>
  <c r="I90" i="4" s="1"/>
  <c r="J81" i="4" s="1"/>
  <c r="H91" i="4"/>
  <c r="I91" i="4" s="1"/>
  <c r="J82" i="4" s="1"/>
  <c r="H92" i="4"/>
  <c r="I92" i="4" s="1"/>
  <c r="J83" i="4" s="1"/>
  <c r="H93" i="4"/>
  <c r="I93" i="4" s="1"/>
  <c r="J84" i="4" s="1"/>
  <c r="H94" i="4"/>
  <c r="I94" i="4" s="1"/>
  <c r="J85" i="4" s="1"/>
  <c r="H95" i="4"/>
  <c r="I95" i="4" s="1"/>
  <c r="J86" i="4" s="1"/>
  <c r="H96" i="4"/>
  <c r="I96" i="4" s="1"/>
  <c r="J87" i="4" s="1"/>
  <c r="H97" i="4"/>
  <c r="I97" i="4" s="1"/>
  <c r="J88" i="4" s="1"/>
  <c r="H98" i="4"/>
  <c r="I98" i="4" s="1"/>
  <c r="J89" i="4" s="1"/>
  <c r="H99" i="4"/>
  <c r="I99" i="4" s="1"/>
  <c r="J90" i="4" s="1"/>
  <c r="H100" i="4"/>
  <c r="I100" i="4" s="1"/>
  <c r="J91" i="4" s="1"/>
  <c r="H101" i="4"/>
  <c r="I101" i="4"/>
  <c r="J92" i="4" s="1"/>
  <c r="H102" i="4"/>
  <c r="I102" i="4" s="1"/>
  <c r="J93" i="4" s="1"/>
  <c r="H103" i="4"/>
  <c r="I103" i="4" s="1"/>
  <c r="J94" i="4" s="1"/>
  <c r="H104" i="4"/>
  <c r="I104" i="4" s="1"/>
  <c r="J95" i="4" s="1"/>
  <c r="H105" i="4"/>
  <c r="I105" i="4"/>
  <c r="J96" i="4" s="1"/>
  <c r="H106" i="4"/>
  <c r="I106" i="4" s="1"/>
  <c r="J97" i="4" s="1"/>
  <c r="H107" i="4"/>
  <c r="I107" i="4" s="1"/>
  <c r="J98" i="4" s="1"/>
  <c r="H108" i="4"/>
  <c r="I108" i="4" s="1"/>
  <c r="J99" i="4" s="1"/>
  <c r="H109" i="4"/>
  <c r="I109" i="4" s="1"/>
  <c r="J100" i="4" s="1"/>
  <c r="H110" i="4"/>
  <c r="I110" i="4" s="1"/>
  <c r="J101" i="4" s="1"/>
  <c r="H111" i="4"/>
  <c r="I111" i="4" s="1"/>
  <c r="J102" i="4" s="1"/>
  <c r="H112" i="4"/>
  <c r="I112" i="4" s="1"/>
  <c r="J103" i="4" s="1"/>
  <c r="H113" i="4"/>
  <c r="I113" i="4"/>
  <c r="J104" i="4" s="1"/>
  <c r="H114" i="4"/>
  <c r="I114" i="4" s="1"/>
  <c r="J105" i="4" s="1"/>
  <c r="H115" i="4"/>
  <c r="I115" i="4" s="1"/>
  <c r="J106" i="4" s="1"/>
  <c r="H116" i="4"/>
  <c r="I116" i="4" s="1"/>
  <c r="J107" i="4" s="1"/>
  <c r="H117" i="4"/>
  <c r="I117" i="4" s="1"/>
  <c r="J108" i="4" s="1"/>
  <c r="H118" i="4"/>
  <c r="I118" i="4" s="1"/>
  <c r="J109" i="4" s="1"/>
  <c r="H119" i="4"/>
  <c r="I119" i="4" s="1"/>
  <c r="J110" i="4" s="1"/>
  <c r="H120" i="4"/>
  <c r="I120" i="4" s="1"/>
  <c r="J111" i="4" s="1"/>
  <c r="H121" i="4"/>
  <c r="I121" i="4"/>
  <c r="J112" i="4" s="1"/>
  <c r="H122" i="4"/>
  <c r="I122" i="4" s="1"/>
  <c r="J113" i="4" s="1"/>
  <c r="H123" i="4"/>
  <c r="I123" i="4" s="1"/>
  <c r="J114" i="4" s="1"/>
  <c r="H124" i="4"/>
  <c r="I124" i="4" s="1"/>
  <c r="J115" i="4" s="1"/>
  <c r="H125" i="4"/>
  <c r="I125" i="4" s="1"/>
  <c r="J116" i="4" s="1"/>
  <c r="H126" i="4"/>
  <c r="I126" i="4" s="1"/>
  <c r="J117" i="4" s="1"/>
  <c r="H127" i="4"/>
  <c r="I127" i="4" s="1"/>
  <c r="J118" i="4" s="1"/>
  <c r="H128" i="4"/>
  <c r="I128" i="4" s="1"/>
  <c r="J119" i="4" s="1"/>
  <c r="H129" i="4"/>
  <c r="I129" i="4" s="1"/>
  <c r="J120" i="4" s="1"/>
  <c r="H130" i="4"/>
  <c r="I130" i="4" s="1"/>
  <c r="J121" i="4" s="1"/>
  <c r="H131" i="4"/>
  <c r="I131" i="4" s="1"/>
  <c r="J122" i="4" s="1"/>
  <c r="H132" i="4"/>
  <c r="I132" i="4" s="1"/>
  <c r="J123" i="4" s="1"/>
  <c r="H133" i="4"/>
  <c r="I133" i="4"/>
  <c r="J124" i="4" s="1"/>
  <c r="H134" i="4"/>
  <c r="I134" i="4" s="1"/>
  <c r="J125" i="4" s="1"/>
  <c r="H135" i="4"/>
  <c r="I135" i="4" s="1"/>
  <c r="J126" i="4" s="1"/>
  <c r="H136" i="4"/>
  <c r="I136" i="4" s="1"/>
  <c r="J127" i="4" s="1"/>
  <c r="H137" i="4"/>
  <c r="I137" i="4"/>
  <c r="J128" i="4" s="1"/>
  <c r="H138" i="4"/>
  <c r="I138" i="4" s="1"/>
  <c r="J129" i="4" s="1"/>
  <c r="H139" i="4"/>
  <c r="I139" i="4" s="1"/>
  <c r="J130" i="4" s="1"/>
  <c r="H140" i="4"/>
  <c r="I140" i="4" s="1"/>
  <c r="J131" i="4" s="1"/>
  <c r="H141" i="4"/>
  <c r="I141" i="4" s="1"/>
  <c r="J132" i="4" s="1"/>
  <c r="H142" i="4"/>
  <c r="I142" i="4" s="1"/>
  <c r="J133" i="4" s="1"/>
  <c r="H143" i="4"/>
  <c r="I143" i="4" s="1"/>
  <c r="H144" i="4"/>
  <c r="I144" i="4" s="1"/>
  <c r="J135" i="4" s="1"/>
  <c r="H145" i="4"/>
  <c r="I145" i="4"/>
  <c r="J136" i="4" s="1"/>
  <c r="H146" i="4"/>
  <c r="I146" i="4" s="1"/>
  <c r="J137" i="4" s="1"/>
  <c r="H147" i="4"/>
  <c r="I147" i="4" s="1"/>
  <c r="J138" i="4" s="1"/>
  <c r="H148" i="4"/>
  <c r="I148" i="4" s="1"/>
  <c r="J139" i="4" s="1"/>
  <c r="H149" i="4"/>
  <c r="I149" i="4" s="1"/>
  <c r="J140" i="4" s="1"/>
  <c r="H150" i="4"/>
  <c r="I150" i="4" s="1"/>
  <c r="J141" i="4" s="1"/>
  <c r="H151" i="4"/>
  <c r="I151" i="4" s="1"/>
  <c r="J142" i="4" s="1"/>
  <c r="H152" i="4"/>
  <c r="I152" i="4" s="1"/>
  <c r="J143" i="4" s="1"/>
  <c r="H153" i="4"/>
  <c r="I153" i="4" s="1"/>
  <c r="J144" i="4" s="1"/>
  <c r="H154" i="4"/>
  <c r="I154" i="4" s="1"/>
  <c r="J145" i="4" s="1"/>
  <c r="H155" i="4"/>
  <c r="I155" i="4" s="1"/>
  <c r="J146" i="4" s="1"/>
  <c r="H156" i="4"/>
  <c r="I156" i="4" s="1"/>
  <c r="J147" i="4" s="1"/>
  <c r="H157" i="4"/>
  <c r="I157" i="4" s="1"/>
  <c r="J148" i="4" s="1"/>
  <c r="H158" i="4"/>
  <c r="I158" i="4" s="1"/>
  <c r="J149" i="4" s="1"/>
  <c r="H159" i="4"/>
  <c r="I159" i="4" s="1"/>
  <c r="J150" i="4" s="1"/>
  <c r="H160" i="4"/>
  <c r="I160" i="4" s="1"/>
  <c r="J151" i="4" s="1"/>
  <c r="H161" i="4"/>
  <c r="I161" i="4" s="1"/>
  <c r="J152" i="4" s="1"/>
  <c r="H162" i="4"/>
  <c r="I162" i="4" s="1"/>
  <c r="J153" i="4" s="1"/>
  <c r="H163" i="4"/>
  <c r="I163" i="4" s="1"/>
  <c r="J154" i="4" s="1"/>
  <c r="H164" i="4"/>
  <c r="I164" i="4" s="1"/>
  <c r="J155" i="4" s="1"/>
  <c r="H165" i="4"/>
  <c r="I165" i="4"/>
  <c r="J156" i="4" s="1"/>
  <c r="H166" i="4"/>
  <c r="I166" i="4" s="1"/>
  <c r="J157" i="4" s="1"/>
  <c r="H167" i="4"/>
  <c r="I167" i="4" s="1"/>
  <c r="J158" i="4" s="1"/>
  <c r="H168" i="4"/>
  <c r="I168" i="4" s="1"/>
  <c r="J159" i="4" s="1"/>
  <c r="H169" i="4"/>
  <c r="I169" i="4"/>
  <c r="J160" i="4" s="1"/>
  <c r="H170" i="4"/>
  <c r="I170" i="4" s="1"/>
  <c r="J161" i="4" s="1"/>
  <c r="H171" i="4"/>
  <c r="I171" i="4" s="1"/>
  <c r="J162" i="4" s="1"/>
  <c r="H172" i="4"/>
  <c r="I172" i="4" s="1"/>
  <c r="J163" i="4" s="1"/>
  <c r="H173" i="4"/>
  <c r="I173" i="4" s="1"/>
  <c r="J164" i="4" s="1"/>
  <c r="H174" i="4"/>
  <c r="I174" i="4" s="1"/>
  <c r="J165" i="4" s="1"/>
  <c r="H175" i="4"/>
  <c r="I175" i="4" s="1"/>
  <c r="J166" i="4" s="1"/>
  <c r="H176" i="4"/>
  <c r="I176" i="4" s="1"/>
  <c r="J167" i="4" s="1"/>
  <c r="H177" i="4"/>
  <c r="I177" i="4"/>
  <c r="J168" i="4" s="1"/>
  <c r="H178" i="4"/>
  <c r="I178" i="4" s="1"/>
  <c r="J169" i="4" s="1"/>
  <c r="H179" i="4"/>
  <c r="I179" i="4" s="1"/>
  <c r="J170" i="4" s="1"/>
  <c r="H180" i="4"/>
  <c r="I180" i="4" s="1"/>
  <c r="J171" i="4" s="1"/>
  <c r="H181" i="4"/>
  <c r="I181" i="4" s="1"/>
  <c r="J172" i="4" s="1"/>
  <c r="H182" i="4"/>
  <c r="I182" i="4" s="1"/>
  <c r="J173" i="4" s="1"/>
  <c r="H183" i="4"/>
  <c r="I183" i="4" s="1"/>
  <c r="J174" i="4" s="1"/>
  <c r="H184" i="4"/>
  <c r="I184" i="4" s="1"/>
  <c r="J175" i="4" s="1"/>
  <c r="H185" i="4"/>
  <c r="I185" i="4"/>
  <c r="J176" i="4" s="1"/>
  <c r="H186" i="4"/>
  <c r="I186" i="4" s="1"/>
  <c r="J177" i="4" s="1"/>
  <c r="H187" i="4"/>
  <c r="I187" i="4" s="1"/>
  <c r="J178" i="4" s="1"/>
  <c r="H188" i="4"/>
  <c r="I188" i="4" s="1"/>
  <c r="J179" i="4" s="1"/>
  <c r="H189" i="4"/>
  <c r="I189" i="4" s="1"/>
  <c r="J180" i="4" s="1"/>
  <c r="H190" i="4"/>
  <c r="I190" i="4" s="1"/>
  <c r="J181" i="4" s="1"/>
  <c r="H191" i="4"/>
  <c r="I191" i="4" s="1"/>
  <c r="J182" i="4" s="1"/>
  <c r="H192" i="4"/>
  <c r="I192" i="4" s="1"/>
  <c r="J183" i="4" s="1"/>
  <c r="H193" i="4"/>
  <c r="I193" i="4" s="1"/>
  <c r="J184" i="4" s="1"/>
  <c r="H194" i="4"/>
  <c r="I194" i="4" s="1"/>
  <c r="J185" i="4" s="1"/>
  <c r="H195" i="4"/>
  <c r="I195" i="4" s="1"/>
  <c r="J186" i="4" s="1"/>
  <c r="H196" i="4"/>
  <c r="I196" i="4" s="1"/>
  <c r="J187" i="4" s="1"/>
  <c r="H197" i="4"/>
  <c r="I197" i="4"/>
  <c r="J188" i="4" s="1"/>
  <c r="H198" i="4"/>
  <c r="I198" i="4" s="1"/>
  <c r="J189" i="4" s="1"/>
  <c r="H199" i="4"/>
  <c r="I199" i="4" s="1"/>
  <c r="J190" i="4" s="1"/>
  <c r="H200" i="4"/>
  <c r="I200" i="4" s="1"/>
  <c r="J191" i="4" s="1"/>
  <c r="H201" i="4"/>
  <c r="I201" i="4"/>
  <c r="J192" i="4" s="1"/>
  <c r="H202" i="4"/>
  <c r="I202" i="4" s="1"/>
  <c r="J193" i="4" s="1"/>
  <c r="H203" i="4"/>
  <c r="I203" i="4" s="1"/>
  <c r="J194" i="4" s="1"/>
  <c r="H204" i="4"/>
  <c r="I204" i="4" s="1"/>
  <c r="J195" i="4" s="1"/>
  <c r="H205" i="4"/>
  <c r="I205" i="4" s="1"/>
  <c r="J196" i="4" s="1"/>
  <c r="H206" i="4"/>
  <c r="I206" i="4" s="1"/>
  <c r="J197" i="4" s="1"/>
  <c r="H207" i="4"/>
  <c r="I207" i="4" s="1"/>
  <c r="J198" i="4" s="1"/>
  <c r="H208" i="4"/>
  <c r="I208" i="4" s="1"/>
  <c r="J199" i="4" s="1"/>
  <c r="H209" i="4"/>
  <c r="I209" i="4"/>
  <c r="J200" i="4" s="1"/>
  <c r="H210" i="4"/>
  <c r="I210" i="4" s="1"/>
  <c r="J201" i="4" s="1"/>
  <c r="H211" i="4"/>
  <c r="I211" i="4" s="1"/>
  <c r="J202" i="4" s="1"/>
  <c r="H212" i="4"/>
  <c r="I212" i="4" s="1"/>
  <c r="J203" i="4" s="1"/>
  <c r="H213" i="4"/>
  <c r="I213" i="4" s="1"/>
  <c r="J204" i="4" s="1"/>
  <c r="H214" i="4"/>
  <c r="I214" i="4" s="1"/>
  <c r="J205" i="4" s="1"/>
  <c r="H215" i="4"/>
  <c r="I215" i="4" s="1"/>
  <c r="J206" i="4" s="1"/>
  <c r="H216" i="4"/>
  <c r="I216" i="4" s="1"/>
  <c r="J207" i="4" s="1"/>
  <c r="H217" i="4"/>
  <c r="I217" i="4" s="1"/>
  <c r="J208" i="4" s="1"/>
  <c r="H218" i="4"/>
  <c r="I218" i="4" s="1"/>
  <c r="J209" i="4" s="1"/>
  <c r="H219" i="4"/>
  <c r="I219" i="4" s="1"/>
  <c r="J210" i="4" s="1"/>
  <c r="H220" i="4"/>
  <c r="I220" i="4" s="1"/>
  <c r="J211" i="4" s="1"/>
  <c r="H221" i="4"/>
  <c r="I221" i="4" s="1"/>
  <c r="J212" i="4" s="1"/>
  <c r="H222" i="4"/>
  <c r="I222" i="4" s="1"/>
  <c r="J213" i="4" s="1"/>
  <c r="H223" i="4"/>
  <c r="I223" i="4" s="1"/>
  <c r="J214" i="4" s="1"/>
  <c r="H224" i="4"/>
  <c r="I224" i="4" s="1"/>
  <c r="J215" i="4" s="1"/>
  <c r="H225" i="4"/>
  <c r="I225" i="4" s="1"/>
  <c r="J216" i="4" s="1"/>
  <c r="H226" i="4"/>
  <c r="I226" i="4" s="1"/>
  <c r="J217" i="4" s="1"/>
  <c r="H227" i="4"/>
  <c r="I227" i="4" s="1"/>
  <c r="J218" i="4" s="1"/>
  <c r="H228" i="4"/>
  <c r="I228" i="4" s="1"/>
  <c r="J219" i="4" s="1"/>
  <c r="H229" i="4"/>
  <c r="I229" i="4"/>
  <c r="J220" i="4" s="1"/>
  <c r="H230" i="4"/>
  <c r="I230" i="4" s="1"/>
  <c r="J221" i="4" s="1"/>
  <c r="H231" i="4"/>
  <c r="I231" i="4" s="1"/>
  <c r="J222" i="4" s="1"/>
  <c r="H232" i="4"/>
  <c r="I232" i="4" s="1"/>
  <c r="J223" i="4" s="1"/>
  <c r="H233" i="4"/>
  <c r="I233" i="4"/>
  <c r="J224" i="4" s="1"/>
  <c r="H234" i="4"/>
  <c r="I234" i="4" s="1"/>
  <c r="J225" i="4" s="1"/>
  <c r="H235" i="4"/>
  <c r="I235" i="4" s="1"/>
  <c r="J226" i="4" s="1"/>
  <c r="H236" i="4"/>
  <c r="I236" i="4" s="1"/>
  <c r="J227" i="4" s="1"/>
  <c r="H237" i="4"/>
  <c r="I237" i="4" s="1"/>
  <c r="J228" i="4" s="1"/>
  <c r="H238" i="4"/>
  <c r="I238" i="4" s="1"/>
  <c r="J229" i="4" s="1"/>
  <c r="H239" i="4"/>
  <c r="I239" i="4" s="1"/>
  <c r="J230" i="4" s="1"/>
  <c r="H240" i="4"/>
  <c r="I240" i="4" s="1"/>
  <c r="J231" i="4" s="1"/>
  <c r="H241" i="4"/>
  <c r="I241" i="4"/>
  <c r="J232" i="4" s="1"/>
  <c r="H242" i="4"/>
  <c r="I242" i="4" s="1"/>
  <c r="J233" i="4" s="1"/>
  <c r="H243" i="4"/>
  <c r="I243" i="4" s="1"/>
  <c r="J234" i="4" s="1"/>
  <c r="H244" i="4"/>
  <c r="I244" i="4" s="1"/>
  <c r="J235" i="4" s="1"/>
  <c r="H245" i="4"/>
  <c r="I245" i="4" s="1"/>
  <c r="J236" i="4" s="1"/>
  <c r="H246" i="4"/>
  <c r="I246" i="4" s="1"/>
  <c r="J237" i="4" s="1"/>
  <c r="H247" i="4"/>
  <c r="I247" i="4" s="1"/>
  <c r="J238" i="4" s="1"/>
  <c r="H248" i="4"/>
  <c r="I248" i="4" s="1"/>
  <c r="J239" i="4" s="1"/>
  <c r="H249" i="4"/>
  <c r="I249" i="4" s="1"/>
  <c r="J240" i="4" s="1"/>
  <c r="H250" i="4"/>
  <c r="I250" i="4" s="1"/>
  <c r="J241" i="4" s="1"/>
  <c r="H251" i="4"/>
  <c r="I251" i="4" s="1"/>
  <c r="J242" i="4" s="1"/>
  <c r="H252" i="4"/>
  <c r="I252" i="4" s="1"/>
  <c r="J243" i="4" s="1"/>
  <c r="H253" i="4"/>
  <c r="I253" i="4" s="1"/>
  <c r="J244" i="4" s="1"/>
  <c r="H254" i="4"/>
  <c r="I254" i="4" s="1"/>
  <c r="J245" i="4" s="1"/>
  <c r="H255" i="4"/>
  <c r="I255" i="4" s="1"/>
  <c r="J246" i="4" s="1"/>
  <c r="H256" i="4"/>
  <c r="I256" i="4" s="1"/>
  <c r="J247" i="4" s="1"/>
  <c r="H257" i="4"/>
  <c r="I257" i="4" s="1"/>
  <c r="J248" i="4" s="1"/>
  <c r="H258" i="4"/>
  <c r="I258" i="4"/>
  <c r="J249" i="4" s="1"/>
  <c r="H259" i="4"/>
  <c r="I259" i="4" s="1"/>
  <c r="J250" i="4" s="1"/>
  <c r="H260" i="4"/>
  <c r="I260" i="4" s="1"/>
  <c r="J251" i="4" s="1"/>
  <c r="H261" i="4"/>
  <c r="I261" i="4" s="1"/>
  <c r="J252" i="4" s="1"/>
  <c r="H262" i="4"/>
  <c r="I262" i="4" s="1"/>
  <c r="J253" i="4" s="1"/>
  <c r="H263" i="4"/>
  <c r="I263" i="4" s="1"/>
  <c r="J254" i="4" s="1"/>
  <c r="H264" i="4"/>
  <c r="I264" i="4" s="1"/>
  <c r="J255" i="4" s="1"/>
  <c r="H265" i="4"/>
  <c r="I265" i="4" s="1"/>
  <c r="J256" i="4" s="1"/>
  <c r="H266" i="4"/>
  <c r="I266" i="4" s="1"/>
  <c r="J257" i="4" s="1"/>
  <c r="H267" i="4"/>
  <c r="I267" i="4" s="1"/>
  <c r="J258" i="4" s="1"/>
  <c r="H268" i="4"/>
  <c r="I268" i="4" s="1"/>
  <c r="J259" i="4" s="1"/>
  <c r="H269" i="4"/>
  <c r="I269" i="4" s="1"/>
  <c r="J260" i="4" s="1"/>
  <c r="H270" i="4"/>
  <c r="I270" i="4" s="1"/>
  <c r="J261" i="4" s="1"/>
  <c r="H271" i="4"/>
  <c r="I271" i="4" s="1"/>
  <c r="H272" i="4"/>
  <c r="I272" i="4" s="1"/>
  <c r="J263" i="4" s="1"/>
  <c r="H273" i="4"/>
  <c r="I273" i="4" s="1"/>
  <c r="J264" i="4" s="1"/>
  <c r="H274" i="4"/>
  <c r="I274" i="4" s="1"/>
  <c r="J265" i="4" s="1"/>
  <c r="H275" i="4"/>
  <c r="I275" i="4" s="1"/>
  <c r="J266" i="4" s="1"/>
  <c r="H276" i="4"/>
  <c r="I276" i="4" s="1"/>
  <c r="J267" i="4" s="1"/>
  <c r="H277" i="4"/>
  <c r="I277" i="4" s="1"/>
  <c r="J268" i="4" s="1"/>
  <c r="H278" i="4"/>
  <c r="I278" i="4" s="1"/>
  <c r="J269" i="4" s="1"/>
  <c r="H279" i="4"/>
  <c r="I279" i="4" s="1"/>
  <c r="J270" i="4" s="1"/>
  <c r="H280" i="4"/>
  <c r="I280" i="4" s="1"/>
  <c r="J271" i="4" s="1"/>
  <c r="H281" i="4"/>
  <c r="I281" i="4" s="1"/>
  <c r="J272" i="4" s="1"/>
  <c r="H282" i="4"/>
  <c r="I282" i="4" s="1"/>
  <c r="J273" i="4" s="1"/>
  <c r="H283" i="4"/>
  <c r="I283" i="4" s="1"/>
  <c r="J274" i="4" s="1"/>
  <c r="H284" i="4"/>
  <c r="I284" i="4" s="1"/>
  <c r="J275" i="4" s="1"/>
  <c r="H285" i="4"/>
  <c r="I285" i="4"/>
  <c r="J276" i="4" s="1"/>
  <c r="H286" i="4"/>
  <c r="I286" i="4" s="1"/>
  <c r="J277" i="4" s="1"/>
  <c r="H287" i="4"/>
  <c r="I287" i="4" s="1"/>
  <c r="J278" i="4" s="1"/>
  <c r="H288" i="4"/>
  <c r="I288" i="4" s="1"/>
  <c r="J279" i="4" s="1"/>
  <c r="H289" i="4"/>
  <c r="I289" i="4" s="1"/>
  <c r="J280" i="4" s="1"/>
  <c r="H290" i="4"/>
  <c r="I290" i="4" s="1"/>
  <c r="J281" i="4" s="1"/>
  <c r="H291" i="4"/>
  <c r="I291" i="4" s="1"/>
  <c r="J282" i="4" s="1"/>
  <c r="H292" i="4"/>
  <c r="I292" i="4" s="1"/>
  <c r="J283" i="4" s="1"/>
  <c r="H293" i="4"/>
  <c r="I293" i="4" s="1"/>
  <c r="J284" i="4" s="1"/>
  <c r="H294" i="4"/>
  <c r="I294" i="4" s="1"/>
  <c r="J285" i="4" s="1"/>
  <c r="H295" i="4"/>
  <c r="I295" i="4" s="1"/>
  <c r="J286" i="4" s="1"/>
  <c r="H296" i="4"/>
  <c r="I296" i="4" s="1"/>
  <c r="J287" i="4" s="1"/>
  <c r="H297" i="4"/>
  <c r="I297" i="4" s="1"/>
  <c r="J288" i="4" s="1"/>
  <c r="H298" i="4"/>
  <c r="I298" i="4" s="1"/>
  <c r="J289" i="4" s="1"/>
  <c r="H299" i="4"/>
  <c r="I299" i="4" s="1"/>
  <c r="J290" i="4" s="1"/>
  <c r="H300" i="4"/>
  <c r="I300" i="4" s="1"/>
  <c r="J291" i="4" s="1"/>
  <c r="H301" i="4"/>
  <c r="I301" i="4"/>
  <c r="J292" i="4" s="1"/>
  <c r="H302" i="4"/>
  <c r="I302" i="4" s="1"/>
  <c r="J293" i="4" s="1"/>
  <c r="H303" i="4"/>
  <c r="I303" i="4" s="1"/>
  <c r="J294" i="4" s="1"/>
  <c r="H304" i="4"/>
  <c r="I304" i="4" s="1"/>
  <c r="J295" i="4" s="1"/>
  <c r="H305" i="4"/>
  <c r="I305" i="4" s="1"/>
  <c r="J296" i="4" s="1"/>
  <c r="H306" i="4"/>
  <c r="I306" i="4"/>
  <c r="J297" i="4" s="1"/>
  <c r="H307" i="4"/>
  <c r="I307" i="4" s="1"/>
  <c r="J298" i="4" s="1"/>
  <c r="H308" i="4"/>
  <c r="I308" i="4" s="1"/>
  <c r="J299" i="4" s="1"/>
  <c r="H309" i="4"/>
  <c r="I309" i="4" s="1"/>
  <c r="J300" i="4" s="1"/>
  <c r="H310" i="4"/>
  <c r="I310" i="4" s="1"/>
  <c r="J301" i="4" s="1"/>
  <c r="H311" i="4"/>
  <c r="I311" i="4" s="1"/>
  <c r="J302" i="4" s="1"/>
  <c r="H312" i="4"/>
  <c r="I312" i="4" s="1"/>
  <c r="J303" i="4" s="1"/>
  <c r="H313" i="4"/>
  <c r="I313" i="4" s="1"/>
  <c r="J304" i="4" s="1"/>
  <c r="H314" i="4"/>
  <c r="I314" i="4" s="1"/>
  <c r="J305" i="4" s="1"/>
  <c r="H315" i="4"/>
  <c r="I315" i="4" s="1"/>
  <c r="J306" i="4" s="1"/>
  <c r="H316" i="4"/>
  <c r="I316" i="4" s="1"/>
  <c r="J307" i="4" s="1"/>
  <c r="H317" i="4"/>
  <c r="I317" i="4" s="1"/>
  <c r="J308" i="4" s="1"/>
  <c r="H318" i="4"/>
  <c r="I318" i="4" s="1"/>
  <c r="J309" i="4" s="1"/>
  <c r="H319" i="4"/>
  <c r="I319" i="4" s="1"/>
  <c r="J310" i="4" s="1"/>
  <c r="H320" i="4"/>
  <c r="I320" i="4" s="1"/>
  <c r="J311" i="4" s="1"/>
  <c r="H321" i="4"/>
  <c r="I321" i="4" s="1"/>
  <c r="J312" i="4" s="1"/>
  <c r="H322" i="4"/>
  <c r="I322" i="4"/>
  <c r="J313" i="4" s="1"/>
  <c r="H323" i="4"/>
  <c r="I323" i="4" s="1"/>
  <c r="J314" i="4" s="1"/>
  <c r="H324" i="4"/>
  <c r="I324" i="4" s="1"/>
  <c r="J315" i="4" s="1"/>
  <c r="H325" i="4"/>
  <c r="I325" i="4"/>
  <c r="J316" i="4" s="1"/>
  <c r="H326" i="4"/>
  <c r="I326" i="4"/>
  <c r="J317" i="4" s="1"/>
  <c r="H327" i="4"/>
  <c r="I327" i="4"/>
  <c r="J318" i="4" s="1"/>
  <c r="H328" i="4"/>
  <c r="I328" i="4" s="1"/>
  <c r="J319" i="4" s="1"/>
  <c r="H329" i="4"/>
  <c r="I329" i="4" s="1"/>
  <c r="J320" i="4" s="1"/>
  <c r="H330" i="4"/>
  <c r="I330" i="4" s="1"/>
  <c r="J321" i="4" s="1"/>
  <c r="H331" i="4"/>
  <c r="I331" i="4" s="1"/>
  <c r="J322" i="4" s="1"/>
  <c r="H332" i="4"/>
  <c r="I332" i="4" s="1"/>
  <c r="J323" i="4" s="1"/>
  <c r="H333" i="4"/>
  <c r="I333" i="4" s="1"/>
  <c r="J324" i="4" s="1"/>
  <c r="H334" i="4"/>
  <c r="I334" i="4"/>
  <c r="J325" i="4" s="1"/>
  <c r="H335" i="4"/>
  <c r="I335" i="4"/>
  <c r="J326" i="4" s="1"/>
  <c r="H336" i="4"/>
  <c r="I336" i="4" s="1"/>
  <c r="J327" i="4" s="1"/>
  <c r="H337" i="4"/>
  <c r="I337" i="4" s="1"/>
  <c r="J328" i="4" s="1"/>
  <c r="H338" i="4"/>
  <c r="I338" i="4" s="1"/>
  <c r="J329" i="4" s="1"/>
  <c r="H339" i="4"/>
  <c r="I339" i="4" s="1"/>
  <c r="J330" i="4" s="1"/>
  <c r="H340" i="4"/>
  <c r="I340" i="4" s="1"/>
  <c r="J331" i="4" s="1"/>
  <c r="H341" i="4"/>
  <c r="I341" i="4" s="1"/>
  <c r="J332" i="4" s="1"/>
  <c r="H342" i="4"/>
  <c r="I342" i="4" s="1"/>
  <c r="J333" i="4" s="1"/>
  <c r="H343" i="4"/>
  <c r="I343" i="4"/>
  <c r="J334" i="4" s="1"/>
  <c r="H344" i="4"/>
  <c r="I344" i="4" s="1"/>
  <c r="J335" i="4" s="1"/>
  <c r="H345" i="4"/>
  <c r="I345" i="4"/>
  <c r="J336" i="4" s="1"/>
  <c r="H346" i="4"/>
  <c r="I346" i="4" s="1"/>
  <c r="J337" i="4" s="1"/>
  <c r="H347" i="4"/>
  <c r="I347" i="4" s="1"/>
  <c r="J338" i="4" s="1"/>
  <c r="H348" i="4"/>
  <c r="I348" i="4" s="1"/>
  <c r="J339" i="4" s="1"/>
  <c r="H349" i="4"/>
  <c r="I349" i="4"/>
  <c r="J340" i="4" s="1"/>
  <c r="H350" i="4"/>
  <c r="I350" i="4"/>
  <c r="J341" i="4" s="1"/>
  <c r="H351" i="4"/>
  <c r="I351" i="4" s="1"/>
  <c r="J342" i="4" s="1"/>
  <c r="H352" i="4"/>
  <c r="I352" i="4" s="1"/>
  <c r="J343" i="4" s="1"/>
  <c r="H353" i="4"/>
  <c r="I353" i="4" s="1"/>
  <c r="J344" i="4" s="1"/>
  <c r="H354" i="4"/>
  <c r="I354" i="4" s="1"/>
  <c r="J345" i="4" s="1"/>
  <c r="H355" i="4"/>
  <c r="I355" i="4" s="1"/>
  <c r="J346" i="4" s="1"/>
  <c r="H356" i="4"/>
  <c r="I356" i="4" s="1"/>
  <c r="J347" i="4" s="1"/>
  <c r="H357" i="4"/>
  <c r="I357" i="4"/>
  <c r="J348" i="4" s="1"/>
  <c r="H358" i="4"/>
  <c r="I358" i="4"/>
  <c r="J349" i="4" s="1"/>
  <c r="H359" i="4"/>
  <c r="I359" i="4" s="1"/>
  <c r="J350" i="4" s="1"/>
  <c r="H360" i="4"/>
  <c r="I360" i="4" s="1"/>
  <c r="J351" i="4" s="1"/>
  <c r="H361" i="4"/>
  <c r="I361" i="4" s="1"/>
  <c r="J352" i="4" s="1"/>
  <c r="H362" i="4"/>
  <c r="I362" i="4" s="1"/>
  <c r="J353" i="4" s="1"/>
  <c r="H363" i="4"/>
  <c r="I363" i="4" s="1"/>
  <c r="J354" i="4" s="1"/>
  <c r="H364" i="4"/>
  <c r="I364" i="4" s="1"/>
  <c r="J355" i="4" s="1"/>
  <c r="H365" i="4"/>
  <c r="I365" i="4" s="1"/>
  <c r="J356" i="4" s="1"/>
  <c r="H366" i="4"/>
  <c r="I366" i="4"/>
  <c r="J357" i="4" s="1"/>
  <c r="H367" i="4"/>
  <c r="I367" i="4"/>
  <c r="J358" i="4" s="1"/>
  <c r="H368" i="4"/>
  <c r="I368" i="4" s="1"/>
  <c r="J359" i="4" s="1"/>
  <c r="H369" i="4"/>
  <c r="I369" i="4" s="1"/>
  <c r="J360" i="4" s="1"/>
  <c r="H370" i="4"/>
  <c r="I370" i="4" s="1"/>
  <c r="J361" i="4" s="1"/>
  <c r="H371" i="4"/>
  <c r="I371" i="4" s="1"/>
  <c r="J362" i="4" s="1"/>
  <c r="H372" i="4"/>
  <c r="I372" i="4" s="1"/>
  <c r="J363" i="4" s="1"/>
  <c r="H373" i="4"/>
  <c r="I373" i="4"/>
  <c r="J364" i="4" s="1"/>
  <c r="H374" i="4"/>
  <c r="I374" i="4" s="1"/>
  <c r="J365" i="4" s="1"/>
  <c r="H375" i="4"/>
  <c r="I375" i="4"/>
  <c r="J366" i="4" s="1"/>
  <c r="H376" i="4"/>
  <c r="I376" i="4" s="1"/>
  <c r="J367" i="4" s="1"/>
  <c r="H377" i="4"/>
  <c r="I377" i="4" s="1"/>
  <c r="J368" i="4" s="1"/>
  <c r="H378" i="4"/>
  <c r="I378" i="4" s="1"/>
  <c r="J369" i="4" s="1"/>
  <c r="H379" i="4"/>
  <c r="I379" i="4" s="1"/>
  <c r="J370" i="4" s="1"/>
  <c r="H380" i="4"/>
  <c r="I380" i="4" s="1"/>
  <c r="J371" i="4" s="1"/>
  <c r="H381" i="4"/>
  <c r="I381" i="4"/>
  <c r="J372" i="4" s="1"/>
  <c r="H382" i="4"/>
  <c r="I382" i="4"/>
  <c r="J373" i="4" s="1"/>
  <c r="H383" i="4"/>
  <c r="I383" i="4" s="1"/>
  <c r="J374" i="4" s="1"/>
  <c r="H384" i="4"/>
  <c r="I384" i="4" s="1"/>
  <c r="J375" i="4" s="1"/>
  <c r="H385" i="4"/>
  <c r="I385" i="4" s="1"/>
  <c r="J376" i="4" s="1"/>
  <c r="H386" i="4"/>
  <c r="I386" i="4"/>
  <c r="J377" i="4" s="1"/>
  <c r="H387" i="4"/>
  <c r="I387" i="4" s="1"/>
  <c r="J378" i="4" s="1"/>
  <c r="H388" i="4"/>
  <c r="I388" i="4" s="1"/>
  <c r="J379" i="4" s="1"/>
  <c r="H389" i="4"/>
  <c r="I389" i="4"/>
  <c r="J380" i="4" s="1"/>
  <c r="H390" i="4"/>
  <c r="I390" i="4"/>
  <c r="J381" i="4" s="1"/>
  <c r="H391" i="4"/>
  <c r="I391" i="4"/>
  <c r="J382" i="4" s="1"/>
  <c r="H392" i="4"/>
  <c r="I392" i="4" s="1"/>
  <c r="J383" i="4" s="1"/>
  <c r="H393" i="4"/>
  <c r="I393" i="4" s="1"/>
  <c r="J384" i="4" s="1"/>
  <c r="H394" i="4"/>
  <c r="I394" i="4" s="1"/>
  <c r="J385" i="4" s="1"/>
  <c r="H395" i="4"/>
  <c r="I395" i="4" s="1"/>
  <c r="J386" i="4" s="1"/>
  <c r="H396" i="4"/>
  <c r="I396" i="4" s="1"/>
  <c r="J387" i="4" s="1"/>
  <c r="H397" i="4"/>
  <c r="I397" i="4" s="1"/>
  <c r="J388" i="4" s="1"/>
  <c r="H398" i="4"/>
  <c r="I398" i="4"/>
  <c r="J389" i="4" s="1"/>
  <c r="H399" i="4"/>
  <c r="I399" i="4"/>
  <c r="J390" i="4" s="1"/>
  <c r="H400" i="4"/>
  <c r="I400" i="4" s="1"/>
  <c r="J391" i="4" s="1"/>
  <c r="H401" i="4"/>
  <c r="I401" i="4" s="1"/>
  <c r="J392" i="4" s="1"/>
  <c r="H402" i="4"/>
  <c r="I402" i="4" s="1"/>
  <c r="J393" i="4" s="1"/>
  <c r="H403" i="4"/>
  <c r="I403" i="4" s="1"/>
  <c r="J394" i="4" s="1"/>
  <c r="H404" i="4"/>
  <c r="I404" i="4" s="1"/>
  <c r="J395" i="4" s="1"/>
  <c r="H405" i="4"/>
  <c r="I405" i="4" s="1"/>
  <c r="J396" i="4" s="1"/>
  <c r="H406" i="4"/>
  <c r="I406" i="4" s="1"/>
  <c r="J397" i="4" s="1"/>
  <c r="H407" i="4"/>
  <c r="I407" i="4"/>
  <c r="J398" i="4" s="1"/>
  <c r="H408" i="4"/>
  <c r="I408" i="4" s="1"/>
  <c r="J399" i="4" s="1"/>
  <c r="H409" i="4"/>
  <c r="I409" i="4"/>
  <c r="J400" i="4" s="1"/>
  <c r="H410" i="4"/>
  <c r="I410" i="4" s="1"/>
  <c r="J401" i="4" s="1"/>
  <c r="H411" i="4"/>
  <c r="I411" i="4" s="1"/>
  <c r="J402" i="4" s="1"/>
  <c r="H412" i="4"/>
  <c r="I412" i="4" s="1"/>
  <c r="J403" i="4" s="1"/>
  <c r="H413" i="4"/>
  <c r="I413" i="4"/>
  <c r="J404" i="4" s="1"/>
  <c r="H414" i="4"/>
  <c r="I414" i="4"/>
  <c r="J405" i="4" s="1"/>
  <c r="H415" i="4"/>
  <c r="I415" i="4" s="1"/>
  <c r="J406" i="4" s="1"/>
  <c r="H416" i="4"/>
  <c r="I416" i="4" s="1"/>
  <c r="J407" i="4" s="1"/>
  <c r="H417" i="4"/>
  <c r="I417" i="4" s="1"/>
  <c r="J408" i="4" s="1"/>
  <c r="H418" i="4"/>
  <c r="I418" i="4" s="1"/>
  <c r="J409" i="4" s="1"/>
  <c r="H419" i="4"/>
  <c r="I419" i="4" s="1"/>
  <c r="J410" i="4" s="1"/>
  <c r="H420" i="4"/>
  <c r="I420" i="4" s="1"/>
  <c r="J411" i="4" s="1"/>
  <c r="H421" i="4"/>
  <c r="I421" i="4"/>
  <c r="J412" i="4" s="1"/>
  <c r="H422" i="4"/>
  <c r="I422" i="4"/>
  <c r="J413" i="4" s="1"/>
  <c r="H423" i="4"/>
  <c r="I423" i="4" s="1"/>
  <c r="J414" i="4" s="1"/>
  <c r="H424" i="4"/>
  <c r="I424" i="4" s="1"/>
  <c r="J415" i="4" s="1"/>
  <c r="H425" i="4"/>
  <c r="I425" i="4" s="1"/>
  <c r="J416" i="4" s="1"/>
  <c r="H426" i="4"/>
  <c r="I426" i="4" s="1"/>
  <c r="J417" i="4" s="1"/>
  <c r="H427" i="4"/>
  <c r="I427" i="4" s="1"/>
  <c r="J418" i="4" s="1"/>
  <c r="H428" i="4"/>
  <c r="I428" i="4" s="1"/>
  <c r="J419" i="4" s="1"/>
  <c r="H429" i="4"/>
  <c r="I429" i="4" s="1"/>
  <c r="J420" i="4" s="1"/>
  <c r="H430" i="4"/>
  <c r="I430" i="4"/>
  <c r="J421" i="4" s="1"/>
  <c r="H431" i="4"/>
  <c r="I431" i="4"/>
  <c r="J422" i="4" s="1"/>
  <c r="H432" i="4"/>
  <c r="I432" i="4" s="1"/>
  <c r="J423" i="4" s="1"/>
  <c r="H433" i="4"/>
  <c r="I433" i="4" s="1"/>
  <c r="J424" i="4" s="1"/>
  <c r="H434" i="4"/>
  <c r="I434" i="4" s="1"/>
  <c r="J425" i="4" s="1"/>
  <c r="H435" i="4"/>
  <c r="I435" i="4" s="1"/>
  <c r="J426" i="4" s="1"/>
  <c r="H436" i="4"/>
  <c r="I436" i="4" s="1"/>
  <c r="J427" i="4" s="1"/>
  <c r="H437" i="4"/>
  <c r="I437" i="4"/>
  <c r="J428" i="4" s="1"/>
  <c r="H438" i="4"/>
  <c r="I438" i="4" s="1"/>
  <c r="J429" i="4" s="1"/>
  <c r="H439" i="4"/>
  <c r="I439" i="4"/>
  <c r="J430" i="4" s="1"/>
  <c r="H440" i="4"/>
  <c r="I440" i="4" s="1"/>
  <c r="J431" i="4" s="1"/>
  <c r="H441" i="4"/>
  <c r="I441" i="4" s="1"/>
  <c r="J432" i="4" s="1"/>
  <c r="H442" i="4"/>
  <c r="I442" i="4" s="1"/>
  <c r="J433" i="4" s="1"/>
  <c r="H443" i="4"/>
  <c r="I443" i="4" s="1"/>
  <c r="J434" i="4" s="1"/>
  <c r="H444" i="4"/>
  <c r="I444" i="4" s="1"/>
  <c r="J435" i="4" s="1"/>
  <c r="H445" i="4"/>
  <c r="I445" i="4"/>
  <c r="J436" i="4" s="1"/>
  <c r="H446" i="4"/>
  <c r="I446" i="4"/>
  <c r="J437" i="4" s="1"/>
  <c r="H447" i="4"/>
  <c r="I447" i="4" s="1"/>
  <c r="J438" i="4" s="1"/>
  <c r="H448" i="4"/>
  <c r="I448" i="4" s="1"/>
  <c r="J439" i="4" s="1"/>
  <c r="H449" i="4"/>
  <c r="I449" i="4" s="1"/>
  <c r="J440" i="4" s="1"/>
  <c r="H450" i="4"/>
  <c r="I450" i="4"/>
  <c r="J441" i="4" s="1"/>
  <c r="H451" i="4"/>
  <c r="I451" i="4" s="1"/>
  <c r="J442" i="4" s="1"/>
  <c r="H452" i="4"/>
  <c r="I452" i="4" s="1"/>
  <c r="H453" i="4"/>
  <c r="I453" i="4"/>
  <c r="J444" i="4" s="1"/>
  <c r="H454" i="4"/>
  <c r="I454" i="4"/>
  <c r="J445" i="4" s="1"/>
  <c r="H455" i="4"/>
  <c r="I455" i="4"/>
  <c r="J446" i="4" s="1"/>
  <c r="H456" i="4"/>
  <c r="I456" i="4" s="1"/>
  <c r="J447" i="4" s="1"/>
  <c r="H457" i="4"/>
  <c r="I457" i="4" s="1"/>
  <c r="J448" i="4" s="1"/>
  <c r="H458" i="4"/>
  <c r="I458" i="4" s="1"/>
  <c r="J449" i="4" s="1"/>
  <c r="H459" i="4"/>
  <c r="I459" i="4" s="1"/>
  <c r="J450" i="4" s="1"/>
  <c r="H460" i="4"/>
  <c r="I460" i="4" s="1"/>
  <c r="J451" i="4" s="1"/>
  <c r="H461" i="4"/>
  <c r="I461" i="4" s="1"/>
  <c r="J452" i="4" s="1"/>
  <c r="H462" i="4"/>
  <c r="I462" i="4"/>
  <c r="J453" i="4" s="1"/>
  <c r="H463" i="4"/>
  <c r="I463" i="4"/>
  <c r="J454" i="4" s="1"/>
  <c r="H464" i="4"/>
  <c r="I464" i="4" s="1"/>
  <c r="J455" i="4" s="1"/>
  <c r="H465" i="4"/>
  <c r="I465" i="4" s="1"/>
  <c r="J456" i="4" s="1"/>
  <c r="H466" i="4"/>
  <c r="I466" i="4" s="1"/>
  <c r="J457" i="4" s="1"/>
  <c r="H467" i="4"/>
  <c r="I467" i="4" s="1"/>
  <c r="J458" i="4" s="1"/>
  <c r="H468" i="4"/>
  <c r="I468" i="4" s="1"/>
  <c r="J459" i="4" s="1"/>
  <c r="H469" i="4"/>
  <c r="I469" i="4" s="1"/>
  <c r="J460" i="4" s="1"/>
  <c r="H470" i="4"/>
  <c r="I470" i="4" s="1"/>
  <c r="J461" i="4" s="1"/>
  <c r="H471" i="4"/>
  <c r="I471" i="4"/>
  <c r="J462" i="4" s="1"/>
  <c r="H472" i="4"/>
  <c r="I472" i="4" s="1"/>
  <c r="J463" i="4" s="1"/>
  <c r="H473" i="4"/>
  <c r="I473" i="4"/>
  <c r="J464" i="4" s="1"/>
  <c r="H474" i="4"/>
  <c r="I474" i="4" s="1"/>
  <c r="J465" i="4" s="1"/>
  <c r="H475" i="4"/>
  <c r="I475" i="4" s="1"/>
  <c r="J466" i="4" s="1"/>
  <c r="H476" i="4"/>
  <c r="I476" i="4" s="1"/>
  <c r="J467" i="4" s="1"/>
  <c r="H477" i="4"/>
  <c r="I477" i="4" s="1"/>
  <c r="J468" i="4" s="1"/>
  <c r="H478" i="4"/>
  <c r="I478" i="4" s="1"/>
  <c r="J469" i="4" s="1"/>
  <c r="H479" i="4"/>
  <c r="I479" i="4" s="1"/>
  <c r="J470" i="4" s="1"/>
  <c r="H480" i="4"/>
  <c r="I480" i="4" s="1"/>
  <c r="J471" i="4" s="1"/>
  <c r="H481" i="4"/>
  <c r="I481" i="4" s="1"/>
  <c r="J472" i="4" s="1"/>
  <c r="H482" i="4"/>
  <c r="I482" i="4" s="1"/>
  <c r="J473" i="4" s="1"/>
  <c r="H483" i="4"/>
  <c r="I483" i="4" s="1"/>
  <c r="J474" i="4" s="1"/>
  <c r="H484" i="4"/>
  <c r="I484" i="4" s="1"/>
  <c r="J475" i="4" s="1"/>
  <c r="H485" i="4"/>
  <c r="I485" i="4"/>
  <c r="J476" i="4" s="1"/>
  <c r="H486" i="4"/>
  <c r="I486" i="4" s="1"/>
  <c r="J477" i="4" s="1"/>
  <c r="H487" i="4"/>
  <c r="I487" i="4" s="1"/>
  <c r="J478" i="4" s="1"/>
  <c r="H488" i="4"/>
  <c r="I488" i="4" s="1"/>
  <c r="J479" i="4" s="1"/>
  <c r="H489" i="4"/>
  <c r="I489" i="4" s="1"/>
  <c r="J480" i="4" s="1"/>
  <c r="H490" i="4"/>
  <c r="I490" i="4" s="1"/>
  <c r="J481" i="4" s="1"/>
  <c r="H491" i="4"/>
  <c r="I491" i="4" s="1"/>
  <c r="J482" i="4" s="1"/>
  <c r="H492" i="4"/>
  <c r="I492" i="4" s="1"/>
  <c r="J483" i="4" s="1"/>
  <c r="H493" i="4"/>
  <c r="I493" i="4" s="1"/>
  <c r="J484" i="4" s="1"/>
  <c r="H494" i="4"/>
  <c r="I494" i="4" s="1"/>
  <c r="J485" i="4" s="1"/>
  <c r="H495" i="4"/>
  <c r="I495" i="4" s="1"/>
  <c r="J486" i="4" s="1"/>
  <c r="H496" i="4"/>
  <c r="I496" i="4" s="1"/>
  <c r="J487" i="4" s="1"/>
  <c r="H497" i="4"/>
  <c r="I497" i="4"/>
  <c r="J488" i="4" s="1"/>
  <c r="H498" i="4"/>
  <c r="I498" i="4" s="1"/>
  <c r="J489" i="4" s="1"/>
  <c r="H499" i="4"/>
  <c r="I499" i="4" s="1"/>
  <c r="J490" i="4" s="1"/>
  <c r="H500" i="4"/>
  <c r="I500" i="4" s="1"/>
  <c r="J491" i="4" s="1"/>
  <c r="H501" i="4"/>
  <c r="I501" i="4"/>
  <c r="J492" i="4" s="1"/>
  <c r="H502" i="4"/>
  <c r="I502" i="4" s="1"/>
  <c r="J493" i="4" s="1"/>
  <c r="H503" i="4"/>
  <c r="I503" i="4" s="1"/>
  <c r="J494" i="4" s="1"/>
  <c r="H504" i="4"/>
  <c r="I504" i="4" s="1"/>
  <c r="J495" i="4" s="1"/>
  <c r="H505" i="4"/>
  <c r="I505" i="4" s="1"/>
  <c r="J496" i="4" s="1"/>
  <c r="H506" i="4"/>
  <c r="I506" i="4"/>
  <c r="J497" i="4" s="1"/>
  <c r="H507" i="4"/>
  <c r="I507" i="4" s="1"/>
  <c r="J498" i="4" s="1"/>
  <c r="H508" i="4"/>
  <c r="I508" i="4" s="1"/>
  <c r="J499" i="4" s="1"/>
  <c r="H509" i="4"/>
  <c r="I509" i="4"/>
  <c r="J500" i="4" s="1"/>
  <c r="H510" i="4"/>
  <c r="I510" i="4" s="1"/>
  <c r="J501" i="4" s="1"/>
  <c r="H511" i="4"/>
  <c r="I511" i="4" s="1"/>
  <c r="J502" i="4" s="1"/>
  <c r="H512" i="4"/>
  <c r="I512" i="4" s="1"/>
  <c r="J503" i="4" s="1"/>
  <c r="H513" i="4"/>
  <c r="I513" i="4" s="1"/>
  <c r="J504" i="4" s="1"/>
  <c r="H514" i="4"/>
  <c r="I514" i="4"/>
  <c r="J505" i="4" s="1"/>
  <c r="H515" i="4"/>
  <c r="I515" i="4" s="1"/>
  <c r="J506" i="4" s="1"/>
  <c r="H516" i="4"/>
  <c r="I516" i="4" s="1"/>
  <c r="J507" i="4" s="1"/>
  <c r="H517" i="4"/>
  <c r="I517" i="4" s="1"/>
  <c r="J508" i="4" s="1"/>
  <c r="H518" i="4"/>
  <c r="I518" i="4"/>
  <c r="J509" i="4" s="1"/>
  <c r="H519" i="4"/>
  <c r="I519" i="4" s="1"/>
  <c r="J510" i="4" s="1"/>
  <c r="H520" i="4"/>
  <c r="I520" i="4" s="1"/>
  <c r="J511" i="4" s="1"/>
  <c r="H521" i="4"/>
  <c r="I521" i="4"/>
  <c r="J512" i="4" s="1"/>
  <c r="H522" i="4"/>
  <c r="I522" i="4" s="1"/>
  <c r="J513" i="4" s="1"/>
  <c r="H523" i="4"/>
  <c r="I523" i="4" s="1"/>
  <c r="J514" i="4" s="1"/>
  <c r="H524" i="4"/>
  <c r="I524" i="4"/>
  <c r="J515" i="4" s="1"/>
  <c r="H525" i="4"/>
  <c r="I525" i="4" s="1"/>
  <c r="J516" i="4" s="1"/>
  <c r="H526" i="4"/>
  <c r="I526" i="4" s="1"/>
  <c r="J517" i="4" s="1"/>
  <c r="H527" i="4"/>
  <c r="I527" i="4" s="1"/>
  <c r="J518" i="4" s="1"/>
  <c r="H528" i="4"/>
  <c r="I528" i="4"/>
  <c r="J519" i="4" s="1"/>
  <c r="H529" i="4"/>
  <c r="I529" i="4" s="1"/>
  <c r="J520" i="4" s="1"/>
  <c r="H530" i="4"/>
  <c r="I530" i="4"/>
  <c r="J521" i="4" s="1"/>
  <c r="H531" i="4"/>
  <c r="I531" i="4" s="1"/>
  <c r="J522" i="4" s="1"/>
  <c r="H532" i="4"/>
  <c r="I532" i="4"/>
  <c r="J523" i="4" s="1"/>
  <c r="H533" i="4"/>
  <c r="I533" i="4"/>
  <c r="J524" i="4" s="1"/>
  <c r="H534" i="4"/>
  <c r="I534" i="4" s="1"/>
  <c r="J525" i="4" s="1"/>
  <c r="H535" i="4"/>
  <c r="I535" i="4" s="1"/>
  <c r="J526" i="4" s="1"/>
  <c r="H536" i="4"/>
  <c r="I536" i="4" s="1"/>
  <c r="J527" i="4" s="1"/>
  <c r="H537" i="4"/>
  <c r="I537" i="4"/>
  <c r="J528" i="4" s="1"/>
  <c r="H538" i="4"/>
  <c r="I538" i="4" s="1"/>
  <c r="J529" i="4" s="1"/>
  <c r="H539" i="4"/>
  <c r="I539" i="4" s="1"/>
  <c r="J530" i="4" s="1"/>
  <c r="H540" i="4"/>
  <c r="I540" i="4" s="1"/>
  <c r="J531" i="4" s="1"/>
  <c r="H541" i="4"/>
  <c r="I541" i="4"/>
  <c r="J532" i="4" s="1"/>
  <c r="H542" i="4"/>
  <c r="I542" i="4"/>
  <c r="J533" i="4" s="1"/>
  <c r="H543" i="4"/>
  <c r="I543" i="4" s="1"/>
  <c r="J534" i="4" s="1"/>
  <c r="H544" i="4"/>
  <c r="I544" i="4"/>
  <c r="J535" i="4" s="1"/>
  <c r="H545" i="4"/>
  <c r="I545" i="4" s="1"/>
  <c r="J536" i="4" s="1"/>
  <c r="H546" i="4"/>
  <c r="I546" i="4"/>
  <c r="J537" i="4" s="1"/>
  <c r="H547" i="4"/>
  <c r="I547" i="4" s="1"/>
  <c r="J538" i="4" s="1"/>
  <c r="H548" i="4"/>
  <c r="I548" i="4" s="1"/>
  <c r="J539" i="4" s="1"/>
  <c r="H549" i="4"/>
  <c r="I549" i="4" s="1"/>
  <c r="J540" i="4" s="1"/>
  <c r="H550" i="4"/>
  <c r="I550" i="4"/>
  <c r="J541" i="4" s="1"/>
  <c r="H551" i="4"/>
  <c r="I551" i="4" s="1"/>
  <c r="J542" i="4" s="1"/>
  <c r="H552" i="4"/>
  <c r="I552" i="4" s="1"/>
  <c r="J543" i="4" s="1"/>
  <c r="H553" i="4"/>
  <c r="I553" i="4"/>
  <c r="J544" i="4" s="1"/>
  <c r="H554" i="4"/>
  <c r="I554" i="4" s="1"/>
  <c r="J545" i="4" s="1"/>
  <c r="H555" i="4"/>
  <c r="I555" i="4" s="1"/>
  <c r="J546" i="4" s="1"/>
  <c r="H556" i="4"/>
  <c r="I556" i="4"/>
  <c r="J547" i="4" s="1"/>
  <c r="H557" i="4"/>
  <c r="I557" i="4" s="1"/>
  <c r="J548" i="4" s="1"/>
  <c r="H558" i="4"/>
  <c r="I558" i="4" s="1"/>
  <c r="J549" i="4" s="1"/>
  <c r="H559" i="4"/>
  <c r="I559" i="4" s="1"/>
  <c r="J550" i="4" s="1"/>
  <c r="H560" i="4"/>
  <c r="I560" i="4"/>
  <c r="J551" i="4" s="1"/>
  <c r="H561" i="4"/>
  <c r="I561" i="4" s="1"/>
  <c r="J552" i="4" s="1"/>
  <c r="H562" i="4"/>
  <c r="I562" i="4"/>
  <c r="J553" i="4" s="1"/>
  <c r="H563" i="4"/>
  <c r="I563" i="4" s="1"/>
  <c r="J554" i="4" s="1"/>
  <c r="H564" i="4"/>
  <c r="I564" i="4"/>
  <c r="J555" i="4" s="1"/>
  <c r="H565" i="4"/>
  <c r="I565" i="4"/>
  <c r="J556" i="4" s="1"/>
  <c r="H566" i="4"/>
  <c r="I566" i="4" s="1"/>
  <c r="J557" i="4" s="1"/>
  <c r="H567" i="4"/>
  <c r="I567" i="4" s="1"/>
  <c r="J558" i="4" s="1"/>
  <c r="H568" i="4"/>
  <c r="I568" i="4" s="1"/>
  <c r="J559" i="4" s="1"/>
  <c r="H569" i="4"/>
  <c r="I569" i="4"/>
  <c r="J560" i="4" s="1"/>
  <c r="H570" i="4"/>
  <c r="I570" i="4" s="1"/>
  <c r="J561" i="4" s="1"/>
  <c r="H571" i="4"/>
  <c r="I571" i="4" s="1"/>
  <c r="J562" i="4" s="1"/>
  <c r="H572" i="4"/>
  <c r="I572" i="4" s="1"/>
  <c r="J563" i="4" s="1"/>
  <c r="H573" i="4"/>
  <c r="I573" i="4"/>
  <c r="J564" i="4" s="1"/>
  <c r="H574" i="4"/>
  <c r="I574" i="4"/>
  <c r="J565" i="4" s="1"/>
  <c r="H575" i="4"/>
  <c r="I575" i="4" s="1"/>
  <c r="J566" i="4" s="1"/>
  <c r="H576" i="4"/>
  <c r="I576" i="4"/>
  <c r="J567" i="4" s="1"/>
  <c r="H577" i="4"/>
  <c r="I577" i="4" s="1"/>
  <c r="J568" i="4" s="1"/>
  <c r="H578" i="4"/>
  <c r="I578" i="4"/>
  <c r="J569" i="4" s="1"/>
  <c r="H579" i="4"/>
  <c r="I579" i="4" s="1"/>
  <c r="J570" i="4" s="1"/>
  <c r="H580" i="4"/>
  <c r="I580" i="4" s="1"/>
  <c r="J571" i="4" s="1"/>
  <c r="H581" i="4"/>
  <c r="I581" i="4" s="1"/>
  <c r="J572" i="4" s="1"/>
  <c r="H582" i="4"/>
  <c r="I582" i="4"/>
  <c r="J573" i="4" s="1"/>
  <c r="H583" i="4"/>
  <c r="I583" i="4" s="1"/>
  <c r="J574" i="4" s="1"/>
  <c r="H584" i="4"/>
  <c r="I584" i="4" s="1"/>
  <c r="J575" i="4" s="1"/>
  <c r="H585" i="4"/>
  <c r="I585" i="4"/>
  <c r="J576" i="4" s="1"/>
  <c r="H586" i="4"/>
  <c r="I586" i="4" s="1"/>
  <c r="J577" i="4" s="1"/>
  <c r="H587" i="4"/>
  <c r="I587" i="4" s="1"/>
  <c r="J578" i="4" s="1"/>
  <c r="H588" i="4"/>
  <c r="I588" i="4"/>
  <c r="J579" i="4" s="1"/>
  <c r="H589" i="4"/>
  <c r="I589" i="4" s="1"/>
  <c r="J580" i="4" s="1"/>
  <c r="H590" i="4"/>
  <c r="I590" i="4" s="1"/>
  <c r="J581" i="4" s="1"/>
  <c r="H591" i="4"/>
  <c r="I591" i="4" s="1"/>
  <c r="J582" i="4" s="1"/>
  <c r="H592" i="4"/>
  <c r="I592" i="4"/>
  <c r="J583" i="4" s="1"/>
  <c r="H593" i="4"/>
  <c r="I593" i="4" s="1"/>
  <c r="J584" i="4" s="1"/>
  <c r="H594" i="4"/>
  <c r="I594" i="4"/>
  <c r="J585" i="4" s="1"/>
  <c r="H595" i="4"/>
  <c r="I595" i="4" s="1"/>
  <c r="J586" i="4" s="1"/>
  <c r="H596" i="4"/>
  <c r="I596" i="4"/>
  <c r="J587" i="4" s="1"/>
  <c r="H597" i="4"/>
  <c r="I597" i="4"/>
  <c r="J588" i="4" s="1"/>
  <c r="H598" i="4"/>
  <c r="I598" i="4" s="1"/>
  <c r="J589" i="4" s="1"/>
  <c r="H599" i="4"/>
  <c r="I599" i="4" s="1"/>
  <c r="J590" i="4" s="1"/>
  <c r="H600" i="4"/>
  <c r="I600" i="4" s="1"/>
  <c r="J591" i="4" s="1"/>
  <c r="H601" i="4"/>
  <c r="I601" i="4"/>
  <c r="J592" i="4" s="1"/>
  <c r="H602" i="4"/>
  <c r="I602" i="4" s="1"/>
  <c r="J593" i="4" s="1"/>
  <c r="H603" i="4"/>
  <c r="I603" i="4" s="1"/>
  <c r="J594" i="4" s="1"/>
  <c r="H604" i="4"/>
  <c r="I604" i="4" s="1"/>
  <c r="J595" i="4" s="1"/>
  <c r="H605" i="4"/>
  <c r="I605" i="4"/>
  <c r="J596" i="4" s="1"/>
  <c r="H606" i="4"/>
  <c r="I606" i="4"/>
  <c r="J597" i="4" s="1"/>
  <c r="H607" i="4"/>
  <c r="I607" i="4" s="1"/>
  <c r="J598" i="4" s="1"/>
  <c r="H608" i="4"/>
  <c r="I608" i="4"/>
  <c r="J599" i="4" s="1"/>
  <c r="H609" i="4"/>
  <c r="I609" i="4" s="1"/>
  <c r="J600" i="4" s="1"/>
  <c r="H610" i="4"/>
  <c r="I610" i="4"/>
  <c r="J601" i="4" s="1"/>
  <c r="H611" i="4"/>
  <c r="I611" i="4" s="1"/>
  <c r="J602" i="4" s="1"/>
  <c r="H612" i="4"/>
  <c r="I612" i="4" s="1"/>
  <c r="J603" i="4" s="1"/>
  <c r="H613" i="4"/>
  <c r="I613" i="4" s="1"/>
  <c r="J604" i="4" s="1"/>
  <c r="H614" i="4"/>
  <c r="I614" i="4"/>
  <c r="J605" i="4" s="1"/>
  <c r="H615" i="4"/>
  <c r="I615" i="4" s="1"/>
  <c r="J606" i="4" s="1"/>
  <c r="H616" i="4"/>
  <c r="I616" i="4"/>
  <c r="J607" i="4" s="1"/>
  <c r="H617" i="4"/>
  <c r="I617" i="4"/>
  <c r="J608" i="4" s="1"/>
  <c r="H618" i="4"/>
  <c r="I618" i="4" s="1"/>
  <c r="J609" i="4" s="1"/>
  <c r="H619" i="4"/>
  <c r="I619" i="4" s="1"/>
  <c r="J610" i="4" s="1"/>
  <c r="H620" i="4"/>
  <c r="I620" i="4"/>
  <c r="J611" i="4" s="1"/>
  <c r="H621" i="4"/>
  <c r="I621" i="4" s="1"/>
  <c r="J612" i="4" s="1"/>
  <c r="H622" i="4"/>
  <c r="I622" i="4" s="1"/>
  <c r="J613" i="4" s="1"/>
  <c r="H623" i="4"/>
  <c r="I623" i="4" s="1"/>
  <c r="J614" i="4" s="1"/>
  <c r="H624" i="4"/>
  <c r="I624" i="4"/>
  <c r="J615" i="4" s="1"/>
  <c r="H625" i="4"/>
  <c r="I625" i="4"/>
  <c r="J616" i="4" s="1"/>
  <c r="H626" i="4"/>
  <c r="I626" i="4"/>
  <c r="J617" i="4" s="1"/>
  <c r="H627" i="4"/>
  <c r="I627" i="4" s="1"/>
  <c r="J618" i="4" s="1"/>
  <c r="H628" i="4"/>
  <c r="I628" i="4"/>
  <c r="J619" i="4" s="1"/>
  <c r="H629" i="4"/>
  <c r="I629" i="4"/>
  <c r="J620" i="4" s="1"/>
  <c r="H630" i="4"/>
  <c r="I630" i="4" s="1"/>
  <c r="J621" i="4" s="1"/>
  <c r="H631" i="4"/>
  <c r="I631" i="4" s="1"/>
  <c r="J622" i="4" s="1"/>
  <c r="H632" i="4"/>
  <c r="I632" i="4" s="1"/>
  <c r="J623" i="4" s="1"/>
  <c r="H633" i="4"/>
  <c r="I633" i="4"/>
  <c r="J624" i="4" s="1"/>
  <c r="H634" i="4"/>
  <c r="I634" i="4"/>
  <c r="J625" i="4" s="1"/>
  <c r="H635" i="4"/>
  <c r="I635" i="4" s="1"/>
  <c r="J626" i="4" s="1"/>
  <c r="H636" i="4"/>
  <c r="I636" i="4" s="1"/>
  <c r="J627" i="4" s="1"/>
  <c r="H637" i="4"/>
  <c r="I637" i="4"/>
  <c r="J628" i="4" s="1"/>
  <c r="H638" i="4"/>
  <c r="I638" i="4"/>
  <c r="J629" i="4" s="1"/>
  <c r="H639" i="4"/>
  <c r="I639" i="4" s="1"/>
  <c r="J630" i="4" s="1"/>
  <c r="H640" i="4"/>
  <c r="I640" i="4"/>
  <c r="J631" i="4" s="1"/>
  <c r="H641" i="4"/>
  <c r="I641" i="4" s="1"/>
  <c r="J632" i="4" s="1"/>
  <c r="H642" i="4"/>
  <c r="I642" i="4"/>
  <c r="J633" i="4" s="1"/>
  <c r="H643" i="4"/>
  <c r="I643" i="4" s="1"/>
  <c r="J634" i="4" s="1"/>
  <c r="H644" i="4"/>
  <c r="I644" i="4" s="1"/>
  <c r="J635" i="4" s="1"/>
  <c r="H645" i="4"/>
  <c r="I645" i="4" s="1"/>
  <c r="J636" i="4" s="1"/>
  <c r="H646" i="4"/>
  <c r="I646" i="4"/>
  <c r="J637" i="4" s="1"/>
  <c r="H647" i="4"/>
  <c r="I647" i="4" s="1"/>
  <c r="J638" i="4" s="1"/>
  <c r="H648" i="4"/>
  <c r="I648" i="4"/>
  <c r="J639" i="4" s="1"/>
  <c r="H649" i="4"/>
  <c r="I649" i="4"/>
  <c r="J640" i="4" s="1"/>
  <c r="H650" i="4"/>
  <c r="I650" i="4" s="1"/>
  <c r="J641" i="4" s="1"/>
  <c r="H651" i="4"/>
  <c r="I651" i="4" s="1"/>
  <c r="J642" i="4" s="1"/>
  <c r="H652" i="4"/>
  <c r="I652" i="4"/>
  <c r="J643" i="4" s="1"/>
  <c r="H653" i="4"/>
  <c r="I653" i="4" s="1"/>
  <c r="J644" i="4" s="1"/>
  <c r="H654" i="4"/>
  <c r="I654" i="4" s="1"/>
  <c r="J645" i="4" s="1"/>
  <c r="H655" i="4"/>
  <c r="I655" i="4" s="1"/>
  <c r="J646" i="4" s="1"/>
  <c r="H656" i="4"/>
  <c r="I656" i="4"/>
  <c r="J647" i="4" s="1"/>
  <c r="H657" i="4"/>
  <c r="I657" i="4"/>
  <c r="J648" i="4" s="1"/>
  <c r="H658" i="4"/>
  <c r="I658" i="4"/>
  <c r="J649" i="4" s="1"/>
  <c r="H659" i="4"/>
  <c r="I659" i="4" s="1"/>
  <c r="J650" i="4" s="1"/>
  <c r="H660" i="4"/>
  <c r="I660" i="4"/>
  <c r="J651" i="4" s="1"/>
  <c r="H661" i="4"/>
  <c r="I661" i="4"/>
  <c r="J652" i="4" s="1"/>
  <c r="H662" i="4"/>
  <c r="I662" i="4" s="1"/>
  <c r="J653" i="4" s="1"/>
  <c r="H663" i="4"/>
  <c r="I663" i="4" s="1"/>
  <c r="J654" i="4" s="1"/>
  <c r="H664" i="4"/>
  <c r="I664" i="4" s="1"/>
  <c r="J655" i="4" s="1"/>
  <c r="H665" i="4"/>
  <c r="I665" i="4"/>
  <c r="J656" i="4" s="1"/>
  <c r="H666" i="4"/>
  <c r="I666" i="4"/>
  <c r="J657" i="4" s="1"/>
  <c r="H667" i="4"/>
  <c r="I667" i="4" s="1"/>
  <c r="J658" i="4" s="1"/>
  <c r="H668" i="4"/>
  <c r="I668" i="4" s="1"/>
  <c r="J659" i="4" s="1"/>
  <c r="H669" i="4"/>
  <c r="I669" i="4"/>
  <c r="J660" i="4" s="1"/>
  <c r="H670" i="4"/>
  <c r="I670" i="4"/>
  <c r="J661" i="4" s="1"/>
  <c r="H671" i="4"/>
  <c r="I671" i="4" s="1"/>
  <c r="J662" i="4" s="1"/>
  <c r="H672" i="4"/>
  <c r="I672" i="4"/>
  <c r="J663" i="4" s="1"/>
  <c r="H673" i="4"/>
  <c r="I673" i="4" s="1"/>
  <c r="J664" i="4" s="1"/>
  <c r="H674" i="4"/>
  <c r="I674" i="4"/>
  <c r="J665" i="4" s="1"/>
  <c r="H675" i="4"/>
  <c r="I675" i="4" s="1"/>
  <c r="J666" i="4" s="1"/>
  <c r="H676" i="4"/>
  <c r="I676" i="4" s="1"/>
  <c r="J667" i="4" s="1"/>
  <c r="H677" i="4"/>
  <c r="I677" i="4" s="1"/>
  <c r="J668" i="4" s="1"/>
  <c r="H678" i="4"/>
  <c r="I678" i="4"/>
  <c r="J669" i="4" s="1"/>
  <c r="H679" i="4"/>
  <c r="I679" i="4" s="1"/>
  <c r="J670" i="4" s="1"/>
  <c r="H680" i="4"/>
  <c r="I680" i="4"/>
  <c r="J671" i="4" s="1"/>
  <c r="H681" i="4"/>
  <c r="I681" i="4"/>
  <c r="J672" i="4" s="1"/>
  <c r="H682" i="4"/>
  <c r="I682" i="4" s="1"/>
  <c r="J673" i="4" s="1"/>
  <c r="H683" i="4"/>
  <c r="I683" i="4" s="1"/>
  <c r="J674" i="4" s="1"/>
  <c r="H684" i="4"/>
  <c r="I684" i="4"/>
  <c r="J675" i="4" s="1"/>
  <c r="H685" i="4"/>
  <c r="I685" i="4" s="1"/>
  <c r="J676" i="4" s="1"/>
  <c r="H686" i="4"/>
  <c r="I686" i="4" s="1"/>
  <c r="J677" i="4" s="1"/>
  <c r="H687" i="4"/>
  <c r="I687" i="4" s="1"/>
  <c r="J678" i="4" s="1"/>
  <c r="H688" i="4"/>
  <c r="I688" i="4"/>
  <c r="J679" i="4" s="1"/>
  <c r="H689" i="4"/>
  <c r="I689" i="4"/>
  <c r="J680" i="4" s="1"/>
  <c r="H690" i="4"/>
  <c r="I690" i="4"/>
  <c r="J681" i="4" s="1"/>
  <c r="H691" i="4"/>
  <c r="I691" i="4" s="1"/>
  <c r="J682" i="4" s="1"/>
  <c r="H692" i="4"/>
  <c r="I692" i="4"/>
  <c r="J683" i="4" s="1"/>
  <c r="H693" i="4"/>
  <c r="I693" i="4"/>
  <c r="J684" i="4" s="1"/>
  <c r="H694" i="4"/>
  <c r="I694" i="4" s="1"/>
  <c r="J685" i="4" s="1"/>
  <c r="H695" i="4"/>
  <c r="I695" i="4" s="1"/>
  <c r="J686" i="4" s="1"/>
  <c r="H696" i="4"/>
  <c r="I696" i="4" s="1"/>
  <c r="J687" i="4" s="1"/>
  <c r="H697" i="4"/>
  <c r="I697" i="4"/>
  <c r="J688" i="4" s="1"/>
  <c r="H698" i="4"/>
  <c r="I698" i="4"/>
  <c r="J689" i="4" s="1"/>
  <c r="H699" i="4"/>
  <c r="I699" i="4" s="1"/>
  <c r="J690" i="4" s="1"/>
  <c r="H700" i="4"/>
  <c r="I700" i="4" s="1"/>
  <c r="J691" i="4" s="1"/>
  <c r="H701" i="4"/>
  <c r="I701" i="4"/>
  <c r="J692" i="4" s="1"/>
  <c r="H702" i="4"/>
  <c r="I702" i="4"/>
  <c r="J693" i="4" s="1"/>
  <c r="H703" i="4"/>
  <c r="I703" i="4" s="1"/>
  <c r="J694" i="4" s="1"/>
  <c r="H704" i="4"/>
  <c r="I704" i="4"/>
  <c r="J695" i="4" s="1"/>
  <c r="H705" i="4"/>
  <c r="I705" i="4" s="1"/>
  <c r="J696" i="4" s="1"/>
  <c r="H706" i="4"/>
  <c r="I706" i="4"/>
  <c r="J697" i="4" s="1"/>
  <c r="H707" i="4"/>
  <c r="I707" i="4" s="1"/>
  <c r="J698" i="4" s="1"/>
  <c r="H708" i="4"/>
  <c r="I708" i="4" s="1"/>
  <c r="J699" i="4" s="1"/>
  <c r="H709" i="4"/>
  <c r="I709" i="4" s="1"/>
  <c r="J700" i="4" s="1"/>
  <c r="H710" i="4"/>
  <c r="I710" i="4"/>
  <c r="J701" i="4" s="1"/>
  <c r="H711" i="4"/>
  <c r="I711" i="4" s="1"/>
  <c r="J702" i="4" s="1"/>
  <c r="H712" i="4"/>
  <c r="I712" i="4"/>
  <c r="J703" i="4" s="1"/>
  <c r="H713" i="4"/>
  <c r="I713" i="4"/>
  <c r="J704" i="4" s="1"/>
  <c r="H714" i="4"/>
  <c r="I714" i="4" s="1"/>
  <c r="J705" i="4" s="1"/>
  <c r="H715" i="4"/>
  <c r="I715" i="4" s="1"/>
  <c r="J706" i="4" s="1"/>
  <c r="H716" i="4"/>
  <c r="I716" i="4"/>
  <c r="J707" i="4" s="1"/>
  <c r="H717" i="4"/>
  <c r="I717" i="4" s="1"/>
  <c r="J708" i="4" s="1"/>
  <c r="H718" i="4"/>
  <c r="I718" i="4" s="1"/>
  <c r="J709" i="4" s="1"/>
  <c r="H719" i="4"/>
  <c r="I719" i="4" s="1"/>
  <c r="J710" i="4" s="1"/>
  <c r="H720" i="4"/>
  <c r="I720" i="4"/>
  <c r="J711" i="4" s="1"/>
  <c r="H721" i="4"/>
  <c r="I721" i="4"/>
  <c r="J712" i="4" s="1"/>
  <c r="H722" i="4"/>
  <c r="I722" i="4"/>
  <c r="J713" i="4" s="1"/>
  <c r="H723" i="4"/>
  <c r="I723" i="4" s="1"/>
  <c r="J714" i="4" s="1"/>
  <c r="H724" i="4"/>
  <c r="I724" i="4"/>
  <c r="J715" i="4" s="1"/>
  <c r="H725" i="4"/>
  <c r="I725" i="4"/>
  <c r="J716" i="4" s="1"/>
  <c r="H726" i="4"/>
  <c r="I726" i="4" s="1"/>
  <c r="J717" i="4" s="1"/>
  <c r="H727" i="4"/>
  <c r="I727" i="4" s="1"/>
  <c r="J718" i="4" s="1"/>
  <c r="H728" i="4"/>
  <c r="I728" i="4" s="1"/>
  <c r="J719" i="4" s="1"/>
  <c r="H729" i="4"/>
  <c r="I729" i="4"/>
  <c r="J720" i="4" s="1"/>
  <c r="H730" i="4"/>
  <c r="I730" i="4"/>
  <c r="J721" i="4" s="1"/>
  <c r="H731" i="4"/>
  <c r="I731" i="4" s="1"/>
  <c r="J722" i="4" s="1"/>
  <c r="H732" i="4"/>
  <c r="I732" i="4" s="1"/>
  <c r="J723" i="4" s="1"/>
  <c r="H733" i="4"/>
  <c r="I733" i="4"/>
  <c r="J724" i="4" s="1"/>
  <c r="H734" i="4"/>
  <c r="I734" i="4"/>
  <c r="J725" i="4" s="1"/>
  <c r="H735" i="4"/>
  <c r="I735" i="4" s="1"/>
  <c r="J726" i="4" s="1"/>
  <c r="H736" i="4"/>
  <c r="I736" i="4"/>
  <c r="J727" i="4" s="1"/>
  <c r="H737" i="4"/>
  <c r="I737" i="4" s="1"/>
  <c r="J728" i="4" s="1"/>
  <c r="H738" i="4"/>
  <c r="I738" i="4"/>
  <c r="J729" i="4" s="1"/>
  <c r="H739" i="4"/>
  <c r="I739" i="4" s="1"/>
  <c r="J730" i="4" s="1"/>
  <c r="H740" i="4"/>
  <c r="I740" i="4" s="1"/>
  <c r="J731" i="4" s="1"/>
  <c r="H741" i="4"/>
  <c r="I741" i="4" s="1"/>
  <c r="J732" i="4" s="1"/>
  <c r="H742" i="4"/>
  <c r="I742" i="4"/>
  <c r="J733" i="4" s="1"/>
  <c r="H743" i="4"/>
  <c r="I743" i="4" s="1"/>
  <c r="J734" i="4" s="1"/>
  <c r="H744" i="4"/>
  <c r="I744" i="4"/>
  <c r="J735" i="4" s="1"/>
  <c r="H745" i="4"/>
  <c r="I745" i="4"/>
  <c r="J736" i="4" s="1"/>
  <c r="H746" i="4"/>
  <c r="I746" i="4" s="1"/>
  <c r="J737" i="4" s="1"/>
  <c r="H747" i="4"/>
  <c r="I747" i="4" s="1"/>
  <c r="J738" i="4" s="1"/>
  <c r="H748" i="4"/>
  <c r="I748" i="4"/>
  <c r="J739" i="4" s="1"/>
  <c r="H749" i="4"/>
  <c r="I749" i="4" s="1"/>
  <c r="J740" i="4" s="1"/>
  <c r="H750" i="4"/>
  <c r="I750" i="4" s="1"/>
  <c r="J741" i="4" s="1"/>
  <c r="H751" i="4"/>
  <c r="I751" i="4" s="1"/>
  <c r="J742" i="4" s="1"/>
  <c r="H752" i="4"/>
  <c r="I752" i="4"/>
  <c r="J743" i="4" s="1"/>
  <c r="H753" i="4"/>
  <c r="I753" i="4"/>
  <c r="J744" i="4" s="1"/>
  <c r="H754" i="4"/>
  <c r="I754" i="4"/>
  <c r="J745" i="4" s="1"/>
  <c r="H755" i="4"/>
  <c r="I755" i="4" s="1"/>
  <c r="J746" i="4" s="1"/>
  <c r="H756" i="4"/>
  <c r="I756" i="4"/>
  <c r="J747" i="4" s="1"/>
  <c r="H757" i="4"/>
  <c r="I757" i="4"/>
  <c r="J748" i="4" s="1"/>
  <c r="H758" i="4"/>
  <c r="I758" i="4" s="1"/>
  <c r="J749" i="4" s="1"/>
  <c r="H759" i="4"/>
  <c r="I759" i="4" s="1"/>
  <c r="J750" i="4" s="1"/>
  <c r="H760" i="4"/>
  <c r="I760" i="4" s="1"/>
  <c r="J751" i="4" s="1"/>
  <c r="H761" i="4"/>
  <c r="I761" i="4"/>
  <c r="J752" i="4" s="1"/>
  <c r="H762" i="4"/>
  <c r="I762" i="4"/>
  <c r="J753" i="4" s="1"/>
  <c r="H763" i="4"/>
  <c r="I763" i="4" s="1"/>
  <c r="J754" i="4" s="1"/>
  <c r="H764" i="4"/>
  <c r="I764" i="4" s="1"/>
  <c r="J755" i="4" s="1"/>
  <c r="H765" i="4"/>
  <c r="I765" i="4"/>
  <c r="J756" i="4" s="1"/>
  <c r="H766" i="4"/>
  <c r="I766" i="4"/>
  <c r="J757" i="4" s="1"/>
  <c r="H767" i="4"/>
  <c r="I767" i="4" s="1"/>
  <c r="J758" i="4" s="1"/>
  <c r="H768" i="4"/>
  <c r="I768" i="4"/>
  <c r="J759" i="4" s="1"/>
  <c r="H769" i="4"/>
  <c r="I769" i="4" s="1"/>
  <c r="J760" i="4" s="1"/>
  <c r="H770" i="4"/>
  <c r="I770" i="4"/>
  <c r="J761" i="4" s="1"/>
  <c r="H771" i="4"/>
  <c r="I771" i="4" s="1"/>
  <c r="J762" i="4" s="1"/>
  <c r="H772" i="4"/>
  <c r="I772" i="4" s="1"/>
  <c r="J763" i="4" s="1"/>
  <c r="H773" i="4"/>
  <c r="I773" i="4" s="1"/>
  <c r="J764" i="4" s="1"/>
  <c r="H774" i="4"/>
  <c r="I774" i="4"/>
  <c r="J765" i="4" s="1"/>
  <c r="H775" i="4"/>
  <c r="I775" i="4" s="1"/>
  <c r="J766" i="4" s="1"/>
  <c r="H776" i="4"/>
  <c r="I776" i="4"/>
  <c r="J767" i="4" s="1"/>
  <c r="H777" i="4"/>
  <c r="I777" i="4"/>
  <c r="J768" i="4" s="1"/>
  <c r="H778" i="4"/>
  <c r="I778" i="4" s="1"/>
  <c r="J769" i="4" s="1"/>
  <c r="H779" i="4"/>
  <c r="I779" i="4" s="1"/>
  <c r="J770" i="4" s="1"/>
  <c r="H780" i="4"/>
  <c r="I780" i="4"/>
  <c r="J771" i="4" s="1"/>
  <c r="H781" i="4"/>
  <c r="I781" i="4" s="1"/>
  <c r="J772" i="4" s="1"/>
  <c r="H782" i="4"/>
  <c r="I782" i="4" s="1"/>
  <c r="J773" i="4" s="1"/>
  <c r="H783" i="4"/>
  <c r="I783" i="4" s="1"/>
  <c r="J774" i="4" s="1"/>
  <c r="H784" i="4"/>
  <c r="I784" i="4"/>
  <c r="J775" i="4" s="1"/>
  <c r="H785" i="4"/>
  <c r="I785" i="4"/>
  <c r="J776" i="4" s="1"/>
  <c r="H786" i="4"/>
  <c r="I786" i="4"/>
  <c r="J777" i="4" s="1"/>
  <c r="H787" i="4"/>
  <c r="I787" i="4" s="1"/>
  <c r="J778" i="4" s="1"/>
  <c r="H788" i="4"/>
  <c r="I788" i="4"/>
  <c r="H789" i="4"/>
  <c r="I789" i="4"/>
  <c r="J780" i="4" s="1"/>
  <c r="H790" i="4"/>
  <c r="I790" i="4" s="1"/>
  <c r="J781" i="4" s="1"/>
  <c r="H791" i="4"/>
  <c r="I791" i="4" s="1"/>
  <c r="J782" i="4" s="1"/>
  <c r="H792" i="4"/>
  <c r="I792" i="4" s="1"/>
  <c r="J783" i="4" s="1"/>
  <c r="H793" i="4"/>
  <c r="I793" i="4"/>
  <c r="J784" i="4" s="1"/>
  <c r="H794" i="4"/>
  <c r="I794" i="4"/>
  <c r="J785" i="4" s="1"/>
  <c r="H795" i="4"/>
  <c r="I795" i="4" s="1"/>
  <c r="J786" i="4" s="1"/>
  <c r="H796" i="4"/>
  <c r="I796" i="4" s="1"/>
  <c r="J787" i="4" s="1"/>
  <c r="H797" i="4"/>
  <c r="I797" i="4"/>
  <c r="J788" i="4" s="1"/>
  <c r="H798" i="4"/>
  <c r="I798" i="4"/>
  <c r="J789" i="4" s="1"/>
  <c r="H799" i="4"/>
  <c r="I799" i="4" s="1"/>
  <c r="J790" i="4" s="1"/>
  <c r="H800" i="4"/>
  <c r="I800" i="4"/>
  <c r="J791" i="4" s="1"/>
  <c r="H801" i="4"/>
  <c r="I801" i="4" s="1"/>
  <c r="J792" i="4" s="1"/>
  <c r="H802" i="4"/>
  <c r="I802" i="4"/>
  <c r="J793" i="4" s="1"/>
  <c r="H803" i="4"/>
  <c r="I803" i="4" s="1"/>
  <c r="J794" i="4" s="1"/>
  <c r="H804" i="4"/>
  <c r="I804" i="4" s="1"/>
  <c r="J795" i="4" s="1"/>
  <c r="H805" i="4"/>
  <c r="I805" i="4" s="1"/>
  <c r="J796" i="4" s="1"/>
  <c r="H806" i="4"/>
  <c r="I806" i="4"/>
  <c r="J797" i="4" s="1"/>
  <c r="H807" i="4"/>
  <c r="I807" i="4" s="1"/>
  <c r="J798" i="4" s="1"/>
  <c r="H808" i="4"/>
  <c r="I808" i="4"/>
  <c r="J799" i="4" s="1"/>
  <c r="H809" i="4"/>
  <c r="I809" i="4"/>
  <c r="J800" i="4" s="1"/>
  <c r="H810" i="4"/>
  <c r="I810" i="4" s="1"/>
  <c r="J801" i="4" s="1"/>
  <c r="H811" i="4"/>
  <c r="I811" i="4" s="1"/>
  <c r="J802" i="4" s="1"/>
  <c r="H812" i="4"/>
  <c r="I812" i="4"/>
  <c r="J803" i="4" s="1"/>
  <c r="H813" i="4"/>
  <c r="I813" i="4" s="1"/>
  <c r="J804" i="4" s="1"/>
  <c r="H814" i="4"/>
  <c r="I814" i="4" s="1"/>
  <c r="J805" i="4" s="1"/>
  <c r="H815" i="4"/>
  <c r="I815" i="4" s="1"/>
  <c r="J806" i="4" s="1"/>
  <c r="H816" i="4"/>
  <c r="I816" i="4"/>
  <c r="J807" i="4" s="1"/>
  <c r="H817" i="4"/>
  <c r="I817" i="4"/>
  <c r="J808" i="4" s="1"/>
  <c r="H818" i="4"/>
  <c r="I818" i="4"/>
  <c r="J809" i="4" s="1"/>
  <c r="H819" i="4"/>
  <c r="I819" i="4" s="1"/>
  <c r="J810" i="4" s="1"/>
  <c r="H820" i="4"/>
  <c r="I820" i="4"/>
  <c r="J811" i="4" s="1"/>
  <c r="H821" i="4"/>
  <c r="I821" i="4"/>
  <c r="J812" i="4" s="1"/>
  <c r="H822" i="4"/>
  <c r="I822" i="4" s="1"/>
  <c r="J813" i="4" s="1"/>
  <c r="H823" i="4"/>
  <c r="I823" i="4" s="1"/>
  <c r="J814" i="4" s="1"/>
  <c r="H824" i="4"/>
  <c r="I824" i="4" s="1"/>
  <c r="J815" i="4" s="1"/>
  <c r="H825" i="4"/>
  <c r="I825" i="4"/>
  <c r="J816" i="4" s="1"/>
  <c r="H826" i="4"/>
  <c r="I826" i="4"/>
  <c r="J817" i="4" s="1"/>
  <c r="H827" i="4"/>
  <c r="I827" i="4" s="1"/>
  <c r="J818" i="4" s="1"/>
  <c r="H828" i="4"/>
  <c r="I828" i="4" s="1"/>
  <c r="J819" i="4" s="1"/>
  <c r="H829" i="4"/>
  <c r="I829" i="4"/>
  <c r="J820" i="4" s="1"/>
  <c r="H830" i="4"/>
  <c r="I830" i="4"/>
  <c r="J821" i="4" s="1"/>
  <c r="H831" i="4"/>
  <c r="I831" i="4" s="1"/>
  <c r="J822" i="4" s="1"/>
  <c r="H832" i="4"/>
  <c r="I832" i="4"/>
  <c r="J823" i="4" s="1"/>
  <c r="H833" i="4"/>
  <c r="I833" i="4" s="1"/>
  <c r="J824" i="4" s="1"/>
  <c r="H834" i="4"/>
  <c r="I834" i="4"/>
  <c r="J825" i="4" s="1"/>
  <c r="H835" i="4"/>
  <c r="I835" i="4" s="1"/>
  <c r="J826" i="4" s="1"/>
  <c r="H836" i="4"/>
  <c r="I836" i="4" s="1"/>
  <c r="J827" i="4" s="1"/>
  <c r="H837" i="4"/>
  <c r="I837" i="4" s="1"/>
  <c r="J828" i="4" s="1"/>
  <c r="H838" i="4"/>
  <c r="I838" i="4"/>
  <c r="J829" i="4" s="1"/>
  <c r="H839" i="4"/>
  <c r="I839" i="4" s="1"/>
  <c r="J830" i="4" s="1"/>
  <c r="H840" i="4"/>
  <c r="I840" i="4"/>
  <c r="J831" i="4" s="1"/>
  <c r="H841" i="4"/>
  <c r="I841" i="4"/>
  <c r="J832" i="4" s="1"/>
  <c r="H842" i="4"/>
  <c r="I842" i="4" s="1"/>
  <c r="J833" i="4" s="1"/>
  <c r="H843" i="4"/>
  <c r="I843" i="4" s="1"/>
  <c r="J834" i="4" s="1"/>
  <c r="H844" i="4"/>
  <c r="I844" i="4"/>
  <c r="J835" i="4" s="1"/>
  <c r="H845" i="4"/>
  <c r="I845" i="4" s="1"/>
  <c r="J836" i="4" s="1"/>
  <c r="H846" i="4"/>
  <c r="I846" i="4" s="1"/>
  <c r="J837" i="4" s="1"/>
  <c r="H847" i="4"/>
  <c r="I847" i="4" s="1"/>
  <c r="J838" i="4" s="1"/>
  <c r="H848" i="4"/>
  <c r="I848" i="4"/>
  <c r="J839" i="4" s="1"/>
  <c r="H849" i="4"/>
  <c r="I849" i="4"/>
  <c r="J840" i="4" s="1"/>
  <c r="H850" i="4"/>
  <c r="I850" i="4"/>
  <c r="J841" i="4" s="1"/>
  <c r="H851" i="4"/>
  <c r="I851" i="4" s="1"/>
  <c r="J842" i="4" s="1"/>
  <c r="H852" i="4"/>
  <c r="I852" i="4"/>
  <c r="J843" i="4" s="1"/>
  <c r="H853" i="4"/>
  <c r="I853" i="4"/>
  <c r="J844" i="4" s="1"/>
  <c r="H854" i="4"/>
  <c r="I854" i="4" s="1"/>
  <c r="J845" i="4" s="1"/>
  <c r="H855" i="4"/>
  <c r="I855" i="4" s="1"/>
  <c r="J846" i="4" s="1"/>
  <c r="H856" i="4"/>
  <c r="I856" i="4" s="1"/>
  <c r="J847" i="4" s="1"/>
  <c r="H857" i="4"/>
  <c r="I857" i="4"/>
  <c r="J848" i="4" s="1"/>
  <c r="H858" i="4"/>
  <c r="I858" i="4"/>
  <c r="J849" i="4" s="1"/>
  <c r="H859" i="4"/>
  <c r="I859" i="4" s="1"/>
  <c r="J850" i="4" s="1"/>
  <c r="H860" i="4"/>
  <c r="I860" i="4" s="1"/>
  <c r="J851" i="4" s="1"/>
  <c r="H861" i="4"/>
  <c r="I861" i="4"/>
  <c r="J852" i="4" s="1"/>
  <c r="H862" i="4"/>
  <c r="I862" i="4"/>
  <c r="J853" i="4" s="1"/>
  <c r="H863" i="4"/>
  <c r="I863" i="4" s="1"/>
  <c r="J854" i="4" s="1"/>
  <c r="H864" i="4"/>
  <c r="I864" i="4"/>
  <c r="J855" i="4" s="1"/>
  <c r="H865" i="4"/>
  <c r="I865" i="4" s="1"/>
  <c r="J856" i="4" s="1"/>
  <c r="H866" i="4"/>
  <c r="I866" i="4"/>
  <c r="J857" i="4" s="1"/>
  <c r="H867" i="4"/>
  <c r="I867" i="4" s="1"/>
  <c r="J858" i="4" s="1"/>
  <c r="H868" i="4"/>
  <c r="I868" i="4" s="1"/>
  <c r="J859" i="4" s="1"/>
  <c r="H869" i="4"/>
  <c r="I869" i="4" s="1"/>
  <c r="J860" i="4" s="1"/>
  <c r="H870" i="4"/>
  <c r="I870" i="4"/>
  <c r="J861" i="4" s="1"/>
  <c r="H871" i="4"/>
  <c r="I871" i="4" s="1"/>
  <c r="J862" i="4" s="1"/>
  <c r="H872" i="4"/>
  <c r="I872" i="4"/>
  <c r="J863" i="4" s="1"/>
  <c r="H873" i="4"/>
  <c r="I873" i="4"/>
  <c r="J864" i="4" s="1"/>
  <c r="H874" i="4"/>
  <c r="I874" i="4" s="1"/>
  <c r="J865" i="4" s="1"/>
  <c r="H875" i="4"/>
  <c r="I875" i="4" s="1"/>
  <c r="J866" i="4" s="1"/>
  <c r="H876" i="4"/>
  <c r="I876" i="4"/>
  <c r="J867" i="4" s="1"/>
  <c r="H877" i="4"/>
  <c r="I877" i="4" s="1"/>
  <c r="J868" i="4" s="1"/>
  <c r="H878" i="4"/>
  <c r="I878" i="4" s="1"/>
  <c r="J869" i="4" s="1"/>
  <c r="H879" i="4"/>
  <c r="I879" i="4" s="1"/>
  <c r="J870" i="4" s="1"/>
  <c r="H880" i="4"/>
  <c r="I880" i="4"/>
  <c r="J871" i="4" s="1"/>
  <c r="H881" i="4"/>
  <c r="I881" i="4"/>
  <c r="J872" i="4" s="1"/>
  <c r="H882" i="4"/>
  <c r="I882" i="4"/>
  <c r="J873" i="4" s="1"/>
  <c r="H883" i="4"/>
  <c r="I883" i="4" s="1"/>
  <c r="J874" i="4" s="1"/>
  <c r="H884" i="4"/>
  <c r="I884" i="4"/>
  <c r="J875" i="4" s="1"/>
  <c r="H885" i="4"/>
  <c r="I885" i="4"/>
  <c r="J876" i="4" s="1"/>
  <c r="H886" i="4"/>
  <c r="I886" i="4" s="1"/>
  <c r="J877" i="4" s="1"/>
  <c r="H887" i="4"/>
  <c r="I887" i="4" s="1"/>
  <c r="J878" i="4" s="1"/>
  <c r="H888" i="4"/>
  <c r="I888" i="4" s="1"/>
  <c r="J879" i="4" s="1"/>
  <c r="H889" i="4"/>
  <c r="I889" i="4"/>
  <c r="J880" i="4" s="1"/>
  <c r="H890" i="4"/>
  <c r="I890" i="4"/>
  <c r="J881" i="4" s="1"/>
  <c r="H891" i="4"/>
  <c r="I891" i="4" s="1"/>
  <c r="J882" i="4" s="1"/>
  <c r="H892" i="4"/>
  <c r="I892" i="4" s="1"/>
  <c r="J883" i="4" s="1"/>
  <c r="H893" i="4"/>
  <c r="I893" i="4"/>
  <c r="J884" i="4" s="1"/>
  <c r="H894" i="4"/>
  <c r="I894" i="4"/>
  <c r="J885" i="4" s="1"/>
  <c r="H895" i="4"/>
  <c r="I895" i="4" s="1"/>
  <c r="J886" i="4" s="1"/>
  <c r="H896" i="4"/>
  <c r="I896" i="4"/>
  <c r="J887" i="4" s="1"/>
  <c r="H897" i="4"/>
  <c r="I897" i="4" s="1"/>
  <c r="J888" i="4" s="1"/>
  <c r="H898" i="4"/>
  <c r="I898" i="4"/>
  <c r="J889" i="4" s="1"/>
  <c r="H899" i="4"/>
  <c r="I899" i="4" s="1"/>
  <c r="J890" i="4" s="1"/>
  <c r="H900" i="4"/>
  <c r="I900" i="4" s="1"/>
  <c r="J891" i="4" s="1"/>
  <c r="H901" i="4"/>
  <c r="I901" i="4" s="1"/>
  <c r="J892" i="4" s="1"/>
  <c r="H902" i="4"/>
  <c r="I902" i="4"/>
  <c r="J893" i="4" s="1"/>
  <c r="H903" i="4"/>
  <c r="I903" i="4" s="1"/>
  <c r="J894" i="4" s="1"/>
  <c r="H904" i="4"/>
  <c r="I904" i="4"/>
  <c r="J895" i="4" s="1"/>
  <c r="H905" i="4"/>
  <c r="I905" i="4"/>
  <c r="J896" i="4" s="1"/>
  <c r="H906" i="4"/>
  <c r="I906" i="4" s="1"/>
  <c r="J897" i="4" s="1"/>
  <c r="H907" i="4"/>
  <c r="I907" i="4" s="1"/>
  <c r="J898" i="4" s="1"/>
  <c r="H908" i="4"/>
  <c r="I908" i="4"/>
  <c r="J899" i="4" s="1"/>
  <c r="H909" i="4"/>
  <c r="I909" i="4" s="1"/>
  <c r="J900" i="4" s="1"/>
  <c r="H910" i="4"/>
  <c r="I910" i="4" s="1"/>
  <c r="J901" i="4" s="1"/>
  <c r="H911" i="4"/>
  <c r="I911" i="4" s="1"/>
  <c r="J902" i="4" s="1"/>
  <c r="H912" i="4"/>
  <c r="I912" i="4"/>
  <c r="J903" i="4" s="1"/>
  <c r="H913" i="4"/>
  <c r="I913" i="4"/>
  <c r="J904" i="4" s="1"/>
  <c r="H914" i="4"/>
  <c r="I914" i="4"/>
  <c r="J905" i="4" s="1"/>
  <c r="H915" i="4"/>
  <c r="I915" i="4" s="1"/>
  <c r="J906" i="4" s="1"/>
  <c r="H916" i="4"/>
  <c r="I916" i="4"/>
  <c r="J907" i="4" s="1"/>
  <c r="H917" i="4"/>
  <c r="I917" i="4"/>
  <c r="J908" i="4" s="1"/>
  <c r="H918" i="4"/>
  <c r="I918" i="4" s="1"/>
  <c r="J909" i="4" s="1"/>
  <c r="H919" i="4"/>
  <c r="I919" i="4" s="1"/>
  <c r="J910" i="4" s="1"/>
  <c r="H920" i="4"/>
  <c r="I920" i="4" s="1"/>
  <c r="J911" i="4" s="1"/>
  <c r="H921" i="4"/>
  <c r="I921" i="4"/>
  <c r="J912" i="4" s="1"/>
  <c r="H922" i="4"/>
  <c r="I922" i="4"/>
  <c r="J913" i="4" s="1"/>
  <c r="H923" i="4"/>
  <c r="I923" i="4" s="1"/>
  <c r="J914" i="4" s="1"/>
  <c r="H924" i="4"/>
  <c r="I924" i="4" s="1"/>
  <c r="J915" i="4" s="1"/>
  <c r="H925" i="4"/>
  <c r="I925" i="4"/>
  <c r="J916" i="4" s="1"/>
  <c r="H926" i="4"/>
  <c r="I926" i="4"/>
  <c r="J917" i="4" s="1"/>
  <c r="H927" i="4"/>
  <c r="I927" i="4" s="1"/>
  <c r="J918" i="4" s="1"/>
  <c r="H928" i="4"/>
  <c r="I928" i="4"/>
  <c r="J919" i="4" s="1"/>
  <c r="H929" i="4"/>
  <c r="I929" i="4" s="1"/>
  <c r="J920" i="4" s="1"/>
  <c r="H930" i="4"/>
  <c r="I930" i="4"/>
  <c r="J921" i="4" s="1"/>
  <c r="H931" i="4"/>
  <c r="I931" i="4" s="1"/>
  <c r="J922" i="4" s="1"/>
  <c r="H932" i="4"/>
  <c r="I932" i="4" s="1"/>
  <c r="J923" i="4" s="1"/>
  <c r="H933" i="4"/>
  <c r="I933" i="4" s="1"/>
  <c r="J924" i="4" s="1"/>
  <c r="H934" i="4"/>
  <c r="I934" i="4"/>
  <c r="J925" i="4" s="1"/>
  <c r="H935" i="4"/>
  <c r="I935" i="4" s="1"/>
  <c r="J926" i="4" s="1"/>
  <c r="H936" i="4"/>
  <c r="I936" i="4"/>
  <c r="J927" i="4" s="1"/>
  <c r="H937" i="4"/>
  <c r="I937" i="4"/>
  <c r="J928" i="4" s="1"/>
  <c r="H938" i="4"/>
  <c r="I938" i="4" s="1"/>
  <c r="J929" i="4" s="1"/>
  <c r="H939" i="4"/>
  <c r="I939" i="4" s="1"/>
  <c r="J930" i="4" s="1"/>
  <c r="H940" i="4"/>
  <c r="I940" i="4"/>
  <c r="J931" i="4" s="1"/>
  <c r="H941" i="4"/>
  <c r="I941" i="4" s="1"/>
  <c r="J932" i="4" s="1"/>
  <c r="H942" i="4"/>
  <c r="I942" i="4" s="1"/>
  <c r="J933" i="4" s="1"/>
  <c r="H943" i="4"/>
  <c r="I943" i="4"/>
  <c r="J934" i="4" s="1"/>
  <c r="H944" i="4"/>
  <c r="I944" i="4"/>
  <c r="J935" i="4" s="1"/>
  <c r="H945" i="4"/>
  <c r="I945" i="4" s="1"/>
  <c r="J936" i="4" s="1"/>
  <c r="H946" i="4"/>
  <c r="I946" i="4" s="1"/>
  <c r="J937" i="4" s="1"/>
  <c r="H947" i="4"/>
  <c r="I947" i="4"/>
  <c r="J938" i="4" s="1"/>
  <c r="H948" i="4"/>
  <c r="I948" i="4"/>
  <c r="J939" i="4" s="1"/>
  <c r="H949" i="4"/>
  <c r="I949" i="4" s="1"/>
  <c r="J940" i="4" s="1"/>
  <c r="H950" i="4"/>
  <c r="I950" i="4" s="1"/>
  <c r="J941" i="4" s="1"/>
  <c r="H951" i="4"/>
  <c r="I951" i="4"/>
  <c r="J942" i="4" s="1"/>
  <c r="H952" i="4"/>
  <c r="I952" i="4"/>
  <c r="J943" i="4" s="1"/>
  <c r="H953" i="4"/>
  <c r="I953" i="4" s="1"/>
  <c r="J944" i="4" s="1"/>
  <c r="H954" i="4"/>
  <c r="I954" i="4" s="1"/>
  <c r="J945" i="4" s="1"/>
  <c r="H955" i="4"/>
  <c r="I955" i="4"/>
  <c r="J946" i="4" s="1"/>
  <c r="H956" i="4"/>
  <c r="I956" i="4"/>
  <c r="J947" i="4" s="1"/>
  <c r="H957" i="4"/>
  <c r="I957" i="4" s="1"/>
  <c r="J948" i="4" s="1"/>
  <c r="H958" i="4"/>
  <c r="I958" i="4" s="1"/>
  <c r="J949" i="4" s="1"/>
  <c r="H959" i="4"/>
  <c r="I959" i="4"/>
  <c r="J950" i="4" s="1"/>
  <c r="H960" i="4"/>
  <c r="I960" i="4"/>
  <c r="J951" i="4" s="1"/>
  <c r="H961" i="4"/>
  <c r="I961" i="4" s="1"/>
  <c r="J952" i="4" s="1"/>
  <c r="H962" i="4"/>
  <c r="I962" i="4" s="1"/>
  <c r="J953" i="4" s="1"/>
  <c r="H963" i="4"/>
  <c r="I963" i="4"/>
  <c r="J954" i="4" s="1"/>
  <c r="H964" i="4"/>
  <c r="I964" i="4"/>
  <c r="J955" i="4" s="1"/>
  <c r="H965" i="4"/>
  <c r="I965" i="4" s="1"/>
  <c r="J956" i="4" s="1"/>
  <c r="H966" i="4"/>
  <c r="I966" i="4" s="1"/>
  <c r="J957" i="4" s="1"/>
  <c r="H967" i="4"/>
  <c r="I967" i="4"/>
  <c r="J958" i="4" s="1"/>
  <c r="H968" i="4"/>
  <c r="I968" i="4"/>
  <c r="J959" i="4" s="1"/>
  <c r="H969" i="4"/>
  <c r="I969" i="4" s="1"/>
  <c r="J960" i="4" s="1"/>
  <c r="H970" i="4"/>
  <c r="I970" i="4" s="1"/>
  <c r="J961" i="4" s="1"/>
  <c r="H971" i="4"/>
  <c r="I971" i="4"/>
  <c r="J962" i="4" s="1"/>
  <c r="H972" i="4"/>
  <c r="I972" i="4"/>
  <c r="J963" i="4" s="1"/>
  <c r="H973" i="4"/>
  <c r="I973" i="4" s="1"/>
  <c r="J964" i="4" s="1"/>
  <c r="H974" i="4"/>
  <c r="I974" i="4" s="1"/>
  <c r="J965" i="4" s="1"/>
  <c r="H975" i="4"/>
  <c r="I975" i="4"/>
  <c r="J966" i="4" s="1"/>
  <c r="H976" i="4"/>
  <c r="I976" i="4"/>
  <c r="J967" i="4" s="1"/>
  <c r="H977" i="4"/>
  <c r="I977" i="4" s="1"/>
  <c r="J968" i="4" s="1"/>
  <c r="H978" i="4"/>
  <c r="I978" i="4" s="1"/>
  <c r="J969" i="4" s="1"/>
  <c r="H979" i="4"/>
  <c r="I979" i="4"/>
  <c r="J970" i="4" s="1"/>
  <c r="H980" i="4"/>
  <c r="I980" i="4"/>
  <c r="J971" i="4" s="1"/>
  <c r="H981" i="4"/>
  <c r="I981" i="4" s="1"/>
  <c r="J972" i="4" s="1"/>
  <c r="H982" i="4"/>
  <c r="I982" i="4" s="1"/>
  <c r="J973" i="4" s="1"/>
  <c r="H983" i="4"/>
  <c r="I983" i="4"/>
  <c r="J974" i="4" s="1"/>
  <c r="H984" i="4"/>
  <c r="I984" i="4"/>
  <c r="J975" i="4" s="1"/>
  <c r="H985" i="4"/>
  <c r="I985" i="4" s="1"/>
  <c r="J976" i="4" s="1"/>
  <c r="H986" i="4"/>
  <c r="I986" i="4" s="1"/>
  <c r="J977" i="4" s="1"/>
  <c r="H987" i="4"/>
  <c r="I987" i="4"/>
  <c r="J978" i="4" s="1"/>
  <c r="H988" i="4"/>
  <c r="I988" i="4"/>
  <c r="J979" i="4" s="1"/>
  <c r="H989" i="4"/>
  <c r="I989" i="4" s="1"/>
  <c r="J980" i="4" s="1"/>
  <c r="H990" i="4"/>
  <c r="I990" i="4" s="1"/>
  <c r="J981" i="4" s="1"/>
  <c r="H991" i="4"/>
  <c r="I991" i="4"/>
  <c r="J982" i="4" s="1"/>
  <c r="H992" i="4"/>
  <c r="I992" i="4"/>
  <c r="J983" i="4" s="1"/>
  <c r="H993" i="4"/>
  <c r="I993" i="4" s="1"/>
  <c r="J984" i="4" s="1"/>
  <c r="H994" i="4"/>
  <c r="I994" i="4" s="1"/>
  <c r="J985" i="4" s="1"/>
  <c r="H995" i="4"/>
  <c r="I995" i="4"/>
  <c r="J986" i="4" s="1"/>
  <c r="H996" i="4"/>
  <c r="I996" i="4"/>
  <c r="J987" i="4" s="1"/>
  <c r="H997" i="4"/>
  <c r="I997" i="4" s="1"/>
  <c r="J988" i="4" s="1"/>
  <c r="H998" i="4"/>
  <c r="I998" i="4" s="1"/>
  <c r="J989" i="4" s="1"/>
  <c r="H999" i="4"/>
  <c r="I999" i="4"/>
  <c r="J990" i="4" s="1"/>
  <c r="H1000" i="4"/>
  <c r="I1000" i="4"/>
  <c r="J991" i="4" s="1"/>
  <c r="H1001" i="4"/>
  <c r="I1001" i="4" s="1"/>
  <c r="J992" i="4" s="1"/>
  <c r="H1002" i="4"/>
  <c r="I1002" i="4" s="1"/>
  <c r="J993" i="4" s="1"/>
  <c r="H1003" i="4"/>
  <c r="I1003" i="4"/>
  <c r="J994" i="4" s="1"/>
  <c r="H1004" i="4"/>
  <c r="I1004" i="4"/>
  <c r="J995" i="4" s="1"/>
  <c r="H1005" i="4"/>
  <c r="I1005" i="4" s="1"/>
  <c r="J996" i="4" s="1"/>
  <c r="H1006" i="4"/>
  <c r="I1006" i="4" s="1"/>
  <c r="J997" i="4" s="1"/>
  <c r="H1007" i="4"/>
  <c r="I1007" i="4"/>
  <c r="J998" i="4" s="1"/>
  <c r="H1008" i="4"/>
  <c r="I1008" i="4"/>
  <c r="J999" i="4" s="1"/>
  <c r="H1009" i="4"/>
  <c r="I1009" i="4" s="1"/>
  <c r="J1000" i="4" s="1"/>
  <c r="H1010" i="4"/>
  <c r="I1010" i="4" s="1"/>
  <c r="J1001" i="4" s="1"/>
  <c r="H1011" i="4"/>
  <c r="I1011" i="4"/>
  <c r="J1002" i="4" s="1"/>
  <c r="H1012" i="4"/>
  <c r="I1012" i="4"/>
  <c r="J1003" i="4" s="1"/>
  <c r="H1013" i="4"/>
  <c r="I1013" i="4" s="1"/>
  <c r="J1004" i="4" s="1"/>
  <c r="H1014" i="4"/>
  <c r="I1014" i="4" s="1"/>
  <c r="J1005" i="4" s="1"/>
  <c r="H1015" i="4"/>
  <c r="I1015" i="4"/>
  <c r="J1006" i="4" s="1"/>
  <c r="H1016" i="4"/>
  <c r="I1016" i="4"/>
  <c r="J1007" i="4" s="1"/>
  <c r="H1017" i="4"/>
  <c r="I1017" i="4" s="1"/>
  <c r="J1008" i="4" s="1"/>
  <c r="H1018" i="4"/>
  <c r="I1018" i="4" s="1"/>
  <c r="J1009" i="4" s="1"/>
  <c r="H1019" i="4"/>
  <c r="I1019" i="4"/>
  <c r="J1010" i="4" s="1"/>
  <c r="H1020" i="4"/>
  <c r="I1020" i="4"/>
  <c r="J1011" i="4" s="1"/>
  <c r="H1021" i="4"/>
  <c r="I1021" i="4" s="1"/>
  <c r="J1012" i="4" s="1"/>
  <c r="H1022" i="4"/>
  <c r="I1022" i="4" s="1"/>
  <c r="J1013" i="4" s="1"/>
  <c r="H1023" i="4"/>
  <c r="I1023" i="4"/>
  <c r="J1014" i="4" s="1"/>
  <c r="H1024" i="4"/>
  <c r="I1024" i="4"/>
  <c r="J1015" i="4" s="1"/>
  <c r="H1025" i="4"/>
  <c r="I1025" i="4" s="1"/>
  <c r="J1016" i="4" s="1"/>
  <c r="H1026" i="4"/>
  <c r="I1026" i="4" s="1"/>
  <c r="J1017" i="4" s="1"/>
  <c r="H1027" i="4"/>
  <c r="I1027" i="4"/>
  <c r="J1018" i="4" s="1"/>
  <c r="H1028" i="4"/>
  <c r="I1028" i="4"/>
  <c r="J1019" i="4" s="1"/>
  <c r="H1029" i="4"/>
  <c r="I1029" i="4" s="1"/>
  <c r="J1020" i="4" s="1"/>
  <c r="H1030" i="4"/>
  <c r="I1030" i="4" s="1"/>
  <c r="J1021" i="4" s="1"/>
  <c r="H1031" i="4"/>
  <c r="I1031" i="4"/>
  <c r="J1022" i="4" s="1"/>
  <c r="H1032" i="4"/>
  <c r="I1032" i="4"/>
  <c r="J1023" i="4" s="1"/>
  <c r="H1033" i="4"/>
  <c r="I1033" i="4" s="1"/>
  <c r="J1024" i="4" s="1"/>
  <c r="H1034" i="4"/>
  <c r="I1034" i="4" s="1"/>
  <c r="J1025" i="4" s="1"/>
  <c r="H1035" i="4"/>
  <c r="I1035" i="4"/>
  <c r="J1026" i="4" s="1"/>
  <c r="H1036" i="4"/>
  <c r="I1036" i="4"/>
  <c r="J1027" i="4" s="1"/>
  <c r="H1037" i="4"/>
  <c r="I1037" i="4" s="1"/>
  <c r="J1028" i="4" s="1"/>
  <c r="H1038" i="4"/>
  <c r="I1038" i="4" s="1"/>
  <c r="J1029" i="4" s="1"/>
  <c r="H1039" i="4"/>
  <c r="I1039" i="4"/>
  <c r="J1030" i="4" s="1"/>
  <c r="H1040" i="4"/>
  <c r="I1040" i="4"/>
  <c r="J1031" i="4" s="1"/>
  <c r="H1041" i="4"/>
  <c r="I1041" i="4" s="1"/>
  <c r="J1032" i="4" s="1"/>
  <c r="H1042" i="4"/>
  <c r="I1042" i="4" s="1"/>
  <c r="J1033" i="4" s="1"/>
  <c r="H1043" i="4"/>
  <c r="I1043" i="4"/>
  <c r="J1034" i="4" s="1"/>
  <c r="H1044" i="4"/>
  <c r="I1044" i="4"/>
  <c r="J1035" i="4" s="1"/>
  <c r="H1045" i="4"/>
  <c r="I1045" i="4" s="1"/>
  <c r="J1036" i="4" s="1"/>
  <c r="H1046" i="4"/>
  <c r="I1046" i="4" s="1"/>
  <c r="J1037" i="4" s="1"/>
  <c r="H1047" i="4"/>
  <c r="I1047" i="4"/>
  <c r="J1038" i="4" s="1"/>
  <c r="H1048" i="4"/>
  <c r="I1048" i="4"/>
  <c r="J1039" i="4" s="1"/>
  <c r="H1049" i="4"/>
  <c r="I1049" i="4" s="1"/>
  <c r="J1040" i="4" s="1"/>
  <c r="H1050" i="4"/>
  <c r="I1050" i="4" s="1"/>
  <c r="J1041" i="4" s="1"/>
  <c r="H1051" i="4"/>
  <c r="I1051" i="4"/>
  <c r="J1042" i="4" s="1"/>
  <c r="H1052" i="4"/>
  <c r="I1052" i="4"/>
  <c r="J1043" i="4" s="1"/>
  <c r="H1053" i="4"/>
  <c r="I1053" i="4" s="1"/>
  <c r="J1044" i="4" s="1"/>
  <c r="H1054" i="4"/>
  <c r="I1054" i="4" s="1"/>
  <c r="J1045" i="4" s="1"/>
  <c r="H1055" i="4"/>
  <c r="I1055" i="4"/>
  <c r="J1046" i="4" s="1"/>
  <c r="H1056" i="4"/>
  <c r="I1056" i="4"/>
  <c r="J1047" i="4" s="1"/>
  <c r="H1057" i="4"/>
  <c r="I1057" i="4" s="1"/>
  <c r="J1048" i="4" s="1"/>
  <c r="H1058" i="4"/>
  <c r="I1058" i="4" s="1"/>
  <c r="J1049" i="4" s="1"/>
  <c r="H1059" i="4"/>
  <c r="I1059" i="4"/>
  <c r="J1050" i="4" s="1"/>
  <c r="H1060" i="4"/>
  <c r="I1060" i="4"/>
  <c r="J1051" i="4" s="1"/>
  <c r="H1061" i="4"/>
  <c r="I1061" i="4" s="1"/>
  <c r="J1052" i="4" s="1"/>
  <c r="H1062" i="4"/>
  <c r="I1062" i="4" s="1"/>
  <c r="J1053" i="4" s="1"/>
  <c r="H1063" i="4"/>
  <c r="I1063" i="4"/>
  <c r="J1054" i="4" s="1"/>
  <c r="H1064" i="4"/>
  <c r="I1064" i="4"/>
  <c r="J1055" i="4" s="1"/>
  <c r="H1065" i="4"/>
  <c r="I1065" i="4" s="1"/>
  <c r="J1056" i="4" s="1"/>
  <c r="H1066" i="4"/>
  <c r="I1066" i="4" s="1"/>
  <c r="J1057" i="4" s="1"/>
  <c r="H1067" i="4"/>
  <c r="I1067" i="4"/>
  <c r="J1058" i="4" s="1"/>
  <c r="H1068" i="4"/>
  <c r="I1068" i="4"/>
  <c r="J1059" i="4" s="1"/>
  <c r="H1069" i="4"/>
  <c r="I1069" i="4" s="1"/>
  <c r="J1060" i="4" s="1"/>
  <c r="H1070" i="4"/>
  <c r="I1070" i="4" s="1"/>
  <c r="J1061" i="4" s="1"/>
  <c r="H1071" i="4"/>
  <c r="I1071" i="4"/>
  <c r="J1062" i="4" s="1"/>
  <c r="H1072" i="4"/>
  <c r="I1072" i="4"/>
  <c r="J1063" i="4" s="1"/>
  <c r="H1073" i="4"/>
  <c r="I1073" i="4" s="1"/>
  <c r="J1064" i="4" s="1"/>
  <c r="H1074" i="4"/>
  <c r="I1074" i="4" s="1"/>
  <c r="J1065" i="4" s="1"/>
  <c r="H1075" i="4"/>
  <c r="I1075" i="4"/>
  <c r="J1066" i="4" s="1"/>
  <c r="H1076" i="4"/>
  <c r="I1076" i="4"/>
  <c r="J1067" i="4" s="1"/>
  <c r="H1077" i="4"/>
  <c r="I1077" i="4" s="1"/>
  <c r="J1068" i="4" s="1"/>
  <c r="H1078" i="4"/>
  <c r="I1078" i="4" s="1"/>
  <c r="J1069" i="4" s="1"/>
  <c r="H1079" i="4"/>
  <c r="I1079" i="4"/>
  <c r="J1070" i="4" s="1"/>
  <c r="H1080" i="4"/>
  <c r="I1080" i="4"/>
  <c r="J1071" i="4" s="1"/>
  <c r="H1081" i="4"/>
  <c r="I1081" i="4" s="1"/>
  <c r="J1072" i="4" s="1"/>
  <c r="H1082" i="4"/>
  <c r="I1082" i="4" s="1"/>
  <c r="J1073" i="4" s="1"/>
  <c r="H1083" i="4"/>
  <c r="I1083" i="4"/>
  <c r="J1074" i="4" s="1"/>
  <c r="H1084" i="4"/>
  <c r="I1084" i="4"/>
  <c r="J1075" i="4" s="1"/>
  <c r="H1085" i="4"/>
  <c r="I1085" i="4" s="1"/>
  <c r="J1076" i="4" s="1"/>
  <c r="H1086" i="4"/>
  <c r="I1086" i="4" s="1"/>
  <c r="J1077" i="4" s="1"/>
  <c r="H1087" i="4"/>
  <c r="I1087" i="4"/>
  <c r="J1078" i="4" s="1"/>
  <c r="H1088" i="4"/>
  <c r="I1088" i="4"/>
  <c r="J1079" i="4" s="1"/>
  <c r="H1089" i="4"/>
  <c r="I1089" i="4" s="1"/>
  <c r="J1080" i="4" s="1"/>
  <c r="H1090" i="4"/>
  <c r="I1090" i="4" s="1"/>
  <c r="J1081" i="4" s="1"/>
  <c r="H1091" i="4"/>
  <c r="I1091" i="4"/>
  <c r="J1082" i="4" s="1"/>
  <c r="H1092" i="4"/>
  <c r="I1092" i="4"/>
  <c r="J1083" i="4" s="1"/>
  <c r="H1093" i="4"/>
  <c r="I1093" i="4" s="1"/>
  <c r="J1084" i="4" s="1"/>
  <c r="H1094" i="4"/>
  <c r="I1094" i="4" s="1"/>
  <c r="J1085" i="4" s="1"/>
  <c r="H1095" i="4"/>
  <c r="I1095" i="4"/>
  <c r="J1086" i="4" s="1"/>
  <c r="H1096" i="4"/>
  <c r="I1096" i="4"/>
  <c r="J1087" i="4" s="1"/>
  <c r="H1097" i="4"/>
  <c r="I1097" i="4" s="1"/>
  <c r="J1088" i="4" s="1"/>
  <c r="H1098" i="4"/>
  <c r="I1098" i="4" s="1"/>
  <c r="J1089" i="4" s="1"/>
  <c r="H1099" i="4"/>
  <c r="I1099" i="4"/>
  <c r="J1090" i="4" s="1"/>
  <c r="H1100" i="4"/>
  <c r="I1100" i="4"/>
  <c r="J1091" i="4" s="1"/>
  <c r="H1101" i="4"/>
  <c r="I1101" i="4" s="1"/>
  <c r="J1092" i="4" s="1"/>
  <c r="H1102" i="4"/>
  <c r="I1102" i="4" s="1"/>
  <c r="J1093" i="4" s="1"/>
  <c r="H1103" i="4"/>
  <c r="I1103" i="4"/>
  <c r="J1094" i="4" s="1"/>
  <c r="H1104" i="4"/>
  <c r="I1104" i="4"/>
  <c r="J1095" i="4" s="1"/>
  <c r="H1105" i="4"/>
  <c r="I1105" i="4" s="1"/>
  <c r="J1096" i="4" s="1"/>
  <c r="H1106" i="4"/>
  <c r="I1106" i="4" s="1"/>
  <c r="J1097" i="4" s="1"/>
  <c r="H1107" i="4"/>
  <c r="I1107" i="4"/>
  <c r="J1098" i="4" s="1"/>
  <c r="H1108" i="4"/>
  <c r="I1108" i="4"/>
  <c r="J1099" i="4" s="1"/>
  <c r="H1109" i="4"/>
  <c r="I1109" i="4" s="1"/>
  <c r="J1100" i="4" s="1"/>
  <c r="H1110" i="4"/>
  <c r="I1110" i="4" s="1"/>
  <c r="J1101" i="4" s="1"/>
  <c r="H1111" i="4"/>
  <c r="I1111" i="4"/>
  <c r="J1102" i="4" s="1"/>
  <c r="H1112" i="4"/>
  <c r="I1112" i="4"/>
  <c r="J1103" i="4" s="1"/>
  <c r="H1113" i="4"/>
  <c r="I1113" i="4" s="1"/>
  <c r="J1104" i="4" s="1"/>
  <c r="H1114" i="4"/>
  <c r="I1114" i="4" s="1"/>
  <c r="J1105" i="4" s="1"/>
  <c r="H1115" i="4"/>
  <c r="I1115" i="4"/>
  <c r="J1106" i="4" s="1"/>
  <c r="H1116" i="4"/>
  <c r="I1116" i="4"/>
  <c r="J1107" i="4" s="1"/>
  <c r="H1117" i="4"/>
  <c r="I1117" i="4" s="1"/>
  <c r="J1108" i="4" s="1"/>
  <c r="H1118" i="4"/>
  <c r="I1118" i="4" s="1"/>
  <c r="J1109" i="4" s="1"/>
  <c r="H1119" i="4"/>
  <c r="I1119" i="4"/>
  <c r="J1110" i="4" s="1"/>
  <c r="H1120" i="4"/>
  <c r="I1120" i="4"/>
  <c r="J1111" i="4" s="1"/>
  <c r="H1121" i="4"/>
  <c r="I1121" i="4" s="1"/>
  <c r="J1112" i="4" s="1"/>
  <c r="H1122" i="4"/>
  <c r="I1122" i="4" s="1"/>
  <c r="J1113" i="4" s="1"/>
  <c r="H1123" i="4"/>
  <c r="I1123" i="4"/>
  <c r="J1114" i="4" s="1"/>
  <c r="H1124" i="4"/>
  <c r="I1124" i="4"/>
  <c r="J1115" i="4" s="1"/>
  <c r="H2" i="4"/>
  <c r="I2" i="4" s="1"/>
  <c r="G2" i="4"/>
  <c r="G1124" i="4"/>
  <c r="F1124" i="4"/>
  <c r="G1123" i="4"/>
  <c r="F1123" i="4"/>
  <c r="G1122" i="4"/>
  <c r="F1122" i="4"/>
  <c r="G1121" i="4"/>
  <c r="F1121" i="4"/>
  <c r="G1120" i="4"/>
  <c r="F1120" i="4"/>
  <c r="G1119" i="4"/>
  <c r="F1119" i="4"/>
  <c r="G1118" i="4"/>
  <c r="F1118" i="4"/>
  <c r="G1117" i="4"/>
  <c r="F1117" i="4"/>
  <c r="G1116" i="4"/>
  <c r="F1116" i="4"/>
  <c r="G1115" i="4"/>
  <c r="F1115" i="4"/>
  <c r="G1114" i="4"/>
  <c r="F1114" i="4"/>
  <c r="G1113" i="4"/>
  <c r="F1113" i="4"/>
  <c r="G1112" i="4"/>
  <c r="F1112" i="4"/>
  <c r="G1111" i="4"/>
  <c r="F1111" i="4"/>
  <c r="G1110" i="4"/>
  <c r="F1110" i="4"/>
  <c r="G1109" i="4"/>
  <c r="F1109" i="4"/>
  <c r="G1108" i="4"/>
  <c r="F1108" i="4"/>
  <c r="G1107" i="4"/>
  <c r="F1107" i="4"/>
  <c r="G1106" i="4"/>
  <c r="F1106" i="4"/>
  <c r="G1105" i="4"/>
  <c r="F1105" i="4"/>
  <c r="G1104" i="4"/>
  <c r="F1104" i="4"/>
  <c r="G1103" i="4"/>
  <c r="F1103" i="4"/>
  <c r="G1102" i="4"/>
  <c r="F1102" i="4"/>
  <c r="G1101" i="4"/>
  <c r="F1101" i="4"/>
  <c r="G1100" i="4"/>
  <c r="F1100" i="4"/>
  <c r="G1099" i="4"/>
  <c r="F1099" i="4"/>
  <c r="G1098" i="4"/>
  <c r="F1098" i="4"/>
  <c r="G1097" i="4"/>
  <c r="F1097" i="4"/>
  <c r="G1096" i="4"/>
  <c r="F1096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G1087" i="4"/>
  <c r="F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G1078" i="4"/>
  <c r="F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G1071" i="4"/>
  <c r="F1071" i="4"/>
  <c r="G1070" i="4"/>
  <c r="F1070" i="4"/>
  <c r="G1069" i="4"/>
  <c r="F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G1062" i="4"/>
  <c r="F1062" i="4"/>
  <c r="G1061" i="4"/>
  <c r="F1061" i="4"/>
  <c r="G1060" i="4"/>
  <c r="F1060" i="4"/>
  <c r="G1059" i="4"/>
  <c r="F1059" i="4"/>
  <c r="G1058" i="4"/>
  <c r="F1058" i="4"/>
  <c r="G1057" i="4"/>
  <c r="F1057" i="4"/>
  <c r="G1056" i="4"/>
  <c r="F1056" i="4"/>
  <c r="G1055" i="4"/>
  <c r="F1055" i="4"/>
  <c r="G1054" i="4"/>
  <c r="F1054" i="4"/>
  <c r="G1053" i="4"/>
  <c r="F1053" i="4"/>
  <c r="G1052" i="4"/>
  <c r="F1052" i="4"/>
  <c r="G1051" i="4"/>
  <c r="F1051" i="4"/>
  <c r="G1050" i="4"/>
  <c r="F1050" i="4"/>
  <c r="G1049" i="4"/>
  <c r="F1049" i="4"/>
  <c r="G1048" i="4"/>
  <c r="F1048" i="4"/>
  <c r="G1047" i="4"/>
  <c r="F1047" i="4"/>
  <c r="G1046" i="4"/>
  <c r="F1046" i="4"/>
  <c r="G1045" i="4"/>
  <c r="F1045" i="4"/>
  <c r="G1044" i="4"/>
  <c r="F1044" i="4"/>
  <c r="G1043" i="4"/>
  <c r="F1043" i="4"/>
  <c r="G1042" i="4"/>
  <c r="F1042" i="4"/>
  <c r="G1041" i="4"/>
  <c r="F1041" i="4"/>
  <c r="G1040" i="4"/>
  <c r="F1040" i="4"/>
  <c r="G1039" i="4"/>
  <c r="F1039" i="4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G1032" i="4"/>
  <c r="F1032" i="4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G1023" i="4"/>
  <c r="F1023" i="4"/>
  <c r="G1022" i="4"/>
  <c r="F1022" i="4"/>
  <c r="G1021" i="4"/>
  <c r="F1021" i="4"/>
  <c r="G1020" i="4"/>
  <c r="F1020" i="4"/>
  <c r="G1019" i="4"/>
  <c r="F1019" i="4"/>
  <c r="G1018" i="4"/>
  <c r="F1018" i="4"/>
  <c r="G1017" i="4"/>
  <c r="F1017" i="4"/>
  <c r="G1016" i="4"/>
  <c r="F1016" i="4"/>
  <c r="G1015" i="4"/>
  <c r="F1015" i="4"/>
  <c r="G1014" i="4"/>
  <c r="F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G1003" i="4"/>
  <c r="F1003" i="4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G996" i="4"/>
  <c r="F996" i="4"/>
  <c r="G995" i="4"/>
  <c r="F995" i="4"/>
  <c r="G994" i="4"/>
  <c r="F994" i="4"/>
  <c r="G993" i="4"/>
  <c r="F993" i="4"/>
  <c r="G992" i="4"/>
  <c r="F992" i="4"/>
  <c r="G991" i="4"/>
  <c r="F991" i="4"/>
  <c r="G990" i="4"/>
  <c r="F990" i="4"/>
  <c r="G989" i="4"/>
  <c r="F989" i="4"/>
  <c r="G988" i="4"/>
  <c r="F988" i="4"/>
  <c r="G987" i="4"/>
  <c r="F987" i="4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G974" i="4"/>
  <c r="F974" i="4"/>
  <c r="G973" i="4"/>
  <c r="F973" i="4"/>
  <c r="G972" i="4"/>
  <c r="F972" i="4"/>
  <c r="G971" i="4"/>
  <c r="F971" i="4"/>
  <c r="G970" i="4"/>
  <c r="F970" i="4"/>
  <c r="G969" i="4"/>
  <c r="F969" i="4"/>
  <c r="G968" i="4"/>
  <c r="F968" i="4"/>
  <c r="G967" i="4"/>
  <c r="F967" i="4"/>
  <c r="G966" i="4"/>
  <c r="F966" i="4"/>
  <c r="G965" i="4"/>
  <c r="F965" i="4"/>
  <c r="G964" i="4"/>
  <c r="F964" i="4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G951" i="4"/>
  <c r="F951" i="4"/>
  <c r="G950" i="4"/>
  <c r="F950" i="4"/>
  <c r="G949" i="4"/>
  <c r="F949" i="4"/>
  <c r="G948" i="4"/>
  <c r="F948" i="4"/>
  <c r="G947" i="4"/>
  <c r="F947" i="4"/>
  <c r="G946" i="4"/>
  <c r="F946" i="4"/>
  <c r="G945" i="4"/>
  <c r="F945" i="4"/>
  <c r="G944" i="4"/>
  <c r="F944" i="4"/>
  <c r="G943" i="4"/>
  <c r="F943" i="4"/>
  <c r="G942" i="4"/>
  <c r="F942" i="4"/>
  <c r="G941" i="4"/>
  <c r="F941" i="4"/>
  <c r="G940" i="4"/>
  <c r="F940" i="4"/>
  <c r="G939" i="4"/>
  <c r="F939" i="4"/>
  <c r="G938" i="4"/>
  <c r="F938" i="4"/>
  <c r="G937" i="4"/>
  <c r="F937" i="4"/>
  <c r="G936" i="4"/>
  <c r="F936" i="4"/>
  <c r="G935" i="4"/>
  <c r="F935" i="4"/>
  <c r="G934" i="4"/>
  <c r="F934" i="4"/>
  <c r="G933" i="4"/>
  <c r="F933" i="4"/>
  <c r="G932" i="4"/>
  <c r="F932" i="4"/>
  <c r="G931" i="4"/>
  <c r="F931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G922" i="4"/>
  <c r="F922" i="4"/>
  <c r="G921" i="4"/>
  <c r="F921" i="4"/>
  <c r="G920" i="4"/>
  <c r="F920" i="4"/>
  <c r="G919" i="4"/>
  <c r="F919" i="4"/>
  <c r="G918" i="4"/>
  <c r="F918" i="4"/>
  <c r="G917" i="4"/>
  <c r="F917" i="4"/>
  <c r="G916" i="4"/>
  <c r="F916" i="4"/>
  <c r="G915" i="4"/>
  <c r="F915" i="4"/>
  <c r="G914" i="4"/>
  <c r="F914" i="4"/>
  <c r="G913" i="4"/>
  <c r="F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G906" i="4"/>
  <c r="F906" i="4"/>
  <c r="G905" i="4"/>
  <c r="F905" i="4"/>
  <c r="G904" i="4"/>
  <c r="F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G895" i="4"/>
  <c r="F895" i="4"/>
  <c r="G894" i="4"/>
  <c r="F894" i="4"/>
  <c r="G893" i="4"/>
  <c r="F893" i="4"/>
  <c r="G892" i="4"/>
  <c r="F892" i="4"/>
  <c r="G891" i="4"/>
  <c r="F891" i="4"/>
  <c r="G890" i="4"/>
  <c r="F890" i="4"/>
  <c r="G889" i="4"/>
  <c r="F889" i="4"/>
  <c r="G888" i="4"/>
  <c r="F888" i="4"/>
  <c r="G887" i="4"/>
  <c r="F887" i="4"/>
  <c r="G886" i="4"/>
  <c r="F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G877" i="4"/>
  <c r="F877" i="4"/>
  <c r="G876" i="4"/>
  <c r="F876" i="4"/>
  <c r="G875" i="4"/>
  <c r="F875" i="4"/>
  <c r="G874" i="4"/>
  <c r="F874" i="4"/>
  <c r="G873" i="4"/>
  <c r="F873" i="4"/>
  <c r="G872" i="4"/>
  <c r="F872" i="4"/>
  <c r="G871" i="4"/>
  <c r="F871" i="4"/>
  <c r="G870" i="4"/>
  <c r="F870" i="4"/>
  <c r="G869" i="4"/>
  <c r="F869" i="4"/>
  <c r="G868" i="4"/>
  <c r="F868" i="4"/>
  <c r="G867" i="4"/>
  <c r="F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G858" i="4"/>
  <c r="F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G849" i="4"/>
  <c r="F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G840" i="4"/>
  <c r="F840" i="4"/>
  <c r="G839" i="4"/>
  <c r="F839" i="4"/>
  <c r="G838" i="4"/>
  <c r="F838" i="4"/>
  <c r="G837" i="4"/>
  <c r="F837" i="4"/>
  <c r="G836" i="4"/>
  <c r="F836" i="4"/>
  <c r="G835" i="4"/>
  <c r="F835" i="4"/>
  <c r="G834" i="4"/>
  <c r="F834" i="4"/>
  <c r="G833" i="4"/>
  <c r="F833" i="4"/>
  <c r="G832" i="4"/>
  <c r="F832" i="4"/>
  <c r="G831" i="4"/>
  <c r="F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G822" i="4"/>
  <c r="F822" i="4"/>
  <c r="G821" i="4"/>
  <c r="F821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G812" i="4"/>
  <c r="F812" i="4"/>
  <c r="G811" i="4"/>
  <c r="F811" i="4"/>
  <c r="G810" i="4"/>
  <c r="F810" i="4"/>
  <c r="G809" i="4"/>
  <c r="F809" i="4"/>
  <c r="G808" i="4"/>
  <c r="F808" i="4"/>
  <c r="G807" i="4"/>
  <c r="F807" i="4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G799" i="4"/>
  <c r="F799" i="4"/>
  <c r="G798" i="4"/>
  <c r="F798" i="4"/>
  <c r="G797" i="4"/>
  <c r="F797" i="4"/>
  <c r="G796" i="4"/>
  <c r="F796" i="4"/>
  <c r="G795" i="4"/>
  <c r="F795" i="4"/>
  <c r="G794" i="4"/>
  <c r="F794" i="4"/>
  <c r="G793" i="4"/>
  <c r="F793" i="4"/>
  <c r="G792" i="4"/>
  <c r="F792" i="4"/>
  <c r="G791" i="4"/>
  <c r="F791" i="4"/>
  <c r="G790" i="4"/>
  <c r="F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G782" i="4"/>
  <c r="F782" i="4"/>
  <c r="G781" i="4"/>
  <c r="F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G774" i="4"/>
  <c r="F774" i="4"/>
  <c r="G773" i="4"/>
  <c r="F773" i="4"/>
  <c r="G772" i="4"/>
  <c r="F772" i="4"/>
  <c r="G771" i="4"/>
  <c r="F771" i="4"/>
  <c r="G770" i="4"/>
  <c r="F770" i="4"/>
  <c r="G769" i="4"/>
  <c r="F769" i="4"/>
  <c r="G768" i="4"/>
  <c r="F768" i="4"/>
  <c r="G767" i="4"/>
  <c r="F767" i="4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G742" i="4"/>
  <c r="F742" i="4"/>
  <c r="G741" i="4"/>
  <c r="F741" i="4"/>
  <c r="G740" i="4"/>
  <c r="F740" i="4"/>
  <c r="G739" i="4"/>
  <c r="F739" i="4"/>
  <c r="G738" i="4"/>
  <c r="F738" i="4"/>
  <c r="G737" i="4"/>
  <c r="F737" i="4"/>
  <c r="G736" i="4"/>
  <c r="F736" i="4"/>
  <c r="G735" i="4"/>
  <c r="F735" i="4"/>
  <c r="G734" i="4"/>
  <c r="F734" i="4"/>
  <c r="G733" i="4"/>
  <c r="F733" i="4"/>
  <c r="G732" i="4"/>
  <c r="F732" i="4"/>
  <c r="G731" i="4"/>
  <c r="F731" i="4"/>
  <c r="G730" i="4"/>
  <c r="F730" i="4"/>
  <c r="G729" i="4"/>
  <c r="F729" i="4"/>
  <c r="G728" i="4"/>
  <c r="F728" i="4"/>
  <c r="G727" i="4"/>
  <c r="F727" i="4"/>
  <c r="G726" i="4"/>
  <c r="F726" i="4"/>
  <c r="G725" i="4"/>
  <c r="F725" i="4"/>
  <c r="G724" i="4"/>
  <c r="F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G694" i="4"/>
  <c r="F694" i="4"/>
  <c r="G693" i="4"/>
  <c r="F693" i="4"/>
  <c r="G692" i="4"/>
  <c r="F692" i="4"/>
  <c r="G691" i="4"/>
  <c r="F691" i="4"/>
  <c r="G690" i="4"/>
  <c r="F690" i="4"/>
  <c r="G689" i="4"/>
  <c r="F689" i="4"/>
  <c r="G688" i="4"/>
  <c r="F688" i="4"/>
  <c r="G687" i="4"/>
  <c r="F687" i="4"/>
  <c r="G686" i="4"/>
  <c r="F686" i="4"/>
  <c r="G685" i="4"/>
  <c r="F685" i="4"/>
  <c r="G684" i="4"/>
  <c r="F684" i="4"/>
  <c r="G683" i="4"/>
  <c r="F683" i="4"/>
  <c r="G682" i="4"/>
  <c r="F682" i="4"/>
  <c r="G681" i="4"/>
  <c r="F681" i="4"/>
  <c r="G680" i="4"/>
  <c r="F680" i="4"/>
  <c r="G679" i="4"/>
  <c r="F679" i="4"/>
  <c r="G678" i="4"/>
  <c r="F678" i="4"/>
  <c r="G677" i="4"/>
  <c r="F677" i="4"/>
  <c r="G676" i="4"/>
  <c r="F676" i="4"/>
  <c r="G675" i="4"/>
  <c r="F675" i="4"/>
  <c r="G674" i="4"/>
  <c r="F674" i="4"/>
  <c r="G673" i="4"/>
  <c r="F673" i="4"/>
  <c r="G672" i="4"/>
  <c r="F672" i="4"/>
  <c r="G671" i="4"/>
  <c r="F671" i="4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G658" i="4"/>
  <c r="F658" i="4"/>
  <c r="G657" i="4"/>
  <c r="F657" i="4"/>
  <c r="G656" i="4"/>
  <c r="F656" i="4"/>
  <c r="G655" i="4"/>
  <c r="F655" i="4"/>
  <c r="G654" i="4"/>
  <c r="F654" i="4"/>
  <c r="G653" i="4"/>
  <c r="F653" i="4"/>
  <c r="G652" i="4"/>
  <c r="F652" i="4"/>
  <c r="G651" i="4"/>
  <c r="F651" i="4"/>
  <c r="G650" i="4"/>
  <c r="F650" i="4"/>
  <c r="G649" i="4"/>
  <c r="F649" i="4"/>
  <c r="G648" i="4"/>
  <c r="F648" i="4"/>
  <c r="G647" i="4"/>
  <c r="F647" i="4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G570" i="4"/>
  <c r="F570" i="4"/>
  <c r="G569" i="4"/>
  <c r="F569" i="4"/>
  <c r="G568" i="4"/>
  <c r="F568" i="4"/>
  <c r="G567" i="4"/>
  <c r="F567" i="4"/>
  <c r="G566" i="4"/>
  <c r="F566" i="4"/>
  <c r="G565" i="4"/>
  <c r="F565" i="4"/>
  <c r="G564" i="4"/>
  <c r="F564" i="4"/>
  <c r="G563" i="4"/>
  <c r="F563" i="4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G458" i="4"/>
  <c r="F458" i="4"/>
  <c r="G457" i="4"/>
  <c r="F457" i="4"/>
  <c r="G456" i="4"/>
  <c r="F456" i="4"/>
  <c r="G455" i="4"/>
  <c r="F455" i="4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G334" i="4"/>
  <c r="F334" i="4"/>
  <c r="G333" i="4"/>
  <c r="F333" i="4"/>
  <c r="G332" i="4"/>
  <c r="F332" i="4"/>
  <c r="G331" i="4"/>
  <c r="F331" i="4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G322" i="4"/>
  <c r="F322" i="4"/>
  <c r="G321" i="4"/>
  <c r="F321" i="4"/>
  <c r="G320" i="4"/>
  <c r="F320" i="4"/>
  <c r="G319" i="4"/>
  <c r="F319" i="4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G202" i="4"/>
  <c r="F202" i="4"/>
  <c r="G201" i="4"/>
  <c r="F201" i="4"/>
  <c r="G200" i="4"/>
  <c r="F200" i="4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G118" i="4"/>
  <c r="F118" i="4"/>
  <c r="G117" i="4"/>
  <c r="F117" i="4"/>
  <c r="G116" i="4"/>
  <c r="F116" i="4"/>
  <c r="G115" i="4"/>
  <c r="F115" i="4"/>
  <c r="G114" i="4"/>
  <c r="F114" i="4"/>
  <c r="G113" i="4"/>
  <c r="F113" i="4"/>
  <c r="G112" i="4"/>
  <c r="F112" i="4"/>
  <c r="G111" i="4"/>
  <c r="F111" i="4"/>
  <c r="G110" i="4"/>
  <c r="F110" i="4"/>
  <c r="G109" i="4"/>
  <c r="F109" i="4"/>
  <c r="G108" i="4"/>
  <c r="F108" i="4"/>
  <c r="G107" i="4"/>
  <c r="F107" i="4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G94" i="4"/>
  <c r="F94" i="4"/>
  <c r="G93" i="4"/>
  <c r="F93" i="4"/>
  <c r="G92" i="4"/>
  <c r="F92" i="4"/>
  <c r="G91" i="4"/>
  <c r="F91" i="4"/>
  <c r="G90" i="4"/>
  <c r="F90" i="4"/>
  <c r="G89" i="4"/>
  <c r="F89" i="4"/>
  <c r="G88" i="4"/>
  <c r="F88" i="4"/>
  <c r="G87" i="4"/>
  <c r="F87" i="4"/>
  <c r="G86" i="4"/>
  <c r="F86" i="4"/>
  <c r="G85" i="4"/>
  <c r="F85" i="4"/>
  <c r="G84" i="4"/>
  <c r="F84" i="4"/>
  <c r="G83" i="4"/>
  <c r="F83" i="4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G62" i="4"/>
  <c r="F62" i="4"/>
  <c r="G61" i="4"/>
  <c r="F61" i="4"/>
  <c r="G60" i="4"/>
  <c r="F60" i="4"/>
  <c r="G59" i="4"/>
  <c r="F59" i="4"/>
  <c r="G58" i="4"/>
  <c r="F58" i="4"/>
  <c r="G57" i="4"/>
  <c r="F57" i="4"/>
  <c r="G56" i="4"/>
  <c r="F56" i="4"/>
  <c r="G55" i="4"/>
  <c r="F55" i="4"/>
  <c r="G54" i="4"/>
  <c r="F54" i="4"/>
  <c r="G53" i="4"/>
  <c r="F53" i="4"/>
  <c r="G52" i="4"/>
  <c r="F52" i="4"/>
  <c r="G51" i="4"/>
  <c r="F51" i="4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F2" i="4"/>
</calcChain>
</file>

<file path=xl/sharedStrings.xml><?xml version="1.0" encoding="utf-8"?>
<sst xmlns="http://schemas.openxmlformats.org/spreadsheetml/2006/main" count="4610" uniqueCount="42">
  <si>
    <t>KHATLON_1</t>
  </si>
  <si>
    <t>RRP</t>
  </si>
  <si>
    <t>KHATLON_2</t>
  </si>
  <si>
    <t>SOGD</t>
  </si>
  <si>
    <t>DUSHANBE</t>
  </si>
  <si>
    <t>GBAO</t>
  </si>
  <si>
    <t>Номер Семьи</t>
  </si>
  <si>
    <t>Регион</t>
  </si>
  <si>
    <t>Количество лиц в семье</t>
  </si>
  <si>
    <t>Квартира/дом есть?</t>
  </si>
  <si>
    <t>Нет</t>
  </si>
  <si>
    <t>Да</t>
  </si>
  <si>
    <t>Доход семьи в месяц</t>
  </si>
  <si>
    <t>Yes</t>
  </si>
  <si>
    <t>No</t>
  </si>
  <si>
    <t>rate:</t>
  </si>
  <si>
    <t>Monthly Rev per person</t>
  </si>
  <si>
    <t>Daily Rev per person</t>
  </si>
  <si>
    <t>Social class</t>
  </si>
  <si>
    <t>крайняя бедность</t>
  </si>
  <si>
    <t>бедность</t>
  </si>
  <si>
    <t>ниже среднего</t>
  </si>
  <si>
    <t>средний</t>
  </si>
  <si>
    <t>в достатке</t>
  </si>
  <si>
    <t>нуждается в помощи</t>
  </si>
  <si>
    <t>Row Labels</t>
  </si>
  <si>
    <t>Grand Total</t>
  </si>
  <si>
    <t>Column Labels</t>
  </si>
  <si>
    <t>Sum of Номер Семьи</t>
  </si>
  <si>
    <t>Count of Номер Семьи</t>
  </si>
  <si>
    <t>Help stat.</t>
  </si>
  <si>
    <t>`</t>
  </si>
  <si>
    <t>Percentage of  family social stat. by Region</t>
  </si>
  <si>
    <t>(All)</t>
  </si>
  <si>
    <t>Percentage of  family social stat. by Region (homeless)</t>
  </si>
  <si>
    <t>Кол-во семьей</t>
  </si>
  <si>
    <t xml:space="preserve">Население </t>
  </si>
  <si>
    <t>Таджикистан</t>
  </si>
  <si>
    <t>Узбекистан</t>
  </si>
  <si>
    <t>Instead of poverty rate</t>
  </si>
  <si>
    <t>Q.13</t>
  </si>
  <si>
    <t>Q.12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</si>
</sst>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TJS&quot;#,##0.00"/>
    <numFmt numFmtId="165" formatCode="[$$-409]#,##0.00"/>
    <numFmt numFmtId="166" formatCode="0.0%"/>
    <numFmt numFmtId="167" formatCode="_(* #,##0_);_(* \(#,##0\);_(* &quot;-&quot;??_);_(@_)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color rgb="FF2D3B45"/>
      <name val="Helvetica Neue"/>
      <family val="2"/>
    </font>
    <font>
      <sz val="16"/>
      <color rgb="FF2D3B45"/>
      <name val="Helvetica Neue"/>
      <family val="2"/>
    </font>
    <font>
      <sz val="13"/>
      <color theme="1"/>
      <name val="Helvetica Neue"/>
      <family val="2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4" fontId="0" fillId="0" borderId="0" xfId="0" applyNumberFormat="1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3" fillId="0" borderId="0" xfId="0" applyFont="1"/>
    <xf numFmtId="0" fontId="4" fillId="0" borderId="0" xfId="0" applyFont="1"/>
    <xf numFmtId="0" fontId="0" fillId="0" borderId="0" xfId="0" applyAlignment="1" applyProtection="1">
      <alignment horizontal="left"/>
      <protection locked="0"/>
    </xf>
    <xf numFmtId="0" fontId="5" fillId="0" borderId="0" xfId="0" applyFont="1"/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2" applyFont="1"/>
    <xf numFmtId="166" fontId="0" fillId="0" borderId="0" xfId="2" applyNumberFormat="1" applyFont="1"/>
    <xf numFmtId="10" fontId="0" fillId="0" borderId="0" xfId="2" applyNumberFormat="1" applyFont="1"/>
    <xf numFmtId="167" fontId="0" fillId="0" borderId="0" xfId="0" applyNumberFormat="1"/>
    <xf numFmtId="167" fontId="0" fillId="0" borderId="0" xfId="1" applyNumberFormat="1" applyFont="1"/>
    <xf numFmtId="0" fontId="9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</cellXfs>
  <cellStyles count="15">
    <cellStyle name="Comma" xfId="1" builtinId="3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  <cellStyle name="Percent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_(* #,##0_);_(* \(#,##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FF00"/>
        </patternFill>
      </fill>
    </dxf>
    <dxf>
      <font>
        <color theme="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30002"/>
      <color rgb="FFFF75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остро нуждаются в помощи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48-0045-BE98-8BF2A6FB42A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48-0045-BE98-8BF2A6FB42A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48-0045-BE98-8BF2A6FB42A0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48-0045-BE98-8BF2A6FB42A0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48-0045-BE98-8BF2A6FB42A0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48-0045-BE98-8BF2A6FB4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 pivotchart'!$A$6:$A$11</c:f>
              <c:strCache>
                <c:ptCount val="6"/>
                <c:pt idx="0">
                  <c:v>DUSHANBE</c:v>
                </c:pt>
                <c:pt idx="1">
                  <c:v>GBAO</c:v>
                </c:pt>
                <c:pt idx="2">
                  <c:v>KHATLON_1</c:v>
                </c:pt>
                <c:pt idx="3">
                  <c:v>KHATLON_2</c:v>
                </c:pt>
                <c:pt idx="4">
                  <c:v>RRP</c:v>
                </c:pt>
                <c:pt idx="5">
                  <c:v>SOGD</c:v>
                </c:pt>
              </c:strCache>
            </c:strRef>
          </c:cat>
          <c:val>
            <c:numRef>
              <c:f>'5 pivotchart'!$B$6:$B$11</c:f>
              <c:numCache>
                <c:formatCode>_(* #,##0_);_(* \(#,##0\);_(* "-"??_);_(@_)</c:formatCode>
                <c:ptCount val="6"/>
                <c:pt idx="0">
                  <c:v>25869</c:v>
                </c:pt>
                <c:pt idx="1">
                  <c:v>23693</c:v>
                </c:pt>
                <c:pt idx="2">
                  <c:v>106448</c:v>
                </c:pt>
                <c:pt idx="3">
                  <c:v>38123</c:v>
                </c:pt>
                <c:pt idx="4">
                  <c:v>52550</c:v>
                </c:pt>
                <c:pt idx="5">
                  <c:v>88580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48-0045-BE98-8BF2A6FB4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28255616"/>
        <c:axId val="2126254336"/>
      </c:barChart>
      <c:catAx>
        <c:axId val="21282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54336"/>
        <c:crosses val="autoZero"/>
        <c:auto val="1"/>
        <c:lblAlgn val="ctr"/>
        <c:lblOffset val="100"/>
        <c:noMultiLvlLbl val="0"/>
      </c:catAx>
      <c:valAx>
        <c:axId val="21262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5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доля семьей в каждом регионе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 pivotchart'!$B$23</c:f>
              <c:strCache>
                <c:ptCount val="1"/>
                <c:pt idx="0">
                  <c:v>Кол-во семьей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BD-D343-9101-F470BCB437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BD-D343-9101-F470BCB437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BD-D343-9101-F470BCB4370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BD-D343-9101-F470BCB4370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BD-D343-9101-F470BCB4370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9BD-D343-9101-F470BCB437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 pivotchart'!$A$24:$A$29</c:f>
              <c:strCache>
                <c:ptCount val="6"/>
                <c:pt idx="0">
                  <c:v>DUSHANBE</c:v>
                </c:pt>
                <c:pt idx="1">
                  <c:v>GBAO</c:v>
                </c:pt>
                <c:pt idx="2">
                  <c:v>KHATLON_1</c:v>
                </c:pt>
                <c:pt idx="3">
                  <c:v>KHATLON_2</c:v>
                </c:pt>
                <c:pt idx="4">
                  <c:v>RRP</c:v>
                </c:pt>
                <c:pt idx="5">
                  <c:v>SOGD</c:v>
                </c:pt>
              </c:strCache>
            </c:strRef>
          </c:cat>
          <c:val>
            <c:numRef>
              <c:f>'5 pivotchart'!$B$24:$B$29</c:f>
              <c:numCache>
                <c:formatCode>0.00%</c:formatCode>
                <c:ptCount val="6"/>
                <c:pt idx="0">
                  <c:v>9.5280498664292071E-2</c:v>
                </c:pt>
                <c:pt idx="1">
                  <c:v>6.2333036509349952E-2</c:v>
                </c:pt>
                <c:pt idx="2">
                  <c:v>0.20569902048085487</c:v>
                </c:pt>
                <c:pt idx="3">
                  <c:v>0.1246660730186999</c:v>
                </c:pt>
                <c:pt idx="4">
                  <c:v>0.19857524487978628</c:v>
                </c:pt>
                <c:pt idx="5">
                  <c:v>0.31344612644701692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9BD-D343-9101-F470BCB43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Correlation!$C$2:$C$1124</c:f>
              <c:numCache>
                <c:formatCode>General</c:formatCode>
                <c:ptCount val="1123"/>
                <c:pt idx="0">
                  <c:v>19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</c:numCache>
            </c:numRef>
          </c:xVal>
          <c:yVal>
            <c:numRef>
              <c:f>Correlation!$B$2:$B$1124</c:f>
              <c:numCache>
                <c:formatCode>#,##0.00</c:formatCode>
                <c:ptCount val="1123"/>
                <c:pt idx="0" formatCode="General">
                  <c:v>1190</c:v>
                </c:pt>
                <c:pt idx="1">
                  <c:v>5700</c:v>
                </c:pt>
                <c:pt idx="2">
                  <c:v>4200</c:v>
                </c:pt>
                <c:pt idx="3">
                  <c:v>5280</c:v>
                </c:pt>
                <c:pt idx="4" formatCode="General">
                  <c:v>2100</c:v>
                </c:pt>
                <c:pt idx="5">
                  <c:v>9000</c:v>
                </c:pt>
                <c:pt idx="6">
                  <c:v>3000</c:v>
                </c:pt>
                <c:pt idx="7">
                  <c:v>6000</c:v>
                </c:pt>
                <c:pt idx="8">
                  <c:v>6500</c:v>
                </c:pt>
                <c:pt idx="9">
                  <c:v>2000</c:v>
                </c:pt>
                <c:pt idx="10" formatCode="General">
                  <c:v>3852</c:v>
                </c:pt>
                <c:pt idx="11" formatCode="General">
                  <c:v>790</c:v>
                </c:pt>
                <c:pt idx="12" formatCode="General">
                  <c:v>650</c:v>
                </c:pt>
                <c:pt idx="13" formatCode="General">
                  <c:v>2775</c:v>
                </c:pt>
                <c:pt idx="14" formatCode="General">
                  <c:v>840</c:v>
                </c:pt>
                <c:pt idx="15">
                  <c:v>3000</c:v>
                </c:pt>
                <c:pt idx="16" formatCode="General">
                  <c:v>7550</c:v>
                </c:pt>
                <c:pt idx="17" formatCode="General">
                  <c:v>1550</c:v>
                </c:pt>
                <c:pt idx="18">
                  <c:v>6000</c:v>
                </c:pt>
                <c:pt idx="19" formatCode="General">
                  <c:v>180</c:v>
                </c:pt>
                <c:pt idx="20" formatCode="General">
                  <c:v>600</c:v>
                </c:pt>
                <c:pt idx="21">
                  <c:v>1500</c:v>
                </c:pt>
                <c:pt idx="22">
                  <c:v>4500</c:v>
                </c:pt>
                <c:pt idx="23">
                  <c:v>2000</c:v>
                </c:pt>
                <c:pt idx="24">
                  <c:v>4800</c:v>
                </c:pt>
                <c:pt idx="25">
                  <c:v>6000</c:v>
                </c:pt>
                <c:pt idx="26">
                  <c:v>10300</c:v>
                </c:pt>
                <c:pt idx="27">
                  <c:v>12500</c:v>
                </c:pt>
                <c:pt idx="28" formatCode="General">
                  <c:v>820</c:v>
                </c:pt>
                <c:pt idx="29" formatCode="General">
                  <c:v>1850</c:v>
                </c:pt>
                <c:pt idx="30" formatCode="General">
                  <c:v>100</c:v>
                </c:pt>
                <c:pt idx="31" formatCode="General">
                  <c:v>1900</c:v>
                </c:pt>
                <c:pt idx="32" formatCode="General">
                  <c:v>3840</c:v>
                </c:pt>
                <c:pt idx="33" formatCode="General">
                  <c:v>2150</c:v>
                </c:pt>
                <c:pt idx="34">
                  <c:v>1000</c:v>
                </c:pt>
                <c:pt idx="35">
                  <c:v>6000</c:v>
                </c:pt>
                <c:pt idx="36">
                  <c:v>2700</c:v>
                </c:pt>
                <c:pt idx="37">
                  <c:v>1500</c:v>
                </c:pt>
                <c:pt idx="38">
                  <c:v>2700</c:v>
                </c:pt>
                <c:pt idx="39">
                  <c:v>6000</c:v>
                </c:pt>
                <c:pt idx="40">
                  <c:v>6000</c:v>
                </c:pt>
                <c:pt idx="41">
                  <c:v>49500</c:v>
                </c:pt>
                <c:pt idx="42">
                  <c:v>21000</c:v>
                </c:pt>
                <c:pt idx="43" formatCode="General">
                  <c:v>800</c:v>
                </c:pt>
                <c:pt idx="44" formatCode="General">
                  <c:v>5350</c:v>
                </c:pt>
                <c:pt idx="45" formatCode="General">
                  <c:v>4080</c:v>
                </c:pt>
                <c:pt idx="46" formatCode="General">
                  <c:v>405</c:v>
                </c:pt>
                <c:pt idx="47" formatCode="General">
                  <c:v>450</c:v>
                </c:pt>
                <c:pt idx="48" formatCode="General">
                  <c:v>1400</c:v>
                </c:pt>
                <c:pt idx="49" formatCode="General">
                  <c:v>685</c:v>
                </c:pt>
                <c:pt idx="50" formatCode="General">
                  <c:v>2300</c:v>
                </c:pt>
                <c:pt idx="51" formatCode="General">
                  <c:v>1400</c:v>
                </c:pt>
                <c:pt idx="52">
                  <c:v>4000</c:v>
                </c:pt>
                <c:pt idx="53">
                  <c:v>5600</c:v>
                </c:pt>
                <c:pt idx="54">
                  <c:v>4250</c:v>
                </c:pt>
                <c:pt idx="55">
                  <c:v>4500</c:v>
                </c:pt>
                <c:pt idx="56">
                  <c:v>2900</c:v>
                </c:pt>
                <c:pt idx="57">
                  <c:v>5500</c:v>
                </c:pt>
                <c:pt idx="58">
                  <c:v>3500</c:v>
                </c:pt>
                <c:pt idx="59">
                  <c:v>6000</c:v>
                </c:pt>
                <c:pt idx="60">
                  <c:v>3000</c:v>
                </c:pt>
                <c:pt idx="61">
                  <c:v>3600</c:v>
                </c:pt>
                <c:pt idx="62" formatCode="General">
                  <c:v>300</c:v>
                </c:pt>
                <c:pt idx="63" formatCode="General">
                  <c:v>360</c:v>
                </c:pt>
                <c:pt idx="64" formatCode="General">
                  <c:v>200</c:v>
                </c:pt>
                <c:pt idx="65" formatCode="General">
                  <c:v>8935</c:v>
                </c:pt>
                <c:pt idx="66" formatCode="General">
                  <c:v>280</c:v>
                </c:pt>
                <c:pt idx="67" formatCode="General">
                  <c:v>950</c:v>
                </c:pt>
                <c:pt idx="68" formatCode="General">
                  <c:v>5600</c:v>
                </c:pt>
                <c:pt idx="69" formatCode="General">
                  <c:v>1700</c:v>
                </c:pt>
                <c:pt idx="70" formatCode="General">
                  <c:v>5700</c:v>
                </c:pt>
                <c:pt idx="71" formatCode="General">
                  <c:v>600</c:v>
                </c:pt>
                <c:pt idx="72" formatCode="General">
                  <c:v>1400</c:v>
                </c:pt>
                <c:pt idx="73" formatCode="General">
                  <c:v>700</c:v>
                </c:pt>
                <c:pt idx="74" formatCode="General">
                  <c:v>1750</c:v>
                </c:pt>
                <c:pt idx="75" formatCode="General">
                  <c:v>1850</c:v>
                </c:pt>
                <c:pt idx="76">
                  <c:v>6700</c:v>
                </c:pt>
                <c:pt idx="77">
                  <c:v>1200</c:v>
                </c:pt>
                <c:pt idx="78">
                  <c:v>4700</c:v>
                </c:pt>
                <c:pt idx="79">
                  <c:v>2100</c:v>
                </c:pt>
                <c:pt idx="80">
                  <c:v>1620</c:v>
                </c:pt>
                <c:pt idx="81">
                  <c:v>6050</c:v>
                </c:pt>
                <c:pt idx="82">
                  <c:v>3000</c:v>
                </c:pt>
                <c:pt idx="83">
                  <c:v>4500</c:v>
                </c:pt>
                <c:pt idx="84">
                  <c:v>4160</c:v>
                </c:pt>
                <c:pt idx="85">
                  <c:v>4300</c:v>
                </c:pt>
                <c:pt idx="86">
                  <c:v>7000</c:v>
                </c:pt>
                <c:pt idx="87">
                  <c:v>5500</c:v>
                </c:pt>
                <c:pt idx="88">
                  <c:v>8350</c:v>
                </c:pt>
                <c:pt idx="89">
                  <c:v>2800</c:v>
                </c:pt>
                <c:pt idx="90">
                  <c:v>7400</c:v>
                </c:pt>
                <c:pt idx="91">
                  <c:v>6000</c:v>
                </c:pt>
                <c:pt idx="92">
                  <c:v>9200</c:v>
                </c:pt>
                <c:pt idx="93">
                  <c:v>6200</c:v>
                </c:pt>
                <c:pt idx="94">
                  <c:v>3600</c:v>
                </c:pt>
                <c:pt idx="95">
                  <c:v>11840</c:v>
                </c:pt>
                <c:pt idx="96">
                  <c:v>8600</c:v>
                </c:pt>
                <c:pt idx="97">
                  <c:v>11260</c:v>
                </c:pt>
                <c:pt idx="98" formatCode="General">
                  <c:v>100</c:v>
                </c:pt>
                <c:pt idx="99" formatCode="General">
                  <c:v>600</c:v>
                </c:pt>
                <c:pt idx="100" formatCode="General">
                  <c:v>450</c:v>
                </c:pt>
                <c:pt idx="101" formatCode="General">
                  <c:v>600</c:v>
                </c:pt>
                <c:pt idx="102" formatCode="General">
                  <c:v>2300</c:v>
                </c:pt>
                <c:pt idx="103" formatCode="General">
                  <c:v>350</c:v>
                </c:pt>
                <c:pt idx="104" formatCode="General">
                  <c:v>1090</c:v>
                </c:pt>
                <c:pt idx="105" formatCode="General">
                  <c:v>1100</c:v>
                </c:pt>
                <c:pt idx="106" formatCode="General">
                  <c:v>1400</c:v>
                </c:pt>
                <c:pt idx="107" formatCode="General">
                  <c:v>11200</c:v>
                </c:pt>
                <c:pt idx="108" formatCode="General">
                  <c:v>500</c:v>
                </c:pt>
                <c:pt idx="109" formatCode="General">
                  <c:v>2500</c:v>
                </c:pt>
                <c:pt idx="110" formatCode="General">
                  <c:v>2450</c:v>
                </c:pt>
                <c:pt idx="111" formatCode="General">
                  <c:v>600</c:v>
                </c:pt>
                <c:pt idx="112" formatCode="General">
                  <c:v>1200</c:v>
                </c:pt>
                <c:pt idx="113" formatCode="General">
                  <c:v>4305</c:v>
                </c:pt>
                <c:pt idx="114" formatCode="General">
                  <c:v>700</c:v>
                </c:pt>
                <c:pt idx="115" formatCode="General">
                  <c:v>4700</c:v>
                </c:pt>
                <c:pt idx="116" formatCode="General">
                  <c:v>700</c:v>
                </c:pt>
                <c:pt idx="117" formatCode="General">
                  <c:v>1500</c:v>
                </c:pt>
                <c:pt idx="118" formatCode="General">
                  <c:v>2400</c:v>
                </c:pt>
                <c:pt idx="119" formatCode="General">
                  <c:v>1500</c:v>
                </c:pt>
                <c:pt idx="120" formatCode="General">
                  <c:v>750</c:v>
                </c:pt>
                <c:pt idx="121" formatCode="General">
                  <c:v>1500</c:v>
                </c:pt>
                <c:pt idx="122">
                  <c:v>1000</c:v>
                </c:pt>
                <c:pt idx="123">
                  <c:v>2550</c:v>
                </c:pt>
                <c:pt idx="124">
                  <c:v>1400</c:v>
                </c:pt>
                <c:pt idx="125">
                  <c:v>3500</c:v>
                </c:pt>
                <c:pt idx="126">
                  <c:v>2000</c:v>
                </c:pt>
                <c:pt idx="127">
                  <c:v>2850</c:v>
                </c:pt>
                <c:pt idx="128">
                  <c:v>3000</c:v>
                </c:pt>
                <c:pt idx="129">
                  <c:v>3655</c:v>
                </c:pt>
                <c:pt idx="130">
                  <c:v>9000</c:v>
                </c:pt>
                <c:pt idx="131">
                  <c:v>3800</c:v>
                </c:pt>
                <c:pt idx="132">
                  <c:v>2600</c:v>
                </c:pt>
                <c:pt idx="133">
                  <c:v>2800</c:v>
                </c:pt>
                <c:pt idx="134">
                  <c:v>2000</c:v>
                </c:pt>
                <c:pt idx="135">
                  <c:v>2000</c:v>
                </c:pt>
                <c:pt idx="136">
                  <c:v>4700</c:v>
                </c:pt>
                <c:pt idx="137">
                  <c:v>9000</c:v>
                </c:pt>
                <c:pt idx="138">
                  <c:v>6300</c:v>
                </c:pt>
                <c:pt idx="139">
                  <c:v>13200</c:v>
                </c:pt>
                <c:pt idx="140">
                  <c:v>6500</c:v>
                </c:pt>
                <c:pt idx="141">
                  <c:v>7000</c:v>
                </c:pt>
                <c:pt idx="142">
                  <c:v>8500</c:v>
                </c:pt>
                <c:pt idx="143">
                  <c:v>3600</c:v>
                </c:pt>
                <c:pt idx="144">
                  <c:v>7200</c:v>
                </c:pt>
                <c:pt idx="145" formatCode="General">
                  <c:v>590</c:v>
                </c:pt>
                <c:pt idx="146" formatCode="General">
                  <c:v>600</c:v>
                </c:pt>
                <c:pt idx="147" formatCode="General">
                  <c:v>2320</c:v>
                </c:pt>
                <c:pt idx="148" formatCode="General">
                  <c:v>2800</c:v>
                </c:pt>
                <c:pt idx="149" formatCode="General">
                  <c:v>1392</c:v>
                </c:pt>
                <c:pt idx="150" formatCode="General">
                  <c:v>220</c:v>
                </c:pt>
                <c:pt idx="151" formatCode="General">
                  <c:v>2150</c:v>
                </c:pt>
                <c:pt idx="152" formatCode="General">
                  <c:v>1400</c:v>
                </c:pt>
                <c:pt idx="153" formatCode="General">
                  <c:v>1250</c:v>
                </c:pt>
                <c:pt idx="154" formatCode="General">
                  <c:v>800</c:v>
                </c:pt>
                <c:pt idx="155" formatCode="General">
                  <c:v>1429</c:v>
                </c:pt>
                <c:pt idx="156" formatCode="General">
                  <c:v>1900</c:v>
                </c:pt>
                <c:pt idx="157" formatCode="General">
                  <c:v>750</c:v>
                </c:pt>
                <c:pt idx="158" formatCode="General">
                  <c:v>450</c:v>
                </c:pt>
                <c:pt idx="159" formatCode="General">
                  <c:v>4883</c:v>
                </c:pt>
                <c:pt idx="160" formatCode="General">
                  <c:v>1400</c:v>
                </c:pt>
                <c:pt idx="161" formatCode="General">
                  <c:v>850</c:v>
                </c:pt>
                <c:pt idx="162" formatCode="General">
                  <c:v>1550</c:v>
                </c:pt>
                <c:pt idx="163" formatCode="General">
                  <c:v>2800</c:v>
                </c:pt>
                <c:pt idx="164" formatCode="General">
                  <c:v>750</c:v>
                </c:pt>
                <c:pt idx="165" formatCode="General">
                  <c:v>1500</c:v>
                </c:pt>
                <c:pt idx="166" formatCode="General">
                  <c:v>4800</c:v>
                </c:pt>
                <c:pt idx="167" formatCode="General">
                  <c:v>9891</c:v>
                </c:pt>
                <c:pt idx="168" formatCode="General">
                  <c:v>2700</c:v>
                </c:pt>
                <c:pt idx="169" formatCode="General">
                  <c:v>9700</c:v>
                </c:pt>
                <c:pt idx="170" formatCode="General">
                  <c:v>4780</c:v>
                </c:pt>
                <c:pt idx="171" formatCode="General">
                  <c:v>1670</c:v>
                </c:pt>
                <c:pt idx="172" formatCode="General">
                  <c:v>1600</c:v>
                </c:pt>
                <c:pt idx="173" formatCode="General">
                  <c:v>1160</c:v>
                </c:pt>
                <c:pt idx="174" formatCode="General">
                  <c:v>2870</c:v>
                </c:pt>
                <c:pt idx="175" formatCode="General">
                  <c:v>900</c:v>
                </c:pt>
                <c:pt idx="176" formatCode="General">
                  <c:v>900</c:v>
                </c:pt>
                <c:pt idx="177">
                  <c:v>2900</c:v>
                </c:pt>
                <c:pt idx="178">
                  <c:v>2000</c:v>
                </c:pt>
                <c:pt idx="179">
                  <c:v>2400</c:v>
                </c:pt>
                <c:pt idx="180">
                  <c:v>3656</c:v>
                </c:pt>
                <c:pt idx="181">
                  <c:v>1100</c:v>
                </c:pt>
                <c:pt idx="182">
                  <c:v>1200</c:v>
                </c:pt>
                <c:pt idx="183">
                  <c:v>1400</c:v>
                </c:pt>
                <c:pt idx="184">
                  <c:v>3000</c:v>
                </c:pt>
                <c:pt idx="185">
                  <c:v>1620</c:v>
                </c:pt>
                <c:pt idx="186">
                  <c:v>1800</c:v>
                </c:pt>
                <c:pt idx="187">
                  <c:v>4877</c:v>
                </c:pt>
                <c:pt idx="188">
                  <c:v>3300</c:v>
                </c:pt>
                <c:pt idx="189">
                  <c:v>2820</c:v>
                </c:pt>
                <c:pt idx="190">
                  <c:v>2000</c:v>
                </c:pt>
                <c:pt idx="191">
                  <c:v>2000</c:v>
                </c:pt>
                <c:pt idx="192">
                  <c:v>4400</c:v>
                </c:pt>
                <c:pt idx="193">
                  <c:v>2000</c:v>
                </c:pt>
                <c:pt idx="194">
                  <c:v>3400</c:v>
                </c:pt>
                <c:pt idx="195">
                  <c:v>2200</c:v>
                </c:pt>
                <c:pt idx="196">
                  <c:v>4500</c:v>
                </c:pt>
                <c:pt idx="197">
                  <c:v>2500</c:v>
                </c:pt>
                <c:pt idx="198">
                  <c:v>3500</c:v>
                </c:pt>
                <c:pt idx="199">
                  <c:v>7400</c:v>
                </c:pt>
                <c:pt idx="200">
                  <c:v>4300</c:v>
                </c:pt>
                <c:pt idx="201">
                  <c:v>4526</c:v>
                </c:pt>
                <c:pt idx="202">
                  <c:v>8974</c:v>
                </c:pt>
                <c:pt idx="203">
                  <c:v>5000</c:v>
                </c:pt>
                <c:pt idx="204">
                  <c:v>11240</c:v>
                </c:pt>
                <c:pt idx="205" formatCode="General">
                  <c:v>2650</c:v>
                </c:pt>
                <c:pt idx="206" formatCode="General">
                  <c:v>1600</c:v>
                </c:pt>
                <c:pt idx="207" formatCode="General">
                  <c:v>850</c:v>
                </c:pt>
                <c:pt idx="208" formatCode="General">
                  <c:v>3000</c:v>
                </c:pt>
                <c:pt idx="209" formatCode="General">
                  <c:v>800</c:v>
                </c:pt>
                <c:pt idx="210" formatCode="General">
                  <c:v>5300</c:v>
                </c:pt>
                <c:pt idx="211" formatCode="General">
                  <c:v>980</c:v>
                </c:pt>
                <c:pt idx="212" formatCode="General">
                  <c:v>400</c:v>
                </c:pt>
                <c:pt idx="213" formatCode="General">
                  <c:v>400</c:v>
                </c:pt>
                <c:pt idx="214" formatCode="General">
                  <c:v>1600</c:v>
                </c:pt>
                <c:pt idx="215" formatCode="General">
                  <c:v>400</c:v>
                </c:pt>
                <c:pt idx="216" formatCode="General">
                  <c:v>500</c:v>
                </c:pt>
                <c:pt idx="217" formatCode="General">
                  <c:v>1100</c:v>
                </c:pt>
                <c:pt idx="218" formatCode="General">
                  <c:v>1000</c:v>
                </c:pt>
                <c:pt idx="219" formatCode="General">
                  <c:v>1000</c:v>
                </c:pt>
                <c:pt idx="220" formatCode="General">
                  <c:v>500</c:v>
                </c:pt>
                <c:pt idx="221" formatCode="General">
                  <c:v>3900</c:v>
                </c:pt>
                <c:pt idx="222" formatCode="General">
                  <c:v>1080</c:v>
                </c:pt>
                <c:pt idx="223" formatCode="General">
                  <c:v>600</c:v>
                </c:pt>
                <c:pt idx="224" formatCode="General">
                  <c:v>1200</c:v>
                </c:pt>
                <c:pt idx="225" formatCode="General">
                  <c:v>600</c:v>
                </c:pt>
                <c:pt idx="226" formatCode="General">
                  <c:v>700</c:v>
                </c:pt>
                <c:pt idx="227" formatCode="General">
                  <c:v>1000</c:v>
                </c:pt>
                <c:pt idx="228" formatCode="General">
                  <c:v>1400</c:v>
                </c:pt>
                <c:pt idx="229" formatCode="General">
                  <c:v>1522</c:v>
                </c:pt>
                <c:pt idx="230" formatCode="General">
                  <c:v>1020</c:v>
                </c:pt>
                <c:pt idx="231" formatCode="General">
                  <c:v>800</c:v>
                </c:pt>
                <c:pt idx="232" formatCode="General">
                  <c:v>1800</c:v>
                </c:pt>
                <c:pt idx="233" formatCode="General">
                  <c:v>3200</c:v>
                </c:pt>
                <c:pt idx="234" formatCode="General">
                  <c:v>2780</c:v>
                </c:pt>
                <c:pt idx="235" formatCode="General">
                  <c:v>2400</c:v>
                </c:pt>
                <c:pt idx="236" formatCode="General">
                  <c:v>8150</c:v>
                </c:pt>
                <c:pt idx="237" formatCode="General">
                  <c:v>1600</c:v>
                </c:pt>
                <c:pt idx="238" formatCode="General">
                  <c:v>4120</c:v>
                </c:pt>
                <c:pt idx="239" formatCode="General">
                  <c:v>1550</c:v>
                </c:pt>
                <c:pt idx="240" formatCode="General">
                  <c:v>3750</c:v>
                </c:pt>
                <c:pt idx="241">
                  <c:v>3900</c:v>
                </c:pt>
                <c:pt idx="242">
                  <c:v>2400</c:v>
                </c:pt>
                <c:pt idx="243">
                  <c:v>2580</c:v>
                </c:pt>
                <c:pt idx="244">
                  <c:v>2000</c:v>
                </c:pt>
                <c:pt idx="245">
                  <c:v>1000</c:v>
                </c:pt>
                <c:pt idx="246">
                  <c:v>2200</c:v>
                </c:pt>
                <c:pt idx="247">
                  <c:v>3800</c:v>
                </c:pt>
                <c:pt idx="248">
                  <c:v>3050</c:v>
                </c:pt>
                <c:pt idx="249">
                  <c:v>2500</c:v>
                </c:pt>
                <c:pt idx="250">
                  <c:v>3300</c:v>
                </c:pt>
                <c:pt idx="251">
                  <c:v>1300</c:v>
                </c:pt>
                <c:pt idx="252">
                  <c:v>2800</c:v>
                </c:pt>
                <c:pt idx="253">
                  <c:v>1500</c:v>
                </c:pt>
                <c:pt idx="254">
                  <c:v>1500</c:v>
                </c:pt>
                <c:pt idx="255">
                  <c:v>2500</c:v>
                </c:pt>
                <c:pt idx="256">
                  <c:v>3000</c:v>
                </c:pt>
                <c:pt idx="257">
                  <c:v>3000</c:v>
                </c:pt>
                <c:pt idx="258">
                  <c:v>1500</c:v>
                </c:pt>
                <c:pt idx="259">
                  <c:v>6000</c:v>
                </c:pt>
                <c:pt idx="260">
                  <c:v>2700</c:v>
                </c:pt>
                <c:pt idx="261">
                  <c:v>2000</c:v>
                </c:pt>
                <c:pt idx="262">
                  <c:v>3500</c:v>
                </c:pt>
                <c:pt idx="263">
                  <c:v>2000</c:v>
                </c:pt>
                <c:pt idx="264">
                  <c:v>2000</c:v>
                </c:pt>
                <c:pt idx="265">
                  <c:v>8000</c:v>
                </c:pt>
                <c:pt idx="266">
                  <c:v>5000</c:v>
                </c:pt>
                <c:pt idx="267">
                  <c:v>35000</c:v>
                </c:pt>
                <c:pt idx="268">
                  <c:v>7500</c:v>
                </c:pt>
                <c:pt idx="269">
                  <c:v>3000</c:v>
                </c:pt>
                <c:pt idx="270">
                  <c:v>7000</c:v>
                </c:pt>
                <c:pt idx="271">
                  <c:v>8000</c:v>
                </c:pt>
                <c:pt idx="272">
                  <c:v>4500</c:v>
                </c:pt>
                <c:pt idx="273">
                  <c:v>4500</c:v>
                </c:pt>
                <c:pt idx="274">
                  <c:v>9000</c:v>
                </c:pt>
                <c:pt idx="275">
                  <c:v>19755</c:v>
                </c:pt>
                <c:pt idx="276" formatCode="General">
                  <c:v>1010</c:v>
                </c:pt>
                <c:pt idx="277" formatCode="General">
                  <c:v>80</c:v>
                </c:pt>
                <c:pt idx="278" formatCode="General">
                  <c:v>600</c:v>
                </c:pt>
                <c:pt idx="279" formatCode="General">
                  <c:v>3315</c:v>
                </c:pt>
                <c:pt idx="280" formatCode="General">
                  <c:v>120</c:v>
                </c:pt>
                <c:pt idx="281" formatCode="General">
                  <c:v>2200</c:v>
                </c:pt>
                <c:pt idx="282" formatCode="General">
                  <c:v>600</c:v>
                </c:pt>
                <c:pt idx="283" formatCode="General">
                  <c:v>250</c:v>
                </c:pt>
                <c:pt idx="284" formatCode="General">
                  <c:v>250</c:v>
                </c:pt>
                <c:pt idx="285" formatCode="General">
                  <c:v>861</c:v>
                </c:pt>
                <c:pt idx="286" formatCode="General">
                  <c:v>997</c:v>
                </c:pt>
                <c:pt idx="287" formatCode="General">
                  <c:v>300</c:v>
                </c:pt>
                <c:pt idx="288" formatCode="General">
                  <c:v>1300</c:v>
                </c:pt>
                <c:pt idx="289" formatCode="General">
                  <c:v>1000</c:v>
                </c:pt>
                <c:pt idx="290" formatCode="General">
                  <c:v>900</c:v>
                </c:pt>
                <c:pt idx="291" formatCode="General">
                  <c:v>800</c:v>
                </c:pt>
                <c:pt idx="292" formatCode="General">
                  <c:v>1500</c:v>
                </c:pt>
                <c:pt idx="293" formatCode="General">
                  <c:v>1820</c:v>
                </c:pt>
                <c:pt idx="294" formatCode="General">
                  <c:v>350</c:v>
                </c:pt>
                <c:pt idx="295" formatCode="General">
                  <c:v>1861</c:v>
                </c:pt>
                <c:pt idx="296" formatCode="General">
                  <c:v>350</c:v>
                </c:pt>
                <c:pt idx="297" formatCode="General">
                  <c:v>353</c:v>
                </c:pt>
                <c:pt idx="298" formatCode="General">
                  <c:v>710</c:v>
                </c:pt>
                <c:pt idx="299" formatCode="General">
                  <c:v>1200</c:v>
                </c:pt>
                <c:pt idx="300" formatCode="General">
                  <c:v>1300</c:v>
                </c:pt>
                <c:pt idx="301" formatCode="General">
                  <c:v>3600</c:v>
                </c:pt>
                <c:pt idx="302" formatCode="General">
                  <c:v>400</c:v>
                </c:pt>
                <c:pt idx="303" formatCode="General">
                  <c:v>2200</c:v>
                </c:pt>
                <c:pt idx="304" formatCode="General">
                  <c:v>400</c:v>
                </c:pt>
                <c:pt idx="305" formatCode="General">
                  <c:v>400</c:v>
                </c:pt>
                <c:pt idx="306" formatCode="General">
                  <c:v>5248</c:v>
                </c:pt>
                <c:pt idx="307" formatCode="General">
                  <c:v>2400</c:v>
                </c:pt>
                <c:pt idx="308" formatCode="General">
                  <c:v>417</c:v>
                </c:pt>
                <c:pt idx="309" formatCode="General">
                  <c:v>1020</c:v>
                </c:pt>
                <c:pt idx="310" formatCode="General">
                  <c:v>440</c:v>
                </c:pt>
                <c:pt idx="311" formatCode="General">
                  <c:v>800</c:v>
                </c:pt>
                <c:pt idx="312" formatCode="General">
                  <c:v>10500</c:v>
                </c:pt>
                <c:pt idx="313" formatCode="General">
                  <c:v>500</c:v>
                </c:pt>
                <c:pt idx="314" formatCode="General">
                  <c:v>15600</c:v>
                </c:pt>
                <c:pt idx="315" formatCode="General">
                  <c:v>500</c:v>
                </c:pt>
                <c:pt idx="316" formatCode="General">
                  <c:v>500</c:v>
                </c:pt>
                <c:pt idx="317" formatCode="General">
                  <c:v>1400</c:v>
                </c:pt>
                <c:pt idx="318" formatCode="General">
                  <c:v>1500</c:v>
                </c:pt>
                <c:pt idx="319" formatCode="General">
                  <c:v>1000</c:v>
                </c:pt>
                <c:pt idx="320" formatCode="General">
                  <c:v>2500</c:v>
                </c:pt>
                <c:pt idx="321" formatCode="General">
                  <c:v>1900</c:v>
                </c:pt>
                <c:pt idx="322" formatCode="General">
                  <c:v>500</c:v>
                </c:pt>
                <c:pt idx="323" formatCode="General">
                  <c:v>620</c:v>
                </c:pt>
                <c:pt idx="324" formatCode="General">
                  <c:v>600</c:v>
                </c:pt>
                <c:pt idx="325" formatCode="General">
                  <c:v>600</c:v>
                </c:pt>
                <c:pt idx="326" formatCode="General">
                  <c:v>600</c:v>
                </c:pt>
                <c:pt idx="327" formatCode="General">
                  <c:v>600</c:v>
                </c:pt>
                <c:pt idx="328" formatCode="General">
                  <c:v>600</c:v>
                </c:pt>
                <c:pt idx="329" formatCode="General">
                  <c:v>5100</c:v>
                </c:pt>
                <c:pt idx="330" formatCode="General">
                  <c:v>2000</c:v>
                </c:pt>
                <c:pt idx="331" formatCode="General">
                  <c:v>4500</c:v>
                </c:pt>
                <c:pt idx="332" formatCode="General">
                  <c:v>620</c:v>
                </c:pt>
                <c:pt idx="333" formatCode="General">
                  <c:v>1750</c:v>
                </c:pt>
                <c:pt idx="334" formatCode="General">
                  <c:v>1750</c:v>
                </c:pt>
                <c:pt idx="335" formatCode="General">
                  <c:v>1000</c:v>
                </c:pt>
                <c:pt idx="336" formatCode="General">
                  <c:v>700</c:v>
                </c:pt>
                <c:pt idx="337" formatCode="General">
                  <c:v>1060</c:v>
                </c:pt>
                <c:pt idx="338" formatCode="General">
                  <c:v>2220</c:v>
                </c:pt>
                <c:pt idx="339" formatCode="General">
                  <c:v>800</c:v>
                </c:pt>
                <c:pt idx="340" formatCode="General">
                  <c:v>1950</c:v>
                </c:pt>
                <c:pt idx="341" formatCode="General">
                  <c:v>1900</c:v>
                </c:pt>
                <c:pt idx="342" formatCode="General">
                  <c:v>900</c:v>
                </c:pt>
                <c:pt idx="343" formatCode="General">
                  <c:v>903</c:v>
                </c:pt>
                <c:pt idx="344">
                  <c:v>2400</c:v>
                </c:pt>
                <c:pt idx="345">
                  <c:v>1000</c:v>
                </c:pt>
                <c:pt idx="346">
                  <c:v>3450</c:v>
                </c:pt>
                <c:pt idx="347">
                  <c:v>1000</c:v>
                </c:pt>
                <c:pt idx="348">
                  <c:v>2000</c:v>
                </c:pt>
                <c:pt idx="349">
                  <c:v>1450</c:v>
                </c:pt>
                <c:pt idx="350">
                  <c:v>3960</c:v>
                </c:pt>
                <c:pt idx="351">
                  <c:v>4130</c:v>
                </c:pt>
                <c:pt idx="352">
                  <c:v>2500</c:v>
                </c:pt>
                <c:pt idx="353">
                  <c:v>1083</c:v>
                </c:pt>
                <c:pt idx="354">
                  <c:v>2900</c:v>
                </c:pt>
                <c:pt idx="355">
                  <c:v>4450</c:v>
                </c:pt>
                <c:pt idx="356">
                  <c:v>1700</c:v>
                </c:pt>
                <c:pt idx="357">
                  <c:v>2400</c:v>
                </c:pt>
                <c:pt idx="358">
                  <c:v>2700</c:v>
                </c:pt>
                <c:pt idx="359">
                  <c:v>1400</c:v>
                </c:pt>
                <c:pt idx="360">
                  <c:v>1400</c:v>
                </c:pt>
                <c:pt idx="361">
                  <c:v>4400</c:v>
                </c:pt>
                <c:pt idx="362">
                  <c:v>3320</c:v>
                </c:pt>
                <c:pt idx="363">
                  <c:v>4000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1800</c:v>
                </c:pt>
                <c:pt idx="368">
                  <c:v>1500</c:v>
                </c:pt>
                <c:pt idx="369">
                  <c:v>1500</c:v>
                </c:pt>
                <c:pt idx="370">
                  <c:v>2700</c:v>
                </c:pt>
                <c:pt idx="371">
                  <c:v>2100</c:v>
                </c:pt>
                <c:pt idx="372">
                  <c:v>3900</c:v>
                </c:pt>
                <c:pt idx="373">
                  <c:v>2460</c:v>
                </c:pt>
                <c:pt idx="374">
                  <c:v>1800</c:v>
                </c:pt>
                <c:pt idx="375">
                  <c:v>4200</c:v>
                </c:pt>
                <c:pt idx="376">
                  <c:v>4732</c:v>
                </c:pt>
                <c:pt idx="377">
                  <c:v>2000</c:v>
                </c:pt>
                <c:pt idx="378">
                  <c:v>3200</c:v>
                </c:pt>
                <c:pt idx="379">
                  <c:v>4275</c:v>
                </c:pt>
                <c:pt idx="380">
                  <c:v>3500</c:v>
                </c:pt>
                <c:pt idx="381">
                  <c:v>2300</c:v>
                </c:pt>
                <c:pt idx="382">
                  <c:v>2850</c:v>
                </c:pt>
                <c:pt idx="383">
                  <c:v>2400</c:v>
                </c:pt>
                <c:pt idx="384">
                  <c:v>6500</c:v>
                </c:pt>
                <c:pt idx="385">
                  <c:v>3300</c:v>
                </c:pt>
                <c:pt idx="386">
                  <c:v>7500</c:v>
                </c:pt>
                <c:pt idx="387">
                  <c:v>3350</c:v>
                </c:pt>
                <c:pt idx="388">
                  <c:v>3740</c:v>
                </c:pt>
                <c:pt idx="389">
                  <c:v>8000</c:v>
                </c:pt>
                <c:pt idx="390">
                  <c:v>6000</c:v>
                </c:pt>
                <c:pt idx="391">
                  <c:v>3700</c:v>
                </c:pt>
                <c:pt idx="392">
                  <c:v>4280</c:v>
                </c:pt>
                <c:pt idx="393">
                  <c:v>8500</c:v>
                </c:pt>
                <c:pt idx="394">
                  <c:v>8000</c:v>
                </c:pt>
                <c:pt idx="395">
                  <c:v>3500</c:v>
                </c:pt>
                <c:pt idx="396">
                  <c:v>6390</c:v>
                </c:pt>
                <c:pt idx="397">
                  <c:v>3700</c:v>
                </c:pt>
                <c:pt idx="398">
                  <c:v>8500</c:v>
                </c:pt>
                <c:pt idx="399">
                  <c:v>6300</c:v>
                </c:pt>
                <c:pt idx="400">
                  <c:v>5000</c:v>
                </c:pt>
                <c:pt idx="401">
                  <c:v>14406</c:v>
                </c:pt>
                <c:pt idx="402">
                  <c:v>15000</c:v>
                </c:pt>
                <c:pt idx="403">
                  <c:v>18000</c:v>
                </c:pt>
                <c:pt idx="404" formatCode="General">
                  <c:v>75</c:v>
                </c:pt>
                <c:pt idx="405" formatCode="General">
                  <c:v>630</c:v>
                </c:pt>
                <c:pt idx="406" formatCode="General">
                  <c:v>185</c:v>
                </c:pt>
                <c:pt idx="407" formatCode="General">
                  <c:v>100</c:v>
                </c:pt>
                <c:pt idx="408" formatCode="General">
                  <c:v>100</c:v>
                </c:pt>
                <c:pt idx="409" formatCode="General">
                  <c:v>100</c:v>
                </c:pt>
                <c:pt idx="410" formatCode="General">
                  <c:v>370</c:v>
                </c:pt>
                <c:pt idx="411" formatCode="General">
                  <c:v>2120</c:v>
                </c:pt>
                <c:pt idx="412" formatCode="General">
                  <c:v>150</c:v>
                </c:pt>
                <c:pt idx="413" formatCode="General">
                  <c:v>150</c:v>
                </c:pt>
                <c:pt idx="414" formatCode="General">
                  <c:v>150</c:v>
                </c:pt>
                <c:pt idx="415" formatCode="General">
                  <c:v>380</c:v>
                </c:pt>
                <c:pt idx="416" formatCode="General">
                  <c:v>570</c:v>
                </c:pt>
                <c:pt idx="417" formatCode="General">
                  <c:v>200</c:v>
                </c:pt>
                <c:pt idx="418" formatCode="General">
                  <c:v>200</c:v>
                </c:pt>
                <c:pt idx="419" formatCode="General">
                  <c:v>200</c:v>
                </c:pt>
                <c:pt idx="420" formatCode="General">
                  <c:v>200</c:v>
                </c:pt>
                <c:pt idx="421" formatCode="General">
                  <c:v>700</c:v>
                </c:pt>
                <c:pt idx="422" formatCode="General">
                  <c:v>400</c:v>
                </c:pt>
                <c:pt idx="423" formatCode="General">
                  <c:v>1440</c:v>
                </c:pt>
                <c:pt idx="424" formatCode="General">
                  <c:v>250</c:v>
                </c:pt>
                <c:pt idx="425" formatCode="General">
                  <c:v>3250</c:v>
                </c:pt>
                <c:pt idx="426" formatCode="General">
                  <c:v>900</c:v>
                </c:pt>
                <c:pt idx="427" formatCode="General">
                  <c:v>300</c:v>
                </c:pt>
                <c:pt idx="428" formatCode="General">
                  <c:v>2800</c:v>
                </c:pt>
                <c:pt idx="429" formatCode="General">
                  <c:v>1220</c:v>
                </c:pt>
                <c:pt idx="430" formatCode="General">
                  <c:v>300</c:v>
                </c:pt>
                <c:pt idx="431" formatCode="General">
                  <c:v>800</c:v>
                </c:pt>
                <c:pt idx="432" formatCode="General">
                  <c:v>300</c:v>
                </c:pt>
                <c:pt idx="433" formatCode="General">
                  <c:v>300</c:v>
                </c:pt>
                <c:pt idx="434" formatCode="General">
                  <c:v>3355</c:v>
                </c:pt>
                <c:pt idx="435" formatCode="General">
                  <c:v>500</c:v>
                </c:pt>
                <c:pt idx="436" formatCode="General">
                  <c:v>510</c:v>
                </c:pt>
                <c:pt idx="437" formatCode="General">
                  <c:v>350</c:v>
                </c:pt>
                <c:pt idx="438" formatCode="General">
                  <c:v>350</c:v>
                </c:pt>
                <c:pt idx="439" formatCode="General">
                  <c:v>350</c:v>
                </c:pt>
                <c:pt idx="440" formatCode="General">
                  <c:v>350</c:v>
                </c:pt>
                <c:pt idx="441" formatCode="General">
                  <c:v>700</c:v>
                </c:pt>
                <c:pt idx="442" formatCode="General">
                  <c:v>390</c:v>
                </c:pt>
                <c:pt idx="443" formatCode="General">
                  <c:v>400</c:v>
                </c:pt>
                <c:pt idx="444" formatCode="General">
                  <c:v>400</c:v>
                </c:pt>
                <c:pt idx="445" formatCode="General">
                  <c:v>1750</c:v>
                </c:pt>
                <c:pt idx="446" formatCode="General">
                  <c:v>1400</c:v>
                </c:pt>
                <c:pt idx="447" formatCode="General">
                  <c:v>900</c:v>
                </c:pt>
                <c:pt idx="448" formatCode="General">
                  <c:v>400</c:v>
                </c:pt>
                <c:pt idx="449" formatCode="General">
                  <c:v>900</c:v>
                </c:pt>
                <c:pt idx="450" formatCode="General">
                  <c:v>412</c:v>
                </c:pt>
                <c:pt idx="451" formatCode="General">
                  <c:v>420</c:v>
                </c:pt>
                <c:pt idx="452" formatCode="General">
                  <c:v>430</c:v>
                </c:pt>
                <c:pt idx="453" formatCode="General">
                  <c:v>900</c:v>
                </c:pt>
                <c:pt idx="454" formatCode="General">
                  <c:v>450</c:v>
                </c:pt>
                <c:pt idx="455" formatCode="General">
                  <c:v>460</c:v>
                </c:pt>
                <c:pt idx="456" formatCode="General">
                  <c:v>700</c:v>
                </c:pt>
                <c:pt idx="457" formatCode="General">
                  <c:v>1100</c:v>
                </c:pt>
                <c:pt idx="458" formatCode="General">
                  <c:v>500</c:v>
                </c:pt>
                <c:pt idx="459" formatCode="General">
                  <c:v>1200</c:v>
                </c:pt>
                <c:pt idx="460" formatCode="General">
                  <c:v>500</c:v>
                </c:pt>
                <c:pt idx="461" formatCode="General">
                  <c:v>1255</c:v>
                </c:pt>
                <c:pt idx="462" formatCode="General">
                  <c:v>500</c:v>
                </c:pt>
                <c:pt idx="463" formatCode="General">
                  <c:v>500</c:v>
                </c:pt>
                <c:pt idx="464" formatCode="General">
                  <c:v>500</c:v>
                </c:pt>
                <c:pt idx="465" formatCode="General">
                  <c:v>500</c:v>
                </c:pt>
                <c:pt idx="466" formatCode="General">
                  <c:v>500</c:v>
                </c:pt>
                <c:pt idx="467" formatCode="General">
                  <c:v>1500</c:v>
                </c:pt>
                <c:pt idx="468" formatCode="General">
                  <c:v>500</c:v>
                </c:pt>
                <c:pt idx="469" formatCode="General">
                  <c:v>500</c:v>
                </c:pt>
                <c:pt idx="470" formatCode="General">
                  <c:v>550</c:v>
                </c:pt>
                <c:pt idx="471" formatCode="General">
                  <c:v>2150</c:v>
                </c:pt>
                <c:pt idx="472" formatCode="General">
                  <c:v>560</c:v>
                </c:pt>
                <c:pt idx="473" formatCode="General">
                  <c:v>2192</c:v>
                </c:pt>
                <c:pt idx="474" formatCode="General">
                  <c:v>570</c:v>
                </c:pt>
                <c:pt idx="475" formatCode="General">
                  <c:v>1200</c:v>
                </c:pt>
                <c:pt idx="476" formatCode="General">
                  <c:v>600</c:v>
                </c:pt>
                <c:pt idx="477" formatCode="General">
                  <c:v>2600</c:v>
                </c:pt>
                <c:pt idx="478" formatCode="General">
                  <c:v>1300</c:v>
                </c:pt>
                <c:pt idx="479" formatCode="General">
                  <c:v>600</c:v>
                </c:pt>
                <c:pt idx="480" formatCode="General">
                  <c:v>800</c:v>
                </c:pt>
                <c:pt idx="481" formatCode="General">
                  <c:v>1500</c:v>
                </c:pt>
                <c:pt idx="482" formatCode="General">
                  <c:v>600</c:v>
                </c:pt>
                <c:pt idx="483" formatCode="General">
                  <c:v>1400</c:v>
                </c:pt>
                <c:pt idx="484" formatCode="General">
                  <c:v>2100</c:v>
                </c:pt>
                <c:pt idx="485" formatCode="General">
                  <c:v>700</c:v>
                </c:pt>
                <c:pt idx="486" formatCode="General">
                  <c:v>600</c:v>
                </c:pt>
                <c:pt idx="487" formatCode="General">
                  <c:v>600</c:v>
                </c:pt>
                <c:pt idx="488" formatCode="General">
                  <c:v>600</c:v>
                </c:pt>
                <c:pt idx="489" formatCode="General">
                  <c:v>650</c:v>
                </c:pt>
                <c:pt idx="490" formatCode="General">
                  <c:v>700</c:v>
                </c:pt>
                <c:pt idx="491" formatCode="General">
                  <c:v>700</c:v>
                </c:pt>
                <c:pt idx="492" formatCode="General">
                  <c:v>700</c:v>
                </c:pt>
                <c:pt idx="493" formatCode="General">
                  <c:v>700</c:v>
                </c:pt>
                <c:pt idx="494" formatCode="General">
                  <c:v>2600</c:v>
                </c:pt>
                <c:pt idx="495" formatCode="General">
                  <c:v>2200</c:v>
                </c:pt>
                <c:pt idx="496" formatCode="General">
                  <c:v>1100</c:v>
                </c:pt>
                <c:pt idx="497" formatCode="General">
                  <c:v>2700</c:v>
                </c:pt>
                <c:pt idx="498" formatCode="General">
                  <c:v>750</c:v>
                </c:pt>
                <c:pt idx="499" formatCode="General">
                  <c:v>750</c:v>
                </c:pt>
                <c:pt idx="500" formatCode="General">
                  <c:v>1650</c:v>
                </c:pt>
                <c:pt idx="501" formatCode="General">
                  <c:v>3050</c:v>
                </c:pt>
                <c:pt idx="502" formatCode="General">
                  <c:v>750</c:v>
                </c:pt>
                <c:pt idx="503" formatCode="General">
                  <c:v>750</c:v>
                </c:pt>
                <c:pt idx="504" formatCode="General">
                  <c:v>1960</c:v>
                </c:pt>
                <c:pt idx="505" formatCode="General">
                  <c:v>3760</c:v>
                </c:pt>
                <c:pt idx="506" formatCode="General">
                  <c:v>2100</c:v>
                </c:pt>
                <c:pt idx="507" formatCode="General">
                  <c:v>800</c:v>
                </c:pt>
                <c:pt idx="508" formatCode="General">
                  <c:v>800</c:v>
                </c:pt>
                <c:pt idx="509" formatCode="General">
                  <c:v>1800</c:v>
                </c:pt>
                <c:pt idx="510" formatCode="General">
                  <c:v>5800</c:v>
                </c:pt>
                <c:pt idx="511" formatCode="General">
                  <c:v>800</c:v>
                </c:pt>
                <c:pt idx="512" formatCode="General">
                  <c:v>800</c:v>
                </c:pt>
                <c:pt idx="513" formatCode="General">
                  <c:v>3800</c:v>
                </c:pt>
                <c:pt idx="514" formatCode="General">
                  <c:v>800</c:v>
                </c:pt>
                <c:pt idx="515" formatCode="General">
                  <c:v>4300</c:v>
                </c:pt>
                <c:pt idx="516" formatCode="General">
                  <c:v>1020</c:v>
                </c:pt>
                <c:pt idx="517" formatCode="General">
                  <c:v>840</c:v>
                </c:pt>
                <c:pt idx="518" formatCode="General">
                  <c:v>850</c:v>
                </c:pt>
                <c:pt idx="519" formatCode="General">
                  <c:v>2630</c:v>
                </c:pt>
                <c:pt idx="520" formatCode="General">
                  <c:v>1900</c:v>
                </c:pt>
                <c:pt idx="521">
                  <c:v>1000</c:v>
                </c:pt>
                <c:pt idx="522">
                  <c:v>1700</c:v>
                </c:pt>
                <c:pt idx="523">
                  <c:v>1000</c:v>
                </c:pt>
                <c:pt idx="524">
                  <c:v>1200</c:v>
                </c:pt>
                <c:pt idx="525">
                  <c:v>2300</c:v>
                </c:pt>
                <c:pt idx="526">
                  <c:v>1400</c:v>
                </c:pt>
                <c:pt idx="527">
                  <c:v>1000</c:v>
                </c:pt>
                <c:pt idx="528">
                  <c:v>1000</c:v>
                </c:pt>
                <c:pt idx="529">
                  <c:v>1000</c:v>
                </c:pt>
                <c:pt idx="530">
                  <c:v>5172</c:v>
                </c:pt>
                <c:pt idx="531">
                  <c:v>2000</c:v>
                </c:pt>
                <c:pt idx="532">
                  <c:v>1000</c:v>
                </c:pt>
                <c:pt idx="533">
                  <c:v>2000</c:v>
                </c:pt>
                <c:pt idx="534">
                  <c:v>1000</c:v>
                </c:pt>
                <c:pt idx="535">
                  <c:v>3500</c:v>
                </c:pt>
                <c:pt idx="536">
                  <c:v>1300</c:v>
                </c:pt>
                <c:pt idx="537">
                  <c:v>1050</c:v>
                </c:pt>
                <c:pt idx="538">
                  <c:v>1060</c:v>
                </c:pt>
                <c:pt idx="539">
                  <c:v>2000</c:v>
                </c:pt>
                <c:pt idx="540">
                  <c:v>1100</c:v>
                </c:pt>
                <c:pt idx="541">
                  <c:v>1170</c:v>
                </c:pt>
                <c:pt idx="542">
                  <c:v>4898</c:v>
                </c:pt>
                <c:pt idx="543">
                  <c:v>1200</c:v>
                </c:pt>
                <c:pt idx="544">
                  <c:v>1200</c:v>
                </c:pt>
                <c:pt idx="545">
                  <c:v>1200</c:v>
                </c:pt>
                <c:pt idx="546">
                  <c:v>2400</c:v>
                </c:pt>
                <c:pt idx="547">
                  <c:v>1200</c:v>
                </c:pt>
                <c:pt idx="548">
                  <c:v>1200</c:v>
                </c:pt>
                <c:pt idx="549">
                  <c:v>2000</c:v>
                </c:pt>
                <c:pt idx="550">
                  <c:v>1200</c:v>
                </c:pt>
                <c:pt idx="551">
                  <c:v>1600</c:v>
                </c:pt>
                <c:pt idx="552">
                  <c:v>1300</c:v>
                </c:pt>
                <c:pt idx="553">
                  <c:v>1730</c:v>
                </c:pt>
                <c:pt idx="554">
                  <c:v>1350</c:v>
                </c:pt>
                <c:pt idx="555">
                  <c:v>5440</c:v>
                </c:pt>
                <c:pt idx="556">
                  <c:v>2320</c:v>
                </c:pt>
                <c:pt idx="557">
                  <c:v>18200</c:v>
                </c:pt>
                <c:pt idx="558">
                  <c:v>1490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2154</c:v>
                </c:pt>
                <c:pt idx="563">
                  <c:v>3000</c:v>
                </c:pt>
                <c:pt idx="564">
                  <c:v>1500</c:v>
                </c:pt>
                <c:pt idx="565">
                  <c:v>2000</c:v>
                </c:pt>
                <c:pt idx="566">
                  <c:v>1500</c:v>
                </c:pt>
                <c:pt idx="567">
                  <c:v>2100</c:v>
                </c:pt>
                <c:pt idx="568">
                  <c:v>3500</c:v>
                </c:pt>
                <c:pt idx="569">
                  <c:v>2500</c:v>
                </c:pt>
                <c:pt idx="570">
                  <c:v>2000</c:v>
                </c:pt>
                <c:pt idx="571">
                  <c:v>1500</c:v>
                </c:pt>
                <c:pt idx="572">
                  <c:v>1500</c:v>
                </c:pt>
                <c:pt idx="573">
                  <c:v>4500</c:v>
                </c:pt>
                <c:pt idx="574">
                  <c:v>3000</c:v>
                </c:pt>
                <c:pt idx="575">
                  <c:v>2000</c:v>
                </c:pt>
                <c:pt idx="576">
                  <c:v>1500</c:v>
                </c:pt>
                <c:pt idx="577">
                  <c:v>3500</c:v>
                </c:pt>
                <c:pt idx="578">
                  <c:v>1500</c:v>
                </c:pt>
                <c:pt idx="579">
                  <c:v>3500</c:v>
                </c:pt>
                <c:pt idx="580">
                  <c:v>1700</c:v>
                </c:pt>
                <c:pt idx="581">
                  <c:v>4000</c:v>
                </c:pt>
                <c:pt idx="582">
                  <c:v>1800</c:v>
                </c:pt>
                <c:pt idx="583">
                  <c:v>2800</c:v>
                </c:pt>
                <c:pt idx="584">
                  <c:v>5800</c:v>
                </c:pt>
                <c:pt idx="585">
                  <c:v>1800</c:v>
                </c:pt>
                <c:pt idx="586">
                  <c:v>2000</c:v>
                </c:pt>
                <c:pt idx="587">
                  <c:v>2000</c:v>
                </c:pt>
                <c:pt idx="588">
                  <c:v>2000</c:v>
                </c:pt>
                <c:pt idx="589">
                  <c:v>6000</c:v>
                </c:pt>
                <c:pt idx="590">
                  <c:v>2000</c:v>
                </c:pt>
                <c:pt idx="591">
                  <c:v>2000</c:v>
                </c:pt>
                <c:pt idx="592">
                  <c:v>2000</c:v>
                </c:pt>
                <c:pt idx="593">
                  <c:v>4570</c:v>
                </c:pt>
                <c:pt idx="594">
                  <c:v>2000</c:v>
                </c:pt>
                <c:pt idx="595">
                  <c:v>5000</c:v>
                </c:pt>
                <c:pt idx="596">
                  <c:v>3200</c:v>
                </c:pt>
                <c:pt idx="597">
                  <c:v>2000</c:v>
                </c:pt>
                <c:pt idx="598">
                  <c:v>3000</c:v>
                </c:pt>
                <c:pt idx="599">
                  <c:v>3400</c:v>
                </c:pt>
                <c:pt idx="600">
                  <c:v>3400</c:v>
                </c:pt>
                <c:pt idx="601">
                  <c:v>2200</c:v>
                </c:pt>
                <c:pt idx="602">
                  <c:v>2500</c:v>
                </c:pt>
                <c:pt idx="603">
                  <c:v>2500</c:v>
                </c:pt>
                <c:pt idx="604">
                  <c:v>2940</c:v>
                </c:pt>
                <c:pt idx="605">
                  <c:v>4000</c:v>
                </c:pt>
                <c:pt idx="606">
                  <c:v>4130</c:v>
                </c:pt>
                <c:pt idx="607">
                  <c:v>3200</c:v>
                </c:pt>
                <c:pt idx="608">
                  <c:v>3300</c:v>
                </c:pt>
                <c:pt idx="609">
                  <c:v>2880</c:v>
                </c:pt>
                <c:pt idx="610">
                  <c:v>3300</c:v>
                </c:pt>
                <c:pt idx="611">
                  <c:v>2600</c:v>
                </c:pt>
                <c:pt idx="612">
                  <c:v>2800</c:v>
                </c:pt>
                <c:pt idx="613">
                  <c:v>2800</c:v>
                </c:pt>
                <c:pt idx="614">
                  <c:v>2800</c:v>
                </c:pt>
                <c:pt idx="615">
                  <c:v>2940</c:v>
                </c:pt>
                <c:pt idx="616">
                  <c:v>3000</c:v>
                </c:pt>
                <c:pt idx="617">
                  <c:v>3000</c:v>
                </c:pt>
                <c:pt idx="618">
                  <c:v>3000</c:v>
                </c:pt>
                <c:pt idx="619">
                  <c:v>8000</c:v>
                </c:pt>
                <c:pt idx="620">
                  <c:v>3000</c:v>
                </c:pt>
                <c:pt idx="621">
                  <c:v>3000</c:v>
                </c:pt>
                <c:pt idx="622">
                  <c:v>6000</c:v>
                </c:pt>
                <c:pt idx="623">
                  <c:v>6000</c:v>
                </c:pt>
                <c:pt idx="624">
                  <c:v>3000</c:v>
                </c:pt>
                <c:pt idx="625">
                  <c:v>3000</c:v>
                </c:pt>
                <c:pt idx="626">
                  <c:v>3000</c:v>
                </c:pt>
                <c:pt idx="627">
                  <c:v>6500</c:v>
                </c:pt>
                <c:pt idx="628">
                  <c:v>5900</c:v>
                </c:pt>
                <c:pt idx="629">
                  <c:v>7000</c:v>
                </c:pt>
                <c:pt idx="630">
                  <c:v>3800</c:v>
                </c:pt>
                <c:pt idx="631">
                  <c:v>3500</c:v>
                </c:pt>
                <c:pt idx="632">
                  <c:v>6700</c:v>
                </c:pt>
                <c:pt idx="633">
                  <c:v>3200</c:v>
                </c:pt>
                <c:pt idx="634">
                  <c:v>3735</c:v>
                </c:pt>
                <c:pt idx="635">
                  <c:v>3500</c:v>
                </c:pt>
                <c:pt idx="636">
                  <c:v>3500</c:v>
                </c:pt>
                <c:pt idx="637">
                  <c:v>6500</c:v>
                </c:pt>
                <c:pt idx="638">
                  <c:v>3500</c:v>
                </c:pt>
                <c:pt idx="639">
                  <c:v>3500</c:v>
                </c:pt>
                <c:pt idx="640">
                  <c:v>4027</c:v>
                </c:pt>
                <c:pt idx="641">
                  <c:v>3550</c:v>
                </c:pt>
                <c:pt idx="642">
                  <c:v>3625</c:v>
                </c:pt>
                <c:pt idx="643">
                  <c:v>4095</c:v>
                </c:pt>
                <c:pt idx="644">
                  <c:v>3750</c:v>
                </c:pt>
                <c:pt idx="645">
                  <c:v>4000</c:v>
                </c:pt>
                <c:pt idx="646">
                  <c:v>4400</c:v>
                </c:pt>
                <c:pt idx="647">
                  <c:v>4000</c:v>
                </c:pt>
                <c:pt idx="648">
                  <c:v>4400</c:v>
                </c:pt>
                <c:pt idx="649">
                  <c:v>4080</c:v>
                </c:pt>
                <c:pt idx="650">
                  <c:v>4400</c:v>
                </c:pt>
                <c:pt idx="651">
                  <c:v>4500</c:v>
                </c:pt>
                <c:pt idx="652">
                  <c:v>5700</c:v>
                </c:pt>
                <c:pt idx="653">
                  <c:v>5150</c:v>
                </c:pt>
                <c:pt idx="654">
                  <c:v>5480</c:v>
                </c:pt>
                <c:pt idx="655">
                  <c:v>6000</c:v>
                </c:pt>
                <c:pt idx="656">
                  <c:v>6000</c:v>
                </c:pt>
                <c:pt idx="657">
                  <c:v>6000</c:v>
                </c:pt>
                <c:pt idx="658">
                  <c:v>11250</c:v>
                </c:pt>
                <c:pt idx="659">
                  <c:v>8400</c:v>
                </c:pt>
                <c:pt idx="660">
                  <c:v>10000</c:v>
                </c:pt>
                <c:pt idx="661" formatCode="General">
                  <c:v>40</c:v>
                </c:pt>
                <c:pt idx="662" formatCode="General">
                  <c:v>648</c:v>
                </c:pt>
                <c:pt idx="663" formatCode="General">
                  <c:v>50</c:v>
                </c:pt>
                <c:pt idx="664" formatCode="General">
                  <c:v>1050</c:v>
                </c:pt>
                <c:pt idx="665" formatCode="General">
                  <c:v>890</c:v>
                </c:pt>
                <c:pt idx="666" formatCode="General">
                  <c:v>94</c:v>
                </c:pt>
                <c:pt idx="667" formatCode="General">
                  <c:v>100</c:v>
                </c:pt>
                <c:pt idx="668" formatCode="General">
                  <c:v>100</c:v>
                </c:pt>
                <c:pt idx="669" formatCode="General">
                  <c:v>1100</c:v>
                </c:pt>
                <c:pt idx="670" formatCode="General">
                  <c:v>150</c:v>
                </c:pt>
                <c:pt idx="671" formatCode="General">
                  <c:v>150</c:v>
                </c:pt>
                <c:pt idx="672" formatCode="General">
                  <c:v>150</c:v>
                </c:pt>
                <c:pt idx="673" formatCode="General">
                  <c:v>150</c:v>
                </c:pt>
                <c:pt idx="674" formatCode="General">
                  <c:v>350</c:v>
                </c:pt>
                <c:pt idx="675" formatCode="General">
                  <c:v>150</c:v>
                </c:pt>
                <c:pt idx="676" formatCode="General">
                  <c:v>524</c:v>
                </c:pt>
                <c:pt idx="677" formatCode="General">
                  <c:v>180</c:v>
                </c:pt>
                <c:pt idx="678" formatCode="General">
                  <c:v>187</c:v>
                </c:pt>
                <c:pt idx="679" formatCode="General">
                  <c:v>200</c:v>
                </c:pt>
                <c:pt idx="680" formatCode="General">
                  <c:v>200</c:v>
                </c:pt>
                <c:pt idx="681" formatCode="General">
                  <c:v>200</c:v>
                </c:pt>
                <c:pt idx="682" formatCode="General">
                  <c:v>200</c:v>
                </c:pt>
                <c:pt idx="683" formatCode="General">
                  <c:v>200</c:v>
                </c:pt>
                <c:pt idx="684" formatCode="General">
                  <c:v>600</c:v>
                </c:pt>
                <c:pt idx="685" formatCode="General">
                  <c:v>208</c:v>
                </c:pt>
                <c:pt idx="686" formatCode="General">
                  <c:v>730</c:v>
                </c:pt>
                <c:pt idx="687" formatCode="General">
                  <c:v>1250</c:v>
                </c:pt>
                <c:pt idx="688" formatCode="General">
                  <c:v>300</c:v>
                </c:pt>
                <c:pt idx="689" formatCode="General">
                  <c:v>300</c:v>
                </c:pt>
                <c:pt idx="690" formatCode="General">
                  <c:v>600</c:v>
                </c:pt>
                <c:pt idx="691" formatCode="General">
                  <c:v>300</c:v>
                </c:pt>
                <c:pt idx="692" formatCode="General">
                  <c:v>300</c:v>
                </c:pt>
                <c:pt idx="693" formatCode="General">
                  <c:v>1300</c:v>
                </c:pt>
                <c:pt idx="694" formatCode="General">
                  <c:v>900</c:v>
                </c:pt>
                <c:pt idx="695" formatCode="General">
                  <c:v>315</c:v>
                </c:pt>
                <c:pt idx="696" formatCode="General">
                  <c:v>680</c:v>
                </c:pt>
                <c:pt idx="697" formatCode="General">
                  <c:v>320</c:v>
                </c:pt>
                <c:pt idx="698" formatCode="General">
                  <c:v>345</c:v>
                </c:pt>
                <c:pt idx="699" formatCode="General">
                  <c:v>350</c:v>
                </c:pt>
                <c:pt idx="700" formatCode="General">
                  <c:v>600</c:v>
                </c:pt>
                <c:pt idx="701" formatCode="General">
                  <c:v>1450</c:v>
                </c:pt>
                <c:pt idx="702" formatCode="General">
                  <c:v>810</c:v>
                </c:pt>
                <c:pt idx="703" formatCode="General">
                  <c:v>1190</c:v>
                </c:pt>
                <c:pt idx="704" formatCode="General">
                  <c:v>860</c:v>
                </c:pt>
                <c:pt idx="705" formatCode="General">
                  <c:v>370</c:v>
                </c:pt>
                <c:pt idx="706" formatCode="General">
                  <c:v>768</c:v>
                </c:pt>
                <c:pt idx="707" formatCode="General">
                  <c:v>700</c:v>
                </c:pt>
                <c:pt idx="708" formatCode="General">
                  <c:v>400</c:v>
                </c:pt>
                <c:pt idx="709" formatCode="General">
                  <c:v>400</c:v>
                </c:pt>
                <c:pt idx="710" formatCode="General">
                  <c:v>400</c:v>
                </c:pt>
                <c:pt idx="711" formatCode="General">
                  <c:v>800</c:v>
                </c:pt>
                <c:pt idx="712" formatCode="General">
                  <c:v>400</c:v>
                </c:pt>
                <c:pt idx="713" formatCode="General">
                  <c:v>400</c:v>
                </c:pt>
                <c:pt idx="714" formatCode="General">
                  <c:v>1400</c:v>
                </c:pt>
                <c:pt idx="715" formatCode="General">
                  <c:v>400</c:v>
                </c:pt>
                <c:pt idx="716" formatCode="General">
                  <c:v>400</c:v>
                </c:pt>
                <c:pt idx="717" formatCode="General">
                  <c:v>400</c:v>
                </c:pt>
                <c:pt idx="718" formatCode="General">
                  <c:v>1100</c:v>
                </c:pt>
                <c:pt idx="719" formatCode="General">
                  <c:v>2400</c:v>
                </c:pt>
                <c:pt idx="720" formatCode="General">
                  <c:v>415</c:v>
                </c:pt>
                <c:pt idx="721" formatCode="General">
                  <c:v>1030</c:v>
                </c:pt>
                <c:pt idx="722" formatCode="General">
                  <c:v>436</c:v>
                </c:pt>
                <c:pt idx="723" formatCode="General">
                  <c:v>1124</c:v>
                </c:pt>
                <c:pt idx="724" formatCode="General">
                  <c:v>450</c:v>
                </c:pt>
                <c:pt idx="725" formatCode="General">
                  <c:v>450</c:v>
                </c:pt>
                <c:pt idx="726" formatCode="General">
                  <c:v>1650</c:v>
                </c:pt>
                <c:pt idx="727" formatCode="General">
                  <c:v>1160</c:v>
                </c:pt>
                <c:pt idx="728" formatCode="General">
                  <c:v>460</c:v>
                </c:pt>
                <c:pt idx="729" formatCode="General">
                  <c:v>960</c:v>
                </c:pt>
                <c:pt idx="730" formatCode="General">
                  <c:v>477</c:v>
                </c:pt>
                <c:pt idx="731" formatCode="General">
                  <c:v>480</c:v>
                </c:pt>
                <c:pt idx="732" formatCode="General">
                  <c:v>500</c:v>
                </c:pt>
                <c:pt idx="733" formatCode="General">
                  <c:v>500</c:v>
                </c:pt>
                <c:pt idx="734" formatCode="General">
                  <c:v>500</c:v>
                </c:pt>
                <c:pt idx="735" formatCode="General">
                  <c:v>500</c:v>
                </c:pt>
                <c:pt idx="736" formatCode="General">
                  <c:v>500</c:v>
                </c:pt>
                <c:pt idx="737" formatCode="General">
                  <c:v>580</c:v>
                </c:pt>
                <c:pt idx="738" formatCode="General">
                  <c:v>500</c:v>
                </c:pt>
                <c:pt idx="739" formatCode="General">
                  <c:v>500</c:v>
                </c:pt>
                <c:pt idx="740" formatCode="General">
                  <c:v>500</c:v>
                </c:pt>
                <c:pt idx="741" formatCode="General">
                  <c:v>500</c:v>
                </c:pt>
                <c:pt idx="742" formatCode="General">
                  <c:v>500</c:v>
                </c:pt>
                <c:pt idx="743" formatCode="General">
                  <c:v>800</c:v>
                </c:pt>
                <c:pt idx="744" formatCode="General">
                  <c:v>1700</c:v>
                </c:pt>
                <c:pt idx="745" formatCode="General">
                  <c:v>1250</c:v>
                </c:pt>
                <c:pt idx="746" formatCode="General">
                  <c:v>500</c:v>
                </c:pt>
                <c:pt idx="747" formatCode="General">
                  <c:v>2000</c:v>
                </c:pt>
                <c:pt idx="748" formatCode="General">
                  <c:v>840</c:v>
                </c:pt>
                <c:pt idx="749" formatCode="General">
                  <c:v>2520</c:v>
                </c:pt>
                <c:pt idx="750" formatCode="General">
                  <c:v>520</c:v>
                </c:pt>
                <c:pt idx="751" formatCode="General">
                  <c:v>2535</c:v>
                </c:pt>
                <c:pt idx="752" formatCode="General">
                  <c:v>1053</c:v>
                </c:pt>
                <c:pt idx="753" formatCode="General">
                  <c:v>3340</c:v>
                </c:pt>
                <c:pt idx="754" formatCode="General">
                  <c:v>550</c:v>
                </c:pt>
                <c:pt idx="755" formatCode="General">
                  <c:v>1975</c:v>
                </c:pt>
                <c:pt idx="756" formatCode="General">
                  <c:v>1060</c:v>
                </c:pt>
                <c:pt idx="757" formatCode="General">
                  <c:v>570</c:v>
                </c:pt>
                <c:pt idx="758" formatCode="General">
                  <c:v>3600</c:v>
                </c:pt>
                <c:pt idx="759" formatCode="General">
                  <c:v>2600</c:v>
                </c:pt>
                <c:pt idx="760" formatCode="General">
                  <c:v>1600</c:v>
                </c:pt>
                <c:pt idx="761" formatCode="General">
                  <c:v>5600</c:v>
                </c:pt>
                <c:pt idx="762" formatCode="General">
                  <c:v>600</c:v>
                </c:pt>
                <c:pt idx="763" formatCode="General">
                  <c:v>1150</c:v>
                </c:pt>
                <c:pt idx="764" formatCode="General">
                  <c:v>600</c:v>
                </c:pt>
                <c:pt idx="765" formatCode="General">
                  <c:v>600</c:v>
                </c:pt>
                <c:pt idx="766" formatCode="General">
                  <c:v>600</c:v>
                </c:pt>
                <c:pt idx="767" formatCode="General">
                  <c:v>750</c:v>
                </c:pt>
                <c:pt idx="768" formatCode="General">
                  <c:v>600</c:v>
                </c:pt>
                <c:pt idx="769" formatCode="General">
                  <c:v>600</c:v>
                </c:pt>
                <c:pt idx="770" formatCode="General">
                  <c:v>600</c:v>
                </c:pt>
                <c:pt idx="771" formatCode="General">
                  <c:v>2120</c:v>
                </c:pt>
                <c:pt idx="772" formatCode="General">
                  <c:v>1480</c:v>
                </c:pt>
                <c:pt idx="773" formatCode="General">
                  <c:v>650</c:v>
                </c:pt>
                <c:pt idx="774" formatCode="General">
                  <c:v>650</c:v>
                </c:pt>
                <c:pt idx="775" formatCode="General">
                  <c:v>650</c:v>
                </c:pt>
                <c:pt idx="776" formatCode="General">
                  <c:v>660</c:v>
                </c:pt>
                <c:pt idx="777" formatCode="General">
                  <c:v>660</c:v>
                </c:pt>
                <c:pt idx="778" formatCode="General">
                  <c:v>680</c:v>
                </c:pt>
                <c:pt idx="779" formatCode="General">
                  <c:v>689</c:v>
                </c:pt>
                <c:pt idx="780" formatCode="General">
                  <c:v>700</c:v>
                </c:pt>
                <c:pt idx="781" formatCode="General">
                  <c:v>3200</c:v>
                </c:pt>
                <c:pt idx="782" formatCode="General">
                  <c:v>1400</c:v>
                </c:pt>
                <c:pt idx="783" formatCode="General">
                  <c:v>1400</c:v>
                </c:pt>
                <c:pt idx="784" formatCode="General">
                  <c:v>700</c:v>
                </c:pt>
                <c:pt idx="785" formatCode="General">
                  <c:v>700</c:v>
                </c:pt>
                <c:pt idx="786" formatCode="General">
                  <c:v>700</c:v>
                </c:pt>
                <c:pt idx="787" formatCode="General">
                  <c:v>1000</c:v>
                </c:pt>
                <c:pt idx="788" formatCode="General">
                  <c:v>700</c:v>
                </c:pt>
                <c:pt idx="789" formatCode="General">
                  <c:v>700</c:v>
                </c:pt>
                <c:pt idx="790" formatCode="General">
                  <c:v>700</c:v>
                </c:pt>
                <c:pt idx="791" formatCode="General">
                  <c:v>1700</c:v>
                </c:pt>
                <c:pt idx="792" formatCode="General">
                  <c:v>1000</c:v>
                </c:pt>
                <c:pt idx="793" formatCode="General">
                  <c:v>1250</c:v>
                </c:pt>
                <c:pt idx="794" formatCode="General">
                  <c:v>750</c:v>
                </c:pt>
                <c:pt idx="795" formatCode="General">
                  <c:v>810</c:v>
                </c:pt>
                <c:pt idx="796" formatCode="General">
                  <c:v>760</c:v>
                </c:pt>
                <c:pt idx="797" formatCode="General">
                  <c:v>2160</c:v>
                </c:pt>
                <c:pt idx="798" formatCode="General">
                  <c:v>800</c:v>
                </c:pt>
                <c:pt idx="799" formatCode="General">
                  <c:v>800</c:v>
                </c:pt>
                <c:pt idx="800" formatCode="General">
                  <c:v>800</c:v>
                </c:pt>
                <c:pt idx="801" formatCode="General">
                  <c:v>1500</c:v>
                </c:pt>
                <c:pt idx="802" formatCode="General">
                  <c:v>1800</c:v>
                </c:pt>
                <c:pt idx="803" formatCode="General">
                  <c:v>1500</c:v>
                </c:pt>
                <c:pt idx="804" formatCode="General">
                  <c:v>800</c:v>
                </c:pt>
                <c:pt idx="805" formatCode="General">
                  <c:v>800</c:v>
                </c:pt>
                <c:pt idx="806" formatCode="General">
                  <c:v>4300</c:v>
                </c:pt>
                <c:pt idx="807" formatCode="General">
                  <c:v>870</c:v>
                </c:pt>
                <c:pt idx="808" formatCode="General">
                  <c:v>900</c:v>
                </c:pt>
                <c:pt idx="809" formatCode="General">
                  <c:v>900</c:v>
                </c:pt>
                <c:pt idx="810" formatCode="General">
                  <c:v>2900</c:v>
                </c:pt>
                <c:pt idx="811" formatCode="General">
                  <c:v>900</c:v>
                </c:pt>
                <c:pt idx="812" formatCode="General">
                  <c:v>900</c:v>
                </c:pt>
                <c:pt idx="813" formatCode="General">
                  <c:v>900</c:v>
                </c:pt>
                <c:pt idx="814">
                  <c:v>1500</c:v>
                </c:pt>
                <c:pt idx="815">
                  <c:v>1000</c:v>
                </c:pt>
                <c:pt idx="816">
                  <c:v>2000</c:v>
                </c:pt>
                <c:pt idx="817">
                  <c:v>3000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1015</c:v>
                </c:pt>
                <c:pt idx="828">
                  <c:v>1707</c:v>
                </c:pt>
                <c:pt idx="829">
                  <c:v>1094</c:v>
                </c:pt>
                <c:pt idx="830">
                  <c:v>1167</c:v>
                </c:pt>
                <c:pt idx="831">
                  <c:v>2000</c:v>
                </c:pt>
                <c:pt idx="832">
                  <c:v>1200</c:v>
                </c:pt>
                <c:pt idx="833">
                  <c:v>1200</c:v>
                </c:pt>
                <c:pt idx="834">
                  <c:v>6200</c:v>
                </c:pt>
                <c:pt idx="835">
                  <c:v>1230</c:v>
                </c:pt>
                <c:pt idx="836">
                  <c:v>1300</c:v>
                </c:pt>
                <c:pt idx="837">
                  <c:v>1350</c:v>
                </c:pt>
                <c:pt idx="838">
                  <c:v>1400</c:v>
                </c:pt>
                <c:pt idx="839">
                  <c:v>2475</c:v>
                </c:pt>
                <c:pt idx="840">
                  <c:v>1500</c:v>
                </c:pt>
                <c:pt idx="841">
                  <c:v>5500</c:v>
                </c:pt>
                <c:pt idx="842">
                  <c:v>1500</c:v>
                </c:pt>
                <c:pt idx="843">
                  <c:v>2700</c:v>
                </c:pt>
                <c:pt idx="844">
                  <c:v>1500</c:v>
                </c:pt>
                <c:pt idx="845">
                  <c:v>1500</c:v>
                </c:pt>
                <c:pt idx="846">
                  <c:v>1600</c:v>
                </c:pt>
                <c:pt idx="847">
                  <c:v>4520</c:v>
                </c:pt>
                <c:pt idx="848">
                  <c:v>2000</c:v>
                </c:pt>
                <c:pt idx="849">
                  <c:v>2000</c:v>
                </c:pt>
                <c:pt idx="850">
                  <c:v>3300</c:v>
                </c:pt>
                <c:pt idx="851">
                  <c:v>2000</c:v>
                </c:pt>
                <c:pt idx="852">
                  <c:v>2000</c:v>
                </c:pt>
                <c:pt idx="853">
                  <c:v>3700</c:v>
                </c:pt>
                <c:pt idx="854">
                  <c:v>2500</c:v>
                </c:pt>
                <c:pt idx="855">
                  <c:v>2500</c:v>
                </c:pt>
                <c:pt idx="856">
                  <c:v>2500</c:v>
                </c:pt>
                <c:pt idx="857">
                  <c:v>2600</c:v>
                </c:pt>
                <c:pt idx="858">
                  <c:v>3151</c:v>
                </c:pt>
                <c:pt idx="859">
                  <c:v>2940</c:v>
                </c:pt>
                <c:pt idx="860">
                  <c:v>3000</c:v>
                </c:pt>
                <c:pt idx="861">
                  <c:v>5000</c:v>
                </c:pt>
                <c:pt idx="862">
                  <c:v>3000</c:v>
                </c:pt>
                <c:pt idx="863">
                  <c:v>3000</c:v>
                </c:pt>
                <c:pt idx="864">
                  <c:v>5700</c:v>
                </c:pt>
                <c:pt idx="865">
                  <c:v>4500</c:v>
                </c:pt>
                <c:pt idx="866">
                  <c:v>5000</c:v>
                </c:pt>
                <c:pt idx="867">
                  <c:v>9000</c:v>
                </c:pt>
                <c:pt idx="868" formatCode="General">
                  <c:v>40</c:v>
                </c:pt>
                <c:pt idx="869" formatCode="General">
                  <c:v>50</c:v>
                </c:pt>
                <c:pt idx="870" formatCode="General">
                  <c:v>100</c:v>
                </c:pt>
                <c:pt idx="871" formatCode="General">
                  <c:v>100</c:v>
                </c:pt>
                <c:pt idx="872" formatCode="General">
                  <c:v>100</c:v>
                </c:pt>
                <c:pt idx="873" formatCode="General">
                  <c:v>150</c:v>
                </c:pt>
                <c:pt idx="874" formatCode="General">
                  <c:v>150</c:v>
                </c:pt>
                <c:pt idx="875" formatCode="General">
                  <c:v>160</c:v>
                </c:pt>
                <c:pt idx="876" formatCode="General">
                  <c:v>180</c:v>
                </c:pt>
                <c:pt idx="877" formatCode="General">
                  <c:v>180</c:v>
                </c:pt>
                <c:pt idx="878" formatCode="General">
                  <c:v>200</c:v>
                </c:pt>
                <c:pt idx="879" formatCode="General">
                  <c:v>200</c:v>
                </c:pt>
                <c:pt idx="880" formatCode="General">
                  <c:v>200</c:v>
                </c:pt>
                <c:pt idx="881" formatCode="General">
                  <c:v>200</c:v>
                </c:pt>
                <c:pt idx="882" formatCode="General">
                  <c:v>200</c:v>
                </c:pt>
                <c:pt idx="883" formatCode="General">
                  <c:v>200</c:v>
                </c:pt>
                <c:pt idx="884" formatCode="General">
                  <c:v>200</c:v>
                </c:pt>
                <c:pt idx="885" formatCode="General">
                  <c:v>200</c:v>
                </c:pt>
                <c:pt idx="886" formatCode="General">
                  <c:v>200</c:v>
                </c:pt>
                <c:pt idx="887" formatCode="General">
                  <c:v>208</c:v>
                </c:pt>
                <c:pt idx="888" formatCode="General">
                  <c:v>250</c:v>
                </c:pt>
                <c:pt idx="889" formatCode="General">
                  <c:v>250</c:v>
                </c:pt>
                <c:pt idx="890" formatCode="General">
                  <c:v>270</c:v>
                </c:pt>
                <c:pt idx="891" formatCode="General">
                  <c:v>275</c:v>
                </c:pt>
                <c:pt idx="892" formatCode="General">
                  <c:v>280</c:v>
                </c:pt>
                <c:pt idx="893" formatCode="General">
                  <c:v>280</c:v>
                </c:pt>
                <c:pt idx="894" formatCode="General">
                  <c:v>300</c:v>
                </c:pt>
                <c:pt idx="895" formatCode="General">
                  <c:v>300</c:v>
                </c:pt>
                <c:pt idx="896" formatCode="General">
                  <c:v>300</c:v>
                </c:pt>
                <c:pt idx="897" formatCode="General">
                  <c:v>300</c:v>
                </c:pt>
                <c:pt idx="898" formatCode="General">
                  <c:v>300</c:v>
                </c:pt>
                <c:pt idx="899" formatCode="General">
                  <c:v>300</c:v>
                </c:pt>
                <c:pt idx="900" formatCode="General">
                  <c:v>300</c:v>
                </c:pt>
                <c:pt idx="901" formatCode="General">
                  <c:v>300</c:v>
                </c:pt>
                <c:pt idx="902" formatCode="General">
                  <c:v>300</c:v>
                </c:pt>
                <c:pt idx="903" formatCode="General">
                  <c:v>300</c:v>
                </c:pt>
                <c:pt idx="904" formatCode="General">
                  <c:v>300</c:v>
                </c:pt>
                <c:pt idx="905" formatCode="General">
                  <c:v>320</c:v>
                </c:pt>
                <c:pt idx="906" formatCode="General">
                  <c:v>333</c:v>
                </c:pt>
                <c:pt idx="907" formatCode="General">
                  <c:v>350</c:v>
                </c:pt>
                <c:pt idx="908" formatCode="General">
                  <c:v>350</c:v>
                </c:pt>
                <c:pt idx="909" formatCode="General">
                  <c:v>350</c:v>
                </c:pt>
                <c:pt idx="910" formatCode="General">
                  <c:v>350</c:v>
                </c:pt>
                <c:pt idx="911" formatCode="General">
                  <c:v>380</c:v>
                </c:pt>
                <c:pt idx="912" formatCode="General">
                  <c:v>397</c:v>
                </c:pt>
                <c:pt idx="913" formatCode="General">
                  <c:v>400</c:v>
                </c:pt>
                <c:pt idx="914" formatCode="General">
                  <c:v>400</c:v>
                </c:pt>
                <c:pt idx="915" formatCode="General">
                  <c:v>400</c:v>
                </c:pt>
                <c:pt idx="916" formatCode="General">
                  <c:v>400</c:v>
                </c:pt>
                <c:pt idx="917" formatCode="General">
                  <c:v>400</c:v>
                </c:pt>
                <c:pt idx="918" formatCode="General">
                  <c:v>400</c:v>
                </c:pt>
                <c:pt idx="919" formatCode="General">
                  <c:v>400</c:v>
                </c:pt>
                <c:pt idx="920" formatCode="General">
                  <c:v>421</c:v>
                </c:pt>
                <c:pt idx="921" formatCode="General">
                  <c:v>450</c:v>
                </c:pt>
                <c:pt idx="922" formatCode="General">
                  <c:v>450</c:v>
                </c:pt>
                <c:pt idx="923" formatCode="General">
                  <c:v>450</c:v>
                </c:pt>
                <c:pt idx="924" formatCode="General">
                  <c:v>450</c:v>
                </c:pt>
                <c:pt idx="925" formatCode="General">
                  <c:v>450</c:v>
                </c:pt>
                <c:pt idx="926" formatCode="General">
                  <c:v>450</c:v>
                </c:pt>
                <c:pt idx="927" formatCode="General">
                  <c:v>480</c:v>
                </c:pt>
                <c:pt idx="928" formatCode="General">
                  <c:v>500</c:v>
                </c:pt>
                <c:pt idx="929" formatCode="General">
                  <c:v>500</c:v>
                </c:pt>
                <c:pt idx="930" formatCode="General">
                  <c:v>500</c:v>
                </c:pt>
                <c:pt idx="931" formatCode="General">
                  <c:v>500</c:v>
                </c:pt>
                <c:pt idx="932" formatCode="General">
                  <c:v>500</c:v>
                </c:pt>
                <c:pt idx="933" formatCode="General">
                  <c:v>500</c:v>
                </c:pt>
                <c:pt idx="934" formatCode="General">
                  <c:v>500</c:v>
                </c:pt>
                <c:pt idx="935" formatCode="General">
                  <c:v>500</c:v>
                </c:pt>
                <c:pt idx="936" formatCode="General">
                  <c:v>500</c:v>
                </c:pt>
                <c:pt idx="937" formatCode="General">
                  <c:v>500</c:v>
                </c:pt>
                <c:pt idx="938" formatCode="General">
                  <c:v>500</c:v>
                </c:pt>
                <c:pt idx="939" formatCode="General">
                  <c:v>500</c:v>
                </c:pt>
                <c:pt idx="940" formatCode="General">
                  <c:v>500</c:v>
                </c:pt>
                <c:pt idx="941" formatCode="General">
                  <c:v>500</c:v>
                </c:pt>
                <c:pt idx="942" formatCode="General">
                  <c:v>500</c:v>
                </c:pt>
                <c:pt idx="943" formatCode="General">
                  <c:v>500</c:v>
                </c:pt>
                <c:pt idx="944" formatCode="General">
                  <c:v>500</c:v>
                </c:pt>
                <c:pt idx="945" formatCode="General">
                  <c:v>500</c:v>
                </c:pt>
                <c:pt idx="946" formatCode="General">
                  <c:v>500</c:v>
                </c:pt>
                <c:pt idx="947" formatCode="General">
                  <c:v>500</c:v>
                </c:pt>
                <c:pt idx="948" formatCode="General">
                  <c:v>500</c:v>
                </c:pt>
                <c:pt idx="949" formatCode="General">
                  <c:v>500</c:v>
                </c:pt>
                <c:pt idx="950" formatCode="General">
                  <c:v>500</c:v>
                </c:pt>
                <c:pt idx="951" formatCode="General">
                  <c:v>500</c:v>
                </c:pt>
                <c:pt idx="952" formatCode="General">
                  <c:v>500</c:v>
                </c:pt>
                <c:pt idx="953" formatCode="General">
                  <c:v>500</c:v>
                </c:pt>
                <c:pt idx="954" formatCode="General">
                  <c:v>500</c:v>
                </c:pt>
                <c:pt idx="955" formatCode="General">
                  <c:v>540</c:v>
                </c:pt>
                <c:pt idx="956" formatCode="General">
                  <c:v>550</c:v>
                </c:pt>
                <c:pt idx="957" formatCode="General">
                  <c:v>550</c:v>
                </c:pt>
                <c:pt idx="958" formatCode="General">
                  <c:v>600</c:v>
                </c:pt>
                <c:pt idx="959" formatCode="General">
                  <c:v>600</c:v>
                </c:pt>
                <c:pt idx="960" formatCode="General">
                  <c:v>600</c:v>
                </c:pt>
                <c:pt idx="961" formatCode="General">
                  <c:v>600</c:v>
                </c:pt>
                <c:pt idx="962" formatCode="General">
                  <c:v>600</c:v>
                </c:pt>
                <c:pt idx="963" formatCode="General">
                  <c:v>600</c:v>
                </c:pt>
                <c:pt idx="964" formatCode="General">
                  <c:v>600</c:v>
                </c:pt>
                <c:pt idx="965" formatCode="General">
                  <c:v>600</c:v>
                </c:pt>
                <c:pt idx="966" formatCode="General">
                  <c:v>600</c:v>
                </c:pt>
                <c:pt idx="967" formatCode="General">
                  <c:v>600</c:v>
                </c:pt>
                <c:pt idx="968" formatCode="General">
                  <c:v>600</c:v>
                </c:pt>
                <c:pt idx="969" formatCode="General">
                  <c:v>600</c:v>
                </c:pt>
                <c:pt idx="970" formatCode="General">
                  <c:v>600</c:v>
                </c:pt>
                <c:pt idx="971" formatCode="General">
                  <c:v>600</c:v>
                </c:pt>
                <c:pt idx="972" formatCode="General">
                  <c:v>600</c:v>
                </c:pt>
                <c:pt idx="973" formatCode="General">
                  <c:v>600</c:v>
                </c:pt>
                <c:pt idx="974" formatCode="General">
                  <c:v>620</c:v>
                </c:pt>
                <c:pt idx="975" formatCode="General">
                  <c:v>650</c:v>
                </c:pt>
                <c:pt idx="976" formatCode="General">
                  <c:v>650</c:v>
                </c:pt>
                <c:pt idx="977" formatCode="General">
                  <c:v>690</c:v>
                </c:pt>
                <c:pt idx="978" formatCode="General">
                  <c:v>700</c:v>
                </c:pt>
                <c:pt idx="979" formatCode="General">
                  <c:v>700</c:v>
                </c:pt>
                <c:pt idx="980" formatCode="General">
                  <c:v>700</c:v>
                </c:pt>
                <c:pt idx="981" formatCode="General">
                  <c:v>700</c:v>
                </c:pt>
                <c:pt idx="982" formatCode="General">
                  <c:v>700</c:v>
                </c:pt>
                <c:pt idx="983" formatCode="General">
                  <c:v>700</c:v>
                </c:pt>
                <c:pt idx="984" formatCode="General">
                  <c:v>700</c:v>
                </c:pt>
                <c:pt idx="985" formatCode="General">
                  <c:v>700</c:v>
                </c:pt>
                <c:pt idx="986" formatCode="General">
                  <c:v>700</c:v>
                </c:pt>
                <c:pt idx="987" formatCode="General">
                  <c:v>700</c:v>
                </c:pt>
                <c:pt idx="988" formatCode="General">
                  <c:v>700</c:v>
                </c:pt>
                <c:pt idx="989" formatCode="General">
                  <c:v>730</c:v>
                </c:pt>
                <c:pt idx="990" formatCode="General">
                  <c:v>750</c:v>
                </c:pt>
                <c:pt idx="991" formatCode="General">
                  <c:v>750</c:v>
                </c:pt>
                <c:pt idx="992" formatCode="General">
                  <c:v>750</c:v>
                </c:pt>
                <c:pt idx="993" formatCode="General">
                  <c:v>750</c:v>
                </c:pt>
                <c:pt idx="994" formatCode="General">
                  <c:v>750</c:v>
                </c:pt>
                <c:pt idx="995" formatCode="General">
                  <c:v>800</c:v>
                </c:pt>
                <c:pt idx="996" formatCode="General">
                  <c:v>800</c:v>
                </c:pt>
                <c:pt idx="997" formatCode="General">
                  <c:v>800</c:v>
                </c:pt>
                <c:pt idx="998" formatCode="General">
                  <c:v>800</c:v>
                </c:pt>
                <c:pt idx="999" formatCode="General">
                  <c:v>800</c:v>
                </c:pt>
                <c:pt idx="1000" formatCode="General">
                  <c:v>800</c:v>
                </c:pt>
                <c:pt idx="1001" formatCode="General">
                  <c:v>800</c:v>
                </c:pt>
                <c:pt idx="1002" formatCode="General">
                  <c:v>800</c:v>
                </c:pt>
                <c:pt idx="1003" formatCode="General">
                  <c:v>800</c:v>
                </c:pt>
                <c:pt idx="1004" formatCode="General">
                  <c:v>800</c:v>
                </c:pt>
                <c:pt idx="1005" formatCode="General">
                  <c:v>800</c:v>
                </c:pt>
                <c:pt idx="1006" formatCode="General">
                  <c:v>800</c:v>
                </c:pt>
                <c:pt idx="1007" formatCode="General">
                  <c:v>820</c:v>
                </c:pt>
                <c:pt idx="1008" formatCode="General">
                  <c:v>840</c:v>
                </c:pt>
                <c:pt idx="1009" formatCode="General">
                  <c:v>892</c:v>
                </c:pt>
                <c:pt idx="1010" formatCode="General">
                  <c:v>900</c:v>
                </c:pt>
                <c:pt idx="1011" formatCode="General">
                  <c:v>900</c:v>
                </c:pt>
                <c:pt idx="1012" formatCode="General">
                  <c:v>900</c:v>
                </c:pt>
                <c:pt idx="1013" formatCode="General">
                  <c:v>900</c:v>
                </c:pt>
                <c:pt idx="1014" formatCode="General">
                  <c:v>950</c:v>
                </c:pt>
                <c:pt idx="1015" formatCode="General">
                  <c:v>995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1000</c:v>
                </c:pt>
                <c:pt idx="1021">
                  <c:v>1000</c:v>
                </c:pt>
                <c:pt idx="1022">
                  <c:v>1000</c:v>
                </c:pt>
                <c:pt idx="1023">
                  <c:v>1000</c:v>
                </c:pt>
                <c:pt idx="1024">
                  <c:v>1000</c:v>
                </c:pt>
                <c:pt idx="1025">
                  <c:v>1000</c:v>
                </c:pt>
                <c:pt idx="1026">
                  <c:v>1000</c:v>
                </c:pt>
                <c:pt idx="1027">
                  <c:v>1000</c:v>
                </c:pt>
                <c:pt idx="1028">
                  <c:v>1000</c:v>
                </c:pt>
                <c:pt idx="1029">
                  <c:v>1000</c:v>
                </c:pt>
                <c:pt idx="1030">
                  <c:v>1000</c:v>
                </c:pt>
                <c:pt idx="1031">
                  <c:v>1000</c:v>
                </c:pt>
                <c:pt idx="1032">
                  <c:v>1000</c:v>
                </c:pt>
                <c:pt idx="1033">
                  <c:v>1000</c:v>
                </c:pt>
                <c:pt idx="1034">
                  <c:v>1000</c:v>
                </c:pt>
                <c:pt idx="1035">
                  <c:v>1000</c:v>
                </c:pt>
                <c:pt idx="1036">
                  <c:v>1000</c:v>
                </c:pt>
                <c:pt idx="1037">
                  <c:v>1000</c:v>
                </c:pt>
                <c:pt idx="1038">
                  <c:v>1000</c:v>
                </c:pt>
                <c:pt idx="1039">
                  <c:v>1000</c:v>
                </c:pt>
                <c:pt idx="1040">
                  <c:v>1100</c:v>
                </c:pt>
                <c:pt idx="1041">
                  <c:v>1170</c:v>
                </c:pt>
                <c:pt idx="1042">
                  <c:v>1180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1300</c:v>
                </c:pt>
                <c:pt idx="1050">
                  <c:v>1400</c:v>
                </c:pt>
                <c:pt idx="1051">
                  <c:v>1400</c:v>
                </c:pt>
                <c:pt idx="1052">
                  <c:v>1400</c:v>
                </c:pt>
                <c:pt idx="1053">
                  <c:v>1400</c:v>
                </c:pt>
                <c:pt idx="1054">
                  <c:v>1400</c:v>
                </c:pt>
                <c:pt idx="1055">
                  <c:v>1500</c:v>
                </c:pt>
                <c:pt idx="1056">
                  <c:v>1500</c:v>
                </c:pt>
                <c:pt idx="1057">
                  <c:v>1500</c:v>
                </c:pt>
                <c:pt idx="1058">
                  <c:v>1500</c:v>
                </c:pt>
                <c:pt idx="1059">
                  <c:v>1500</c:v>
                </c:pt>
                <c:pt idx="1060">
                  <c:v>1500</c:v>
                </c:pt>
                <c:pt idx="1061">
                  <c:v>1500</c:v>
                </c:pt>
                <c:pt idx="1062">
                  <c:v>1500</c:v>
                </c:pt>
                <c:pt idx="1063">
                  <c:v>1500</c:v>
                </c:pt>
                <c:pt idx="1064">
                  <c:v>1500</c:v>
                </c:pt>
                <c:pt idx="1065">
                  <c:v>1500</c:v>
                </c:pt>
                <c:pt idx="1066">
                  <c:v>1500</c:v>
                </c:pt>
                <c:pt idx="1067">
                  <c:v>1500</c:v>
                </c:pt>
                <c:pt idx="1068">
                  <c:v>1500</c:v>
                </c:pt>
                <c:pt idx="1069">
                  <c:v>1500</c:v>
                </c:pt>
                <c:pt idx="1070">
                  <c:v>1500</c:v>
                </c:pt>
                <c:pt idx="1071">
                  <c:v>1500</c:v>
                </c:pt>
                <c:pt idx="1072">
                  <c:v>1500</c:v>
                </c:pt>
                <c:pt idx="1073">
                  <c:v>1500</c:v>
                </c:pt>
                <c:pt idx="1074">
                  <c:v>1680</c:v>
                </c:pt>
                <c:pt idx="1075">
                  <c:v>1800</c:v>
                </c:pt>
                <c:pt idx="1076">
                  <c:v>2000</c:v>
                </c:pt>
                <c:pt idx="1077">
                  <c:v>2000</c:v>
                </c:pt>
                <c:pt idx="1078">
                  <c:v>2000</c:v>
                </c:pt>
                <c:pt idx="1079">
                  <c:v>2000</c:v>
                </c:pt>
                <c:pt idx="1080">
                  <c:v>2000</c:v>
                </c:pt>
                <c:pt idx="1081">
                  <c:v>2000</c:v>
                </c:pt>
                <c:pt idx="1082">
                  <c:v>2000</c:v>
                </c:pt>
                <c:pt idx="1083">
                  <c:v>2000</c:v>
                </c:pt>
                <c:pt idx="1084">
                  <c:v>2000</c:v>
                </c:pt>
                <c:pt idx="1085">
                  <c:v>2000</c:v>
                </c:pt>
                <c:pt idx="1086">
                  <c:v>2000</c:v>
                </c:pt>
                <c:pt idx="1087">
                  <c:v>2000</c:v>
                </c:pt>
                <c:pt idx="1088">
                  <c:v>2000</c:v>
                </c:pt>
                <c:pt idx="1089">
                  <c:v>2000</c:v>
                </c:pt>
                <c:pt idx="1090">
                  <c:v>2100</c:v>
                </c:pt>
                <c:pt idx="1091">
                  <c:v>2250</c:v>
                </c:pt>
                <c:pt idx="1092">
                  <c:v>2400</c:v>
                </c:pt>
                <c:pt idx="1093">
                  <c:v>2500</c:v>
                </c:pt>
                <c:pt idx="1094">
                  <c:v>2500</c:v>
                </c:pt>
                <c:pt idx="1095">
                  <c:v>2500</c:v>
                </c:pt>
                <c:pt idx="1096">
                  <c:v>2500</c:v>
                </c:pt>
                <c:pt idx="1097">
                  <c:v>2700</c:v>
                </c:pt>
                <c:pt idx="1098">
                  <c:v>2800</c:v>
                </c:pt>
                <c:pt idx="1099">
                  <c:v>2800</c:v>
                </c:pt>
                <c:pt idx="1100">
                  <c:v>2900</c:v>
                </c:pt>
                <c:pt idx="1101">
                  <c:v>3000</c:v>
                </c:pt>
                <c:pt idx="1102">
                  <c:v>3000</c:v>
                </c:pt>
                <c:pt idx="1103">
                  <c:v>3000</c:v>
                </c:pt>
                <c:pt idx="1104">
                  <c:v>3000</c:v>
                </c:pt>
                <c:pt idx="1105">
                  <c:v>3000</c:v>
                </c:pt>
                <c:pt idx="1106">
                  <c:v>3000</c:v>
                </c:pt>
                <c:pt idx="1107">
                  <c:v>3000</c:v>
                </c:pt>
                <c:pt idx="1108">
                  <c:v>3000</c:v>
                </c:pt>
                <c:pt idx="1109">
                  <c:v>3000</c:v>
                </c:pt>
                <c:pt idx="1110">
                  <c:v>3000</c:v>
                </c:pt>
                <c:pt idx="1111">
                  <c:v>3600</c:v>
                </c:pt>
                <c:pt idx="1112">
                  <c:v>4000</c:v>
                </c:pt>
                <c:pt idx="1113">
                  <c:v>4000</c:v>
                </c:pt>
                <c:pt idx="1114">
                  <c:v>4000</c:v>
                </c:pt>
                <c:pt idx="1115">
                  <c:v>4000</c:v>
                </c:pt>
                <c:pt idx="1116">
                  <c:v>4500</c:v>
                </c:pt>
                <c:pt idx="1117">
                  <c:v>4500</c:v>
                </c:pt>
                <c:pt idx="1118">
                  <c:v>5000</c:v>
                </c:pt>
                <c:pt idx="1119">
                  <c:v>5600</c:v>
                </c:pt>
                <c:pt idx="1120">
                  <c:v>7200</c:v>
                </c:pt>
                <c:pt idx="1121">
                  <c:v>7500</c:v>
                </c:pt>
                <c:pt idx="1122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BD-6544-BE27-285E92AB5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442896"/>
        <c:axId val="2128410512"/>
      </c:scatterChart>
      <c:valAx>
        <c:axId val="172444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410512"/>
        <c:crosses val="autoZero"/>
        <c:crossBetween val="midCat"/>
      </c:valAx>
      <c:valAx>
        <c:axId val="212841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44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Население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Forecast!$G$3</c:f>
              <c:strCache>
                <c:ptCount val="1"/>
                <c:pt idx="0">
                  <c:v>Таджикистан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Forecast!$F$4:$F$30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cat>
          <c:val>
            <c:numRef>
              <c:f>Forecast!$G$4:$G$30</c:f>
              <c:numCache>
                <c:formatCode>_(* #,##0_);_(* \(#,##0\);_(* "-"??_);_(@_)</c:formatCode>
                <c:ptCount val="27"/>
                <c:pt idx="0">
                  <c:v>6000000</c:v>
                </c:pt>
                <c:pt idx="1">
                  <c:v>6125876</c:v>
                </c:pt>
                <c:pt idx="2">
                  <c:v>6253454</c:v>
                </c:pt>
                <c:pt idx="3">
                  <c:v>6373381</c:v>
                </c:pt>
                <c:pt idx="4">
                  <c:v>6501509</c:v>
                </c:pt>
                <c:pt idx="5">
                  <c:v>6643962</c:v>
                </c:pt>
                <c:pt idx="6">
                  <c:v>6772797</c:v>
                </c:pt>
                <c:pt idx="7">
                  <c:v>6915879</c:v>
                </c:pt>
                <c:pt idx="8">
                  <c:v>7053031</c:v>
                </c:pt>
                <c:pt idx="9">
                  <c:v>7183669</c:v>
                </c:pt>
                <c:pt idx="10">
                  <c:v>7325867</c:v>
                </c:pt>
                <c:pt idx="11">
                  <c:v>7485426</c:v>
                </c:pt>
                <c:pt idx="12">
                  <c:v>7637847</c:v>
                </c:pt>
                <c:pt idx="13">
                  <c:v>7788748</c:v>
                </c:pt>
                <c:pt idx="14">
                  <c:v>7954677</c:v>
                </c:pt>
                <c:pt idx="15">
                  <c:v>8106241</c:v>
                </c:pt>
                <c:pt idx="16">
                  <c:v>8281201</c:v>
                </c:pt>
                <c:pt idx="17">
                  <c:v>8446120</c:v>
                </c:pt>
                <c:pt idx="18">
                  <c:v>8609308</c:v>
                </c:pt>
                <c:pt idx="19">
                  <c:v>8780717</c:v>
                </c:pt>
                <c:pt idx="20">
                  <c:v>8955199</c:v>
                </c:pt>
                <c:pt idx="21">
                  <c:v>9125420</c:v>
                </c:pt>
                <c:pt idx="22">
                  <c:v>9319802</c:v>
                </c:pt>
                <c:pt idx="23">
                  <c:v>9501900</c:v>
                </c:pt>
                <c:pt idx="24">
                  <c:v>9698840</c:v>
                </c:pt>
                <c:pt idx="25">
                  <c:v>9835811</c:v>
                </c:pt>
                <c:pt idx="26">
                  <c:v>10028882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89-954D-A261-CC8CEB5061FF}"/>
            </c:ext>
          </c:extLst>
        </c:ser>
        <c:ser>
          <c:idx val="1"/>
          <c:order val="1"/>
          <c:tx>
            <c:strRef>
              <c:f>Forecast!$H$3</c:f>
              <c:strCache>
                <c:ptCount val="1"/>
                <c:pt idx="0">
                  <c:v>Узбекистан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Forecast!$F$4:$F$30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cat>
          <c:val>
            <c:numRef>
              <c:f>Forecast!$H$4:$H$30</c:f>
              <c:numCache>
                <c:formatCode>_(* #,##0_);_(* \(#,##0\);_(* "-"??_);_(@_)</c:formatCode>
                <c:ptCount val="27"/>
                <c:pt idx="0">
                  <c:v>20400000</c:v>
                </c:pt>
                <c:pt idx="1">
                  <c:v>20846516</c:v>
                </c:pt>
                <c:pt idx="2">
                  <c:v>21289483</c:v>
                </c:pt>
                <c:pt idx="3">
                  <c:v>21740639</c:v>
                </c:pt>
                <c:pt idx="4">
                  <c:v>22206007</c:v>
                </c:pt>
                <c:pt idx="5">
                  <c:v>22658115</c:v>
                </c:pt>
                <c:pt idx="6">
                  <c:v>23069186</c:v>
                </c:pt>
                <c:pt idx="7">
                  <c:v>23511307</c:v>
                </c:pt>
                <c:pt idx="8">
                  <c:v>23956311</c:v>
                </c:pt>
                <c:pt idx="9">
                  <c:v>24424463</c:v>
                </c:pt>
                <c:pt idx="10">
                  <c:v>24883578</c:v>
                </c:pt>
                <c:pt idx="11">
                  <c:v>25368987</c:v>
                </c:pt>
                <c:pt idx="12">
                  <c:v>25858973</c:v>
                </c:pt>
                <c:pt idx="13">
                  <c:v>26421369</c:v>
                </c:pt>
                <c:pt idx="14">
                  <c:v>26934795</c:v>
                </c:pt>
                <c:pt idx="15">
                  <c:v>27470650</c:v>
                </c:pt>
                <c:pt idx="16">
                  <c:v>28060885</c:v>
                </c:pt>
                <c:pt idx="17">
                  <c:v>28576468</c:v>
                </c:pt>
                <c:pt idx="18">
                  <c:v>29144360</c:v>
                </c:pt>
                <c:pt idx="19">
                  <c:v>29752418</c:v>
                </c:pt>
                <c:pt idx="20">
                  <c:v>30347751</c:v>
                </c:pt>
                <c:pt idx="21">
                  <c:v>30940876</c:v>
                </c:pt>
                <c:pt idx="22">
                  <c:v>31570674</c:v>
                </c:pt>
                <c:pt idx="23">
                  <c:v>32227472</c:v>
                </c:pt>
                <c:pt idx="24">
                  <c:v>32877095</c:v>
                </c:pt>
                <c:pt idx="25">
                  <c:v>33329856</c:v>
                </c:pt>
                <c:pt idx="26">
                  <c:v>34030861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89-954D-A261-CC8CEB506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960272"/>
        <c:axId val="1756556480"/>
      </c:lineChart>
      <c:catAx>
        <c:axId val="175396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556480"/>
        <c:crosses val="autoZero"/>
        <c:auto val="1"/>
        <c:lblAlgn val="ctr"/>
        <c:lblOffset val="100"/>
        <c:noMultiLvlLbl val="0"/>
      </c:catAx>
      <c:valAx>
        <c:axId val="175655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6027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Forecast!$G$3</c:f>
              <c:strCache>
                <c:ptCount val="1"/>
                <c:pt idx="0">
                  <c:v>Таджикистан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0"/>
          </c:trendline>
          <c:xVal>
            <c:numRef>
              <c:f>Forecast!$F$4:$F$30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xVal>
          <c:yVal>
            <c:numRef>
              <c:f>Forecast!$G$4:$G$30</c:f>
              <c:numCache>
                <c:formatCode>_(* #,##0_);_(* \(#,##0\);_(* "-"??_);_(@_)</c:formatCode>
                <c:ptCount val="27"/>
                <c:pt idx="0">
                  <c:v>6000000</c:v>
                </c:pt>
                <c:pt idx="1">
                  <c:v>6125876</c:v>
                </c:pt>
                <c:pt idx="2">
                  <c:v>6253454</c:v>
                </c:pt>
                <c:pt idx="3">
                  <c:v>6373381</c:v>
                </c:pt>
                <c:pt idx="4">
                  <c:v>6501509</c:v>
                </c:pt>
                <c:pt idx="5">
                  <c:v>6643962</c:v>
                </c:pt>
                <c:pt idx="6">
                  <c:v>6772797</c:v>
                </c:pt>
                <c:pt idx="7">
                  <c:v>6915879</c:v>
                </c:pt>
                <c:pt idx="8">
                  <c:v>7053031</c:v>
                </c:pt>
                <c:pt idx="9">
                  <c:v>7183669</c:v>
                </c:pt>
                <c:pt idx="10">
                  <c:v>7325867</c:v>
                </c:pt>
                <c:pt idx="11">
                  <c:v>7485426</c:v>
                </c:pt>
                <c:pt idx="12">
                  <c:v>7637847</c:v>
                </c:pt>
                <c:pt idx="13">
                  <c:v>7788748</c:v>
                </c:pt>
                <c:pt idx="14">
                  <c:v>7954677</c:v>
                </c:pt>
                <c:pt idx="15">
                  <c:v>8106241</c:v>
                </c:pt>
                <c:pt idx="16">
                  <c:v>8281201</c:v>
                </c:pt>
                <c:pt idx="17">
                  <c:v>8446120</c:v>
                </c:pt>
                <c:pt idx="18">
                  <c:v>8609308</c:v>
                </c:pt>
                <c:pt idx="19">
                  <c:v>8780717</c:v>
                </c:pt>
                <c:pt idx="20">
                  <c:v>8955199</c:v>
                </c:pt>
                <c:pt idx="21">
                  <c:v>9125420</c:v>
                </c:pt>
                <c:pt idx="22">
                  <c:v>9319802</c:v>
                </c:pt>
                <c:pt idx="23">
                  <c:v>9501900</c:v>
                </c:pt>
                <c:pt idx="24">
                  <c:v>9698840</c:v>
                </c:pt>
                <c:pt idx="25">
                  <c:v>9835811</c:v>
                </c:pt>
                <c:pt idx="26">
                  <c:v>10028882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53-F549-80EB-966BED174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60039904"/>
        <c:axId val="1760080640"/>
      </c:scatterChart>
      <c:valAx>
        <c:axId val="-206003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080640"/>
        <c:crosses val="autoZero"/>
        <c:crossBetween val="midCat"/>
      </c:valAx>
      <c:valAx>
        <c:axId val="1760080640"/>
        <c:scaling>
          <c:orientation val="minMax"/>
          <c:min val="6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0039904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остро нуждаются в помощи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95-C94C-B608-651611B4D711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95-C94C-B608-651611B4D711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95-C94C-B608-651611B4D711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95-C94C-B608-651611B4D711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95-C94C-B608-651611B4D711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95-C94C-B608-651611B4D7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 pivotchart'!$A$6:$A$11</c:f>
              <c:strCache>
                <c:ptCount val="6"/>
                <c:pt idx="0">
                  <c:v>DUSHANBE</c:v>
                </c:pt>
                <c:pt idx="1">
                  <c:v>GBAO</c:v>
                </c:pt>
                <c:pt idx="2">
                  <c:v>KHATLON_1</c:v>
                </c:pt>
                <c:pt idx="3">
                  <c:v>KHATLON_2</c:v>
                </c:pt>
                <c:pt idx="4">
                  <c:v>RRP</c:v>
                </c:pt>
                <c:pt idx="5">
                  <c:v>SOGD</c:v>
                </c:pt>
              </c:strCache>
            </c:strRef>
          </c:cat>
          <c:val>
            <c:numRef>
              <c:f>'5 pivotchart'!$B$6:$B$11</c:f>
              <c:numCache>
                <c:formatCode>_(* #,##0_);_(* \(#,##0\);_(* "-"??_);_(@_)</c:formatCode>
                <c:ptCount val="6"/>
                <c:pt idx="0">
                  <c:v>25869</c:v>
                </c:pt>
                <c:pt idx="1">
                  <c:v>23693</c:v>
                </c:pt>
                <c:pt idx="2">
                  <c:v>106448</c:v>
                </c:pt>
                <c:pt idx="3">
                  <c:v>38123</c:v>
                </c:pt>
                <c:pt idx="4">
                  <c:v>52550</c:v>
                </c:pt>
                <c:pt idx="5">
                  <c:v>88580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95-C94C-B608-651611B4D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60653920"/>
        <c:axId val="1760655696"/>
      </c:barChart>
      <c:catAx>
        <c:axId val="176065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655696"/>
        <c:crosses val="autoZero"/>
        <c:auto val="1"/>
        <c:lblAlgn val="ctr"/>
        <c:lblOffset val="100"/>
        <c:noMultiLvlLbl val="0"/>
      </c:catAx>
      <c:valAx>
        <c:axId val="176065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65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baseline="0">
                <a:effectLst/>
              </a:rPr>
              <a:t>доля семьей в каждом регионе</a:t>
            </a:r>
            <a:endParaRPr lang="ru-RU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 pivotchart'!$B$23</c:f>
              <c:strCache>
                <c:ptCount val="1"/>
                <c:pt idx="0">
                  <c:v>Кол-во семьей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B-4941-B717-7A55D35E25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BB-4941-B717-7A55D35E25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BB-4941-B717-7A55D35E25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BB-4941-B717-7A55D35E25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BB-4941-B717-7A55D35E25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BB-4941-B717-7A55D35E25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 pivotchart'!$A$24:$A$29</c:f>
              <c:strCache>
                <c:ptCount val="6"/>
                <c:pt idx="0">
                  <c:v>DUSHANBE</c:v>
                </c:pt>
                <c:pt idx="1">
                  <c:v>GBAO</c:v>
                </c:pt>
                <c:pt idx="2">
                  <c:v>KHATLON_1</c:v>
                </c:pt>
                <c:pt idx="3">
                  <c:v>KHATLON_2</c:v>
                </c:pt>
                <c:pt idx="4">
                  <c:v>RRP</c:v>
                </c:pt>
                <c:pt idx="5">
                  <c:v>SOGD</c:v>
                </c:pt>
              </c:strCache>
            </c:strRef>
          </c:cat>
          <c:val>
            <c:numRef>
              <c:f>'5 pivotchart'!$B$24:$B$29</c:f>
              <c:numCache>
                <c:formatCode>0.00%</c:formatCode>
                <c:ptCount val="6"/>
                <c:pt idx="0">
                  <c:v>9.5280498664292071E-2</c:v>
                </c:pt>
                <c:pt idx="1">
                  <c:v>6.2333036509349952E-2</c:v>
                </c:pt>
                <c:pt idx="2">
                  <c:v>0.20569902048085487</c:v>
                </c:pt>
                <c:pt idx="3">
                  <c:v>0.1246660730186999</c:v>
                </c:pt>
                <c:pt idx="4">
                  <c:v>0.19857524487978628</c:v>
                </c:pt>
                <c:pt idx="5">
                  <c:v>0.31344612644701692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BB-4941-B717-7A55D35E2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Corr.</a:t>
            </a:r>
            <a:r>
              <a:rPr lang="en-US" baseline="0"/>
              <a:t>  of Income and the num. of family members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Correlation!$C$2:$C$1124</c:f>
              <c:numCache>
                <c:formatCode>General</c:formatCode>
                <c:ptCount val="1123"/>
                <c:pt idx="0">
                  <c:v>19</c:v>
                </c:pt>
                <c:pt idx="1">
                  <c:v>19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16</c:v>
                </c:pt>
                <c:pt idx="8">
                  <c:v>15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6</c:v>
                </c:pt>
                <c:pt idx="180">
                  <c:v>6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  <c:pt idx="299">
                  <c:v>4</c:v>
                </c:pt>
                <c:pt idx="300">
                  <c:v>4</c:v>
                </c:pt>
                <c:pt idx="301">
                  <c:v>4</c:v>
                </c:pt>
                <c:pt idx="302">
                  <c:v>4</c:v>
                </c:pt>
                <c:pt idx="303">
                  <c:v>4</c:v>
                </c:pt>
                <c:pt idx="304">
                  <c:v>4</c:v>
                </c:pt>
                <c:pt idx="305">
                  <c:v>4</c:v>
                </c:pt>
                <c:pt idx="306">
                  <c:v>4</c:v>
                </c:pt>
                <c:pt idx="307">
                  <c:v>4</c:v>
                </c:pt>
                <c:pt idx="308">
                  <c:v>4</c:v>
                </c:pt>
                <c:pt idx="309">
                  <c:v>4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4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4</c:v>
                </c:pt>
                <c:pt idx="327">
                  <c:v>4</c:v>
                </c:pt>
                <c:pt idx="328">
                  <c:v>4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4</c:v>
                </c:pt>
                <c:pt idx="349">
                  <c:v>4</c:v>
                </c:pt>
                <c:pt idx="350">
                  <c:v>4</c:v>
                </c:pt>
                <c:pt idx="351">
                  <c:v>4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4</c:v>
                </c:pt>
                <c:pt idx="367">
                  <c:v>4</c:v>
                </c:pt>
                <c:pt idx="368">
                  <c:v>4</c:v>
                </c:pt>
                <c:pt idx="369">
                  <c:v>4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4</c:v>
                </c:pt>
                <c:pt idx="378">
                  <c:v>4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3</c:v>
                </c:pt>
                <c:pt idx="409">
                  <c:v>3</c:v>
                </c:pt>
                <c:pt idx="410">
                  <c:v>3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3</c:v>
                </c:pt>
                <c:pt idx="500">
                  <c:v>3</c:v>
                </c:pt>
                <c:pt idx="501">
                  <c:v>3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3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2</c:v>
                </c:pt>
                <c:pt idx="662">
                  <c:v>2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2</c:v>
                </c:pt>
                <c:pt idx="668">
                  <c:v>2</c:v>
                </c:pt>
                <c:pt idx="669">
                  <c:v>2</c:v>
                </c:pt>
                <c:pt idx="670">
                  <c:v>2</c:v>
                </c:pt>
                <c:pt idx="671">
                  <c:v>2</c:v>
                </c:pt>
                <c:pt idx="672">
                  <c:v>2</c:v>
                </c:pt>
                <c:pt idx="673">
                  <c:v>2</c:v>
                </c:pt>
                <c:pt idx="674">
                  <c:v>2</c:v>
                </c:pt>
                <c:pt idx="675">
                  <c:v>2</c:v>
                </c:pt>
                <c:pt idx="676">
                  <c:v>2</c:v>
                </c:pt>
                <c:pt idx="677">
                  <c:v>2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2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2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2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2</c:v>
                </c:pt>
                <c:pt idx="695">
                  <c:v>2</c:v>
                </c:pt>
                <c:pt idx="696">
                  <c:v>2</c:v>
                </c:pt>
                <c:pt idx="697">
                  <c:v>2</c:v>
                </c:pt>
                <c:pt idx="698">
                  <c:v>2</c:v>
                </c:pt>
                <c:pt idx="699">
                  <c:v>2</c:v>
                </c:pt>
                <c:pt idx="700">
                  <c:v>2</c:v>
                </c:pt>
                <c:pt idx="701">
                  <c:v>2</c:v>
                </c:pt>
                <c:pt idx="702">
                  <c:v>2</c:v>
                </c:pt>
                <c:pt idx="703">
                  <c:v>2</c:v>
                </c:pt>
                <c:pt idx="704">
                  <c:v>2</c:v>
                </c:pt>
                <c:pt idx="705">
                  <c:v>2</c:v>
                </c:pt>
                <c:pt idx="706">
                  <c:v>2</c:v>
                </c:pt>
                <c:pt idx="707">
                  <c:v>2</c:v>
                </c:pt>
                <c:pt idx="708">
                  <c:v>2</c:v>
                </c:pt>
                <c:pt idx="709">
                  <c:v>2</c:v>
                </c:pt>
                <c:pt idx="710">
                  <c:v>2</c:v>
                </c:pt>
                <c:pt idx="711">
                  <c:v>2</c:v>
                </c:pt>
                <c:pt idx="712">
                  <c:v>2</c:v>
                </c:pt>
                <c:pt idx="713">
                  <c:v>2</c:v>
                </c:pt>
                <c:pt idx="714">
                  <c:v>2</c:v>
                </c:pt>
                <c:pt idx="715">
                  <c:v>2</c:v>
                </c:pt>
                <c:pt idx="716">
                  <c:v>2</c:v>
                </c:pt>
                <c:pt idx="717">
                  <c:v>2</c:v>
                </c:pt>
                <c:pt idx="718">
                  <c:v>2</c:v>
                </c:pt>
                <c:pt idx="719">
                  <c:v>2</c:v>
                </c:pt>
                <c:pt idx="720">
                  <c:v>2</c:v>
                </c:pt>
                <c:pt idx="721">
                  <c:v>2</c:v>
                </c:pt>
                <c:pt idx="722">
                  <c:v>2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2</c:v>
                </c:pt>
                <c:pt idx="729">
                  <c:v>2</c:v>
                </c:pt>
                <c:pt idx="730">
                  <c:v>2</c:v>
                </c:pt>
                <c:pt idx="731">
                  <c:v>2</c:v>
                </c:pt>
                <c:pt idx="732">
                  <c:v>2</c:v>
                </c:pt>
                <c:pt idx="733">
                  <c:v>2</c:v>
                </c:pt>
                <c:pt idx="734">
                  <c:v>2</c:v>
                </c:pt>
                <c:pt idx="735">
                  <c:v>2</c:v>
                </c:pt>
                <c:pt idx="736">
                  <c:v>2</c:v>
                </c:pt>
                <c:pt idx="737">
                  <c:v>2</c:v>
                </c:pt>
                <c:pt idx="738">
                  <c:v>2</c:v>
                </c:pt>
                <c:pt idx="739">
                  <c:v>2</c:v>
                </c:pt>
                <c:pt idx="740">
                  <c:v>2</c:v>
                </c:pt>
                <c:pt idx="741">
                  <c:v>2</c:v>
                </c:pt>
                <c:pt idx="742">
                  <c:v>2</c:v>
                </c:pt>
                <c:pt idx="743">
                  <c:v>2</c:v>
                </c:pt>
                <c:pt idx="744">
                  <c:v>2</c:v>
                </c:pt>
                <c:pt idx="745">
                  <c:v>2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2</c:v>
                </c:pt>
                <c:pt idx="750">
                  <c:v>2</c:v>
                </c:pt>
                <c:pt idx="751">
                  <c:v>2</c:v>
                </c:pt>
                <c:pt idx="752">
                  <c:v>2</c:v>
                </c:pt>
                <c:pt idx="753">
                  <c:v>2</c:v>
                </c:pt>
                <c:pt idx="754">
                  <c:v>2</c:v>
                </c:pt>
                <c:pt idx="755">
                  <c:v>2</c:v>
                </c:pt>
                <c:pt idx="756">
                  <c:v>2</c:v>
                </c:pt>
                <c:pt idx="757">
                  <c:v>2</c:v>
                </c:pt>
                <c:pt idx="758">
                  <c:v>2</c:v>
                </c:pt>
                <c:pt idx="759">
                  <c:v>2</c:v>
                </c:pt>
                <c:pt idx="760">
                  <c:v>2</c:v>
                </c:pt>
                <c:pt idx="761">
                  <c:v>2</c:v>
                </c:pt>
                <c:pt idx="762">
                  <c:v>2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2</c:v>
                </c:pt>
                <c:pt idx="771">
                  <c:v>2</c:v>
                </c:pt>
                <c:pt idx="772">
                  <c:v>2</c:v>
                </c:pt>
                <c:pt idx="773">
                  <c:v>2</c:v>
                </c:pt>
                <c:pt idx="774">
                  <c:v>2</c:v>
                </c:pt>
                <c:pt idx="775">
                  <c:v>2</c:v>
                </c:pt>
                <c:pt idx="776">
                  <c:v>2</c:v>
                </c:pt>
                <c:pt idx="777">
                  <c:v>2</c:v>
                </c:pt>
                <c:pt idx="778">
                  <c:v>2</c:v>
                </c:pt>
                <c:pt idx="779">
                  <c:v>2</c:v>
                </c:pt>
                <c:pt idx="780">
                  <c:v>2</c:v>
                </c:pt>
                <c:pt idx="781">
                  <c:v>2</c:v>
                </c:pt>
                <c:pt idx="782">
                  <c:v>2</c:v>
                </c:pt>
                <c:pt idx="783">
                  <c:v>2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2</c:v>
                </c:pt>
                <c:pt idx="804">
                  <c:v>2</c:v>
                </c:pt>
                <c:pt idx="805">
                  <c:v>2</c:v>
                </c:pt>
                <c:pt idx="806">
                  <c:v>2</c:v>
                </c:pt>
                <c:pt idx="807">
                  <c:v>2</c:v>
                </c:pt>
                <c:pt idx="808">
                  <c:v>2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2</c:v>
                </c:pt>
                <c:pt idx="813">
                  <c:v>2</c:v>
                </c:pt>
                <c:pt idx="814">
                  <c:v>2</c:v>
                </c:pt>
                <c:pt idx="815">
                  <c:v>2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2</c:v>
                </c:pt>
                <c:pt idx="820">
                  <c:v>2</c:v>
                </c:pt>
                <c:pt idx="821">
                  <c:v>2</c:v>
                </c:pt>
                <c:pt idx="822">
                  <c:v>2</c:v>
                </c:pt>
                <c:pt idx="823">
                  <c:v>2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2</c:v>
                </c:pt>
                <c:pt idx="830">
                  <c:v>2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2</c:v>
                </c:pt>
                <c:pt idx="835">
                  <c:v>2</c:v>
                </c:pt>
                <c:pt idx="836">
                  <c:v>2</c:v>
                </c:pt>
                <c:pt idx="837">
                  <c:v>2</c:v>
                </c:pt>
                <c:pt idx="838">
                  <c:v>2</c:v>
                </c:pt>
                <c:pt idx="839">
                  <c:v>2</c:v>
                </c:pt>
                <c:pt idx="840">
                  <c:v>2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2</c:v>
                </c:pt>
                <c:pt idx="861">
                  <c:v>2</c:v>
                </c:pt>
                <c:pt idx="862">
                  <c:v>2</c:v>
                </c:pt>
                <c:pt idx="863">
                  <c:v>2</c:v>
                </c:pt>
                <c:pt idx="864">
                  <c:v>2</c:v>
                </c:pt>
                <c:pt idx="865">
                  <c:v>2</c:v>
                </c:pt>
                <c:pt idx="866">
                  <c:v>2</c:v>
                </c:pt>
                <c:pt idx="867">
                  <c:v>2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</c:numCache>
            </c:numRef>
          </c:xVal>
          <c:yVal>
            <c:numRef>
              <c:f>Correlation!$B$2:$B$1124</c:f>
              <c:numCache>
                <c:formatCode>#,##0.00</c:formatCode>
                <c:ptCount val="1123"/>
                <c:pt idx="0" formatCode="General">
                  <c:v>1190</c:v>
                </c:pt>
                <c:pt idx="1">
                  <c:v>5700</c:v>
                </c:pt>
                <c:pt idx="2">
                  <c:v>4200</c:v>
                </c:pt>
                <c:pt idx="3">
                  <c:v>5280</c:v>
                </c:pt>
                <c:pt idx="4" formatCode="General">
                  <c:v>2100</c:v>
                </c:pt>
                <c:pt idx="5">
                  <c:v>9000</c:v>
                </c:pt>
                <c:pt idx="6">
                  <c:v>3000</c:v>
                </c:pt>
                <c:pt idx="7">
                  <c:v>6000</c:v>
                </c:pt>
                <c:pt idx="8">
                  <c:v>6500</c:v>
                </c:pt>
                <c:pt idx="9">
                  <c:v>2000</c:v>
                </c:pt>
                <c:pt idx="10" formatCode="General">
                  <c:v>3852</c:v>
                </c:pt>
                <c:pt idx="11" formatCode="General">
                  <c:v>790</c:v>
                </c:pt>
                <c:pt idx="12" formatCode="General">
                  <c:v>650</c:v>
                </c:pt>
                <c:pt idx="13" formatCode="General">
                  <c:v>2775</c:v>
                </c:pt>
                <c:pt idx="14" formatCode="General">
                  <c:v>840</c:v>
                </c:pt>
                <c:pt idx="15">
                  <c:v>3000</c:v>
                </c:pt>
                <c:pt idx="16" formatCode="General">
                  <c:v>7550</c:v>
                </c:pt>
                <c:pt idx="17" formatCode="General">
                  <c:v>1550</c:v>
                </c:pt>
                <c:pt idx="18">
                  <c:v>6000</c:v>
                </c:pt>
                <c:pt idx="19" formatCode="General">
                  <c:v>180</c:v>
                </c:pt>
                <c:pt idx="20" formatCode="General">
                  <c:v>600</c:v>
                </c:pt>
                <c:pt idx="21">
                  <c:v>1500</c:v>
                </c:pt>
                <c:pt idx="22">
                  <c:v>4500</c:v>
                </c:pt>
                <c:pt idx="23">
                  <c:v>2000</c:v>
                </c:pt>
                <c:pt idx="24">
                  <c:v>4800</c:v>
                </c:pt>
                <c:pt idx="25">
                  <c:v>6000</c:v>
                </c:pt>
                <c:pt idx="26">
                  <c:v>10300</c:v>
                </c:pt>
                <c:pt idx="27">
                  <c:v>12500</c:v>
                </c:pt>
                <c:pt idx="28" formatCode="General">
                  <c:v>820</c:v>
                </c:pt>
                <c:pt idx="29" formatCode="General">
                  <c:v>1850</c:v>
                </c:pt>
                <c:pt idx="30" formatCode="General">
                  <c:v>100</c:v>
                </c:pt>
                <c:pt idx="31" formatCode="General">
                  <c:v>1900</c:v>
                </c:pt>
                <c:pt idx="32" formatCode="General">
                  <c:v>3840</c:v>
                </c:pt>
                <c:pt idx="33" formatCode="General">
                  <c:v>2150</c:v>
                </c:pt>
                <c:pt idx="34">
                  <c:v>1000</c:v>
                </c:pt>
                <c:pt idx="35">
                  <c:v>6000</c:v>
                </c:pt>
                <c:pt idx="36">
                  <c:v>2700</c:v>
                </c:pt>
                <c:pt idx="37">
                  <c:v>1500</c:v>
                </c:pt>
                <c:pt idx="38">
                  <c:v>2700</c:v>
                </c:pt>
                <c:pt idx="39">
                  <c:v>6000</c:v>
                </c:pt>
                <c:pt idx="40">
                  <c:v>6000</c:v>
                </c:pt>
                <c:pt idx="41">
                  <c:v>49500</c:v>
                </c:pt>
                <c:pt idx="42">
                  <c:v>21000</c:v>
                </c:pt>
                <c:pt idx="43" formatCode="General">
                  <c:v>800</c:v>
                </c:pt>
                <c:pt idx="44" formatCode="General">
                  <c:v>5350</c:v>
                </c:pt>
                <c:pt idx="45" formatCode="General">
                  <c:v>4080</c:v>
                </c:pt>
                <c:pt idx="46" formatCode="General">
                  <c:v>405</c:v>
                </c:pt>
                <c:pt idx="47" formatCode="General">
                  <c:v>450</c:v>
                </c:pt>
                <c:pt idx="48" formatCode="General">
                  <c:v>1400</c:v>
                </c:pt>
                <c:pt idx="49" formatCode="General">
                  <c:v>685</c:v>
                </c:pt>
                <c:pt idx="50" formatCode="General">
                  <c:v>2300</c:v>
                </c:pt>
                <c:pt idx="51" formatCode="General">
                  <c:v>1400</c:v>
                </c:pt>
                <c:pt idx="52">
                  <c:v>4000</c:v>
                </c:pt>
                <c:pt idx="53">
                  <c:v>5600</c:v>
                </c:pt>
                <c:pt idx="54">
                  <c:v>4250</c:v>
                </c:pt>
                <c:pt idx="55">
                  <c:v>4500</c:v>
                </c:pt>
                <c:pt idx="56">
                  <c:v>2900</c:v>
                </c:pt>
                <c:pt idx="57">
                  <c:v>5500</c:v>
                </c:pt>
                <c:pt idx="58">
                  <c:v>3500</c:v>
                </c:pt>
                <c:pt idx="59">
                  <c:v>6000</c:v>
                </c:pt>
                <c:pt idx="60">
                  <c:v>3000</c:v>
                </c:pt>
                <c:pt idx="61">
                  <c:v>3600</c:v>
                </c:pt>
                <c:pt idx="62" formatCode="General">
                  <c:v>300</c:v>
                </c:pt>
                <c:pt idx="63" formatCode="General">
                  <c:v>360</c:v>
                </c:pt>
                <c:pt idx="64" formatCode="General">
                  <c:v>200</c:v>
                </c:pt>
                <c:pt idx="65" formatCode="General">
                  <c:v>8935</c:v>
                </c:pt>
                <c:pt idx="66" formatCode="General">
                  <c:v>280</c:v>
                </c:pt>
                <c:pt idx="67" formatCode="General">
                  <c:v>950</c:v>
                </c:pt>
                <c:pt idx="68" formatCode="General">
                  <c:v>5600</c:v>
                </c:pt>
                <c:pt idx="69" formatCode="General">
                  <c:v>1700</c:v>
                </c:pt>
                <c:pt idx="70" formatCode="General">
                  <c:v>5700</c:v>
                </c:pt>
                <c:pt idx="71" formatCode="General">
                  <c:v>600</c:v>
                </c:pt>
                <c:pt idx="72" formatCode="General">
                  <c:v>1400</c:v>
                </c:pt>
                <c:pt idx="73" formatCode="General">
                  <c:v>700</c:v>
                </c:pt>
                <c:pt idx="74" formatCode="General">
                  <c:v>1750</c:v>
                </c:pt>
                <c:pt idx="75" formatCode="General">
                  <c:v>1850</c:v>
                </c:pt>
                <c:pt idx="76">
                  <c:v>6700</c:v>
                </c:pt>
                <c:pt idx="77">
                  <c:v>1200</c:v>
                </c:pt>
                <c:pt idx="78">
                  <c:v>4700</c:v>
                </c:pt>
                <c:pt idx="79">
                  <c:v>2100</c:v>
                </c:pt>
                <c:pt idx="80">
                  <c:v>1620</c:v>
                </c:pt>
                <c:pt idx="81">
                  <c:v>6050</c:v>
                </c:pt>
                <c:pt idx="82">
                  <c:v>3000</c:v>
                </c:pt>
                <c:pt idx="83">
                  <c:v>4500</c:v>
                </c:pt>
                <c:pt idx="84">
                  <c:v>4160</c:v>
                </c:pt>
                <c:pt idx="85">
                  <c:v>4300</c:v>
                </c:pt>
                <c:pt idx="86">
                  <c:v>7000</c:v>
                </c:pt>
                <c:pt idx="87">
                  <c:v>5500</c:v>
                </c:pt>
                <c:pt idx="88">
                  <c:v>8350</c:v>
                </c:pt>
                <c:pt idx="89">
                  <c:v>2800</c:v>
                </c:pt>
                <c:pt idx="90">
                  <c:v>7400</c:v>
                </c:pt>
                <c:pt idx="91">
                  <c:v>6000</c:v>
                </c:pt>
                <c:pt idx="92">
                  <c:v>9200</c:v>
                </c:pt>
                <c:pt idx="93">
                  <c:v>6200</c:v>
                </c:pt>
                <c:pt idx="94">
                  <c:v>3600</c:v>
                </c:pt>
                <c:pt idx="95">
                  <c:v>11840</c:v>
                </c:pt>
                <c:pt idx="96">
                  <c:v>8600</c:v>
                </c:pt>
                <c:pt idx="97">
                  <c:v>11260</c:v>
                </c:pt>
                <c:pt idx="98" formatCode="General">
                  <c:v>100</c:v>
                </c:pt>
                <c:pt idx="99" formatCode="General">
                  <c:v>600</c:v>
                </c:pt>
                <c:pt idx="100" formatCode="General">
                  <c:v>450</c:v>
                </c:pt>
                <c:pt idx="101" formatCode="General">
                  <c:v>600</c:v>
                </c:pt>
                <c:pt idx="102" formatCode="General">
                  <c:v>2300</c:v>
                </c:pt>
                <c:pt idx="103" formatCode="General">
                  <c:v>350</c:v>
                </c:pt>
                <c:pt idx="104" formatCode="General">
                  <c:v>1090</c:v>
                </c:pt>
                <c:pt idx="105" formatCode="General">
                  <c:v>1100</c:v>
                </c:pt>
                <c:pt idx="106" formatCode="General">
                  <c:v>1400</c:v>
                </c:pt>
                <c:pt idx="107" formatCode="General">
                  <c:v>11200</c:v>
                </c:pt>
                <c:pt idx="108" formatCode="General">
                  <c:v>500</c:v>
                </c:pt>
                <c:pt idx="109" formatCode="General">
                  <c:v>2500</c:v>
                </c:pt>
                <c:pt idx="110" formatCode="General">
                  <c:v>2450</c:v>
                </c:pt>
                <c:pt idx="111" formatCode="General">
                  <c:v>600</c:v>
                </c:pt>
                <c:pt idx="112" formatCode="General">
                  <c:v>1200</c:v>
                </c:pt>
                <c:pt idx="113" formatCode="General">
                  <c:v>4305</c:v>
                </c:pt>
                <c:pt idx="114" formatCode="General">
                  <c:v>700</c:v>
                </c:pt>
                <c:pt idx="115" formatCode="General">
                  <c:v>4700</c:v>
                </c:pt>
                <c:pt idx="116" formatCode="General">
                  <c:v>700</c:v>
                </c:pt>
                <c:pt idx="117" formatCode="General">
                  <c:v>1500</c:v>
                </c:pt>
                <c:pt idx="118" formatCode="General">
                  <c:v>2400</c:v>
                </c:pt>
                <c:pt idx="119" formatCode="General">
                  <c:v>1500</c:v>
                </c:pt>
                <c:pt idx="120" formatCode="General">
                  <c:v>750</c:v>
                </c:pt>
                <c:pt idx="121" formatCode="General">
                  <c:v>1500</c:v>
                </c:pt>
                <c:pt idx="122">
                  <c:v>1000</c:v>
                </c:pt>
                <c:pt idx="123">
                  <c:v>2550</c:v>
                </c:pt>
                <c:pt idx="124">
                  <c:v>1400</c:v>
                </c:pt>
                <c:pt idx="125">
                  <c:v>3500</c:v>
                </c:pt>
                <c:pt idx="126">
                  <c:v>2000</c:v>
                </c:pt>
                <c:pt idx="127">
                  <c:v>2850</c:v>
                </c:pt>
                <c:pt idx="128">
                  <c:v>3000</c:v>
                </c:pt>
                <c:pt idx="129">
                  <c:v>3655</c:v>
                </c:pt>
                <c:pt idx="130">
                  <c:v>9000</c:v>
                </c:pt>
                <c:pt idx="131">
                  <c:v>3800</c:v>
                </c:pt>
                <c:pt idx="132">
                  <c:v>2600</c:v>
                </c:pt>
                <c:pt idx="133">
                  <c:v>2800</c:v>
                </c:pt>
                <c:pt idx="134">
                  <c:v>2000</c:v>
                </c:pt>
                <c:pt idx="135">
                  <c:v>2000</c:v>
                </c:pt>
                <c:pt idx="136">
                  <c:v>4700</c:v>
                </c:pt>
                <c:pt idx="137">
                  <c:v>9000</c:v>
                </c:pt>
                <c:pt idx="138">
                  <c:v>6300</c:v>
                </c:pt>
                <c:pt idx="139">
                  <c:v>13200</c:v>
                </c:pt>
                <c:pt idx="140">
                  <c:v>6500</c:v>
                </c:pt>
                <c:pt idx="141">
                  <c:v>7000</c:v>
                </c:pt>
                <c:pt idx="142">
                  <c:v>8500</c:v>
                </c:pt>
                <c:pt idx="143">
                  <c:v>3600</c:v>
                </c:pt>
                <c:pt idx="144">
                  <c:v>7200</c:v>
                </c:pt>
                <c:pt idx="145" formatCode="General">
                  <c:v>590</c:v>
                </c:pt>
                <c:pt idx="146" formatCode="General">
                  <c:v>600</c:v>
                </c:pt>
                <c:pt idx="147" formatCode="General">
                  <c:v>2320</c:v>
                </c:pt>
                <c:pt idx="148" formatCode="General">
                  <c:v>2800</c:v>
                </c:pt>
                <c:pt idx="149" formatCode="General">
                  <c:v>1392</c:v>
                </c:pt>
                <c:pt idx="150" formatCode="General">
                  <c:v>220</c:v>
                </c:pt>
                <c:pt idx="151" formatCode="General">
                  <c:v>2150</c:v>
                </c:pt>
                <c:pt idx="152" formatCode="General">
                  <c:v>1400</c:v>
                </c:pt>
                <c:pt idx="153" formatCode="General">
                  <c:v>1250</c:v>
                </c:pt>
                <c:pt idx="154" formatCode="General">
                  <c:v>800</c:v>
                </c:pt>
                <c:pt idx="155" formatCode="General">
                  <c:v>1429</c:v>
                </c:pt>
                <c:pt idx="156" formatCode="General">
                  <c:v>1900</c:v>
                </c:pt>
                <c:pt idx="157" formatCode="General">
                  <c:v>750</c:v>
                </c:pt>
                <c:pt idx="158" formatCode="General">
                  <c:v>450</c:v>
                </c:pt>
                <c:pt idx="159" formatCode="General">
                  <c:v>4883</c:v>
                </c:pt>
                <c:pt idx="160" formatCode="General">
                  <c:v>1400</c:v>
                </c:pt>
                <c:pt idx="161" formatCode="General">
                  <c:v>850</c:v>
                </c:pt>
                <c:pt idx="162" formatCode="General">
                  <c:v>1550</c:v>
                </c:pt>
                <c:pt idx="163" formatCode="General">
                  <c:v>2800</c:v>
                </c:pt>
                <c:pt idx="164" formatCode="General">
                  <c:v>750</c:v>
                </c:pt>
                <c:pt idx="165" formatCode="General">
                  <c:v>1500</c:v>
                </c:pt>
                <c:pt idx="166" formatCode="General">
                  <c:v>4800</c:v>
                </c:pt>
                <c:pt idx="167" formatCode="General">
                  <c:v>9891</c:v>
                </c:pt>
                <c:pt idx="168" formatCode="General">
                  <c:v>2700</c:v>
                </c:pt>
                <c:pt idx="169" formatCode="General">
                  <c:v>9700</c:v>
                </c:pt>
                <c:pt idx="170" formatCode="General">
                  <c:v>4780</c:v>
                </c:pt>
                <c:pt idx="171" formatCode="General">
                  <c:v>1670</c:v>
                </c:pt>
                <c:pt idx="172" formatCode="General">
                  <c:v>1600</c:v>
                </c:pt>
                <c:pt idx="173" formatCode="General">
                  <c:v>1160</c:v>
                </c:pt>
                <c:pt idx="174" formatCode="General">
                  <c:v>2870</c:v>
                </c:pt>
                <c:pt idx="175" formatCode="General">
                  <c:v>900</c:v>
                </c:pt>
                <c:pt idx="176" formatCode="General">
                  <c:v>900</c:v>
                </c:pt>
                <c:pt idx="177">
                  <c:v>2900</c:v>
                </c:pt>
                <c:pt idx="178">
                  <c:v>2000</c:v>
                </c:pt>
                <c:pt idx="179">
                  <c:v>2400</c:v>
                </c:pt>
                <c:pt idx="180">
                  <c:v>3656</c:v>
                </c:pt>
                <c:pt idx="181">
                  <c:v>1100</c:v>
                </c:pt>
                <c:pt idx="182">
                  <c:v>1200</c:v>
                </c:pt>
                <c:pt idx="183">
                  <c:v>1400</c:v>
                </c:pt>
                <c:pt idx="184">
                  <c:v>3000</c:v>
                </c:pt>
                <c:pt idx="185">
                  <c:v>1620</c:v>
                </c:pt>
                <c:pt idx="186">
                  <c:v>1800</c:v>
                </c:pt>
                <c:pt idx="187">
                  <c:v>4877</c:v>
                </c:pt>
                <c:pt idx="188">
                  <c:v>3300</c:v>
                </c:pt>
                <c:pt idx="189">
                  <c:v>2820</c:v>
                </c:pt>
                <c:pt idx="190">
                  <c:v>2000</c:v>
                </c:pt>
                <c:pt idx="191">
                  <c:v>2000</c:v>
                </c:pt>
                <c:pt idx="192">
                  <c:v>4400</c:v>
                </c:pt>
                <c:pt idx="193">
                  <c:v>2000</c:v>
                </c:pt>
                <c:pt idx="194">
                  <c:v>3400</c:v>
                </c:pt>
                <c:pt idx="195">
                  <c:v>2200</c:v>
                </c:pt>
                <c:pt idx="196">
                  <c:v>4500</c:v>
                </c:pt>
                <c:pt idx="197">
                  <c:v>2500</c:v>
                </c:pt>
                <c:pt idx="198">
                  <c:v>3500</c:v>
                </c:pt>
                <c:pt idx="199">
                  <c:v>7400</c:v>
                </c:pt>
                <c:pt idx="200">
                  <c:v>4300</c:v>
                </c:pt>
                <c:pt idx="201">
                  <c:v>4526</c:v>
                </c:pt>
                <c:pt idx="202">
                  <c:v>8974</c:v>
                </c:pt>
                <c:pt idx="203">
                  <c:v>5000</c:v>
                </c:pt>
                <c:pt idx="204">
                  <c:v>11240</c:v>
                </c:pt>
                <c:pt idx="205" formatCode="General">
                  <c:v>2650</c:v>
                </c:pt>
                <c:pt idx="206" formatCode="General">
                  <c:v>1600</c:v>
                </c:pt>
                <c:pt idx="207" formatCode="General">
                  <c:v>850</c:v>
                </c:pt>
                <c:pt idx="208" formatCode="General">
                  <c:v>3000</c:v>
                </c:pt>
                <c:pt idx="209" formatCode="General">
                  <c:v>800</c:v>
                </c:pt>
                <c:pt idx="210" formatCode="General">
                  <c:v>5300</c:v>
                </c:pt>
                <c:pt idx="211" formatCode="General">
                  <c:v>980</c:v>
                </c:pt>
                <c:pt idx="212" formatCode="General">
                  <c:v>400</c:v>
                </c:pt>
                <c:pt idx="213" formatCode="General">
                  <c:v>400</c:v>
                </c:pt>
                <c:pt idx="214" formatCode="General">
                  <c:v>1600</c:v>
                </c:pt>
                <c:pt idx="215" formatCode="General">
                  <c:v>400</c:v>
                </c:pt>
                <c:pt idx="216" formatCode="General">
                  <c:v>500</c:v>
                </c:pt>
                <c:pt idx="217" formatCode="General">
                  <c:v>1100</c:v>
                </c:pt>
                <c:pt idx="218" formatCode="General">
                  <c:v>1000</c:v>
                </c:pt>
                <c:pt idx="219" formatCode="General">
                  <c:v>1000</c:v>
                </c:pt>
                <c:pt idx="220" formatCode="General">
                  <c:v>500</c:v>
                </c:pt>
                <c:pt idx="221" formatCode="General">
                  <c:v>3900</c:v>
                </c:pt>
                <c:pt idx="222" formatCode="General">
                  <c:v>1080</c:v>
                </c:pt>
                <c:pt idx="223" formatCode="General">
                  <c:v>600</c:v>
                </c:pt>
                <c:pt idx="224" formatCode="General">
                  <c:v>1200</c:v>
                </c:pt>
                <c:pt idx="225" formatCode="General">
                  <c:v>600</c:v>
                </c:pt>
                <c:pt idx="226" formatCode="General">
                  <c:v>700</c:v>
                </c:pt>
                <c:pt idx="227" formatCode="General">
                  <c:v>1000</c:v>
                </c:pt>
                <c:pt idx="228" formatCode="General">
                  <c:v>1400</c:v>
                </c:pt>
                <c:pt idx="229" formatCode="General">
                  <c:v>1522</c:v>
                </c:pt>
                <c:pt idx="230" formatCode="General">
                  <c:v>1020</c:v>
                </c:pt>
                <c:pt idx="231" formatCode="General">
                  <c:v>800</c:v>
                </c:pt>
                <c:pt idx="232" formatCode="General">
                  <c:v>1800</c:v>
                </c:pt>
                <c:pt idx="233" formatCode="General">
                  <c:v>3200</c:v>
                </c:pt>
                <c:pt idx="234" formatCode="General">
                  <c:v>2780</c:v>
                </c:pt>
                <c:pt idx="235" formatCode="General">
                  <c:v>2400</c:v>
                </c:pt>
                <c:pt idx="236" formatCode="General">
                  <c:v>8150</c:v>
                </c:pt>
                <c:pt idx="237" formatCode="General">
                  <c:v>1600</c:v>
                </c:pt>
                <c:pt idx="238" formatCode="General">
                  <c:v>4120</c:v>
                </c:pt>
                <c:pt idx="239" formatCode="General">
                  <c:v>1550</c:v>
                </c:pt>
                <c:pt idx="240" formatCode="General">
                  <c:v>3750</c:v>
                </c:pt>
                <c:pt idx="241">
                  <c:v>3900</c:v>
                </c:pt>
                <c:pt idx="242">
                  <c:v>2400</c:v>
                </c:pt>
                <c:pt idx="243">
                  <c:v>2580</c:v>
                </c:pt>
                <c:pt idx="244">
                  <c:v>2000</c:v>
                </c:pt>
                <c:pt idx="245">
                  <c:v>1000</c:v>
                </c:pt>
                <c:pt idx="246">
                  <c:v>2200</c:v>
                </c:pt>
                <c:pt idx="247">
                  <c:v>3800</c:v>
                </c:pt>
                <c:pt idx="248">
                  <c:v>3050</c:v>
                </c:pt>
                <c:pt idx="249">
                  <c:v>2500</c:v>
                </c:pt>
                <c:pt idx="250">
                  <c:v>3300</c:v>
                </c:pt>
                <c:pt idx="251">
                  <c:v>1300</c:v>
                </c:pt>
                <c:pt idx="252">
                  <c:v>2800</c:v>
                </c:pt>
                <c:pt idx="253">
                  <c:v>1500</c:v>
                </c:pt>
                <c:pt idx="254">
                  <c:v>1500</c:v>
                </c:pt>
                <c:pt idx="255">
                  <c:v>2500</c:v>
                </c:pt>
                <c:pt idx="256">
                  <c:v>3000</c:v>
                </c:pt>
                <c:pt idx="257">
                  <c:v>3000</c:v>
                </c:pt>
                <c:pt idx="258">
                  <c:v>1500</c:v>
                </c:pt>
                <c:pt idx="259">
                  <c:v>6000</c:v>
                </c:pt>
                <c:pt idx="260">
                  <c:v>2700</c:v>
                </c:pt>
                <c:pt idx="261">
                  <c:v>2000</c:v>
                </c:pt>
                <c:pt idx="262">
                  <c:v>3500</c:v>
                </c:pt>
                <c:pt idx="263">
                  <c:v>2000</c:v>
                </c:pt>
                <c:pt idx="264">
                  <c:v>2000</c:v>
                </c:pt>
                <c:pt idx="265">
                  <c:v>8000</c:v>
                </c:pt>
                <c:pt idx="266">
                  <c:v>5000</c:v>
                </c:pt>
                <c:pt idx="267">
                  <c:v>35000</c:v>
                </c:pt>
                <c:pt idx="268">
                  <c:v>7500</c:v>
                </c:pt>
                <c:pt idx="269">
                  <c:v>3000</c:v>
                </c:pt>
                <c:pt idx="270">
                  <c:v>7000</c:v>
                </c:pt>
                <c:pt idx="271">
                  <c:v>8000</c:v>
                </c:pt>
                <c:pt idx="272">
                  <c:v>4500</c:v>
                </c:pt>
                <c:pt idx="273">
                  <c:v>4500</c:v>
                </c:pt>
                <c:pt idx="274">
                  <c:v>9000</c:v>
                </c:pt>
                <c:pt idx="275">
                  <c:v>19755</c:v>
                </c:pt>
                <c:pt idx="276" formatCode="General">
                  <c:v>1010</c:v>
                </c:pt>
                <c:pt idx="277" formatCode="General">
                  <c:v>80</c:v>
                </c:pt>
                <c:pt idx="278" formatCode="General">
                  <c:v>600</c:v>
                </c:pt>
                <c:pt idx="279" formatCode="General">
                  <c:v>3315</c:v>
                </c:pt>
                <c:pt idx="280" formatCode="General">
                  <c:v>120</c:v>
                </c:pt>
                <c:pt idx="281" formatCode="General">
                  <c:v>2200</c:v>
                </c:pt>
                <c:pt idx="282" formatCode="General">
                  <c:v>600</c:v>
                </c:pt>
                <c:pt idx="283" formatCode="General">
                  <c:v>250</c:v>
                </c:pt>
                <c:pt idx="284" formatCode="General">
                  <c:v>250</c:v>
                </c:pt>
                <c:pt idx="285" formatCode="General">
                  <c:v>861</c:v>
                </c:pt>
                <c:pt idx="286" formatCode="General">
                  <c:v>997</c:v>
                </c:pt>
                <c:pt idx="287" formatCode="General">
                  <c:v>300</c:v>
                </c:pt>
                <c:pt idx="288" formatCode="General">
                  <c:v>1300</c:v>
                </c:pt>
                <c:pt idx="289" formatCode="General">
                  <c:v>1000</c:v>
                </c:pt>
                <c:pt idx="290" formatCode="General">
                  <c:v>900</c:v>
                </c:pt>
                <c:pt idx="291" formatCode="General">
                  <c:v>800</c:v>
                </c:pt>
                <c:pt idx="292" formatCode="General">
                  <c:v>1500</c:v>
                </c:pt>
                <c:pt idx="293" formatCode="General">
                  <c:v>1820</c:v>
                </c:pt>
                <c:pt idx="294" formatCode="General">
                  <c:v>350</c:v>
                </c:pt>
                <c:pt idx="295" formatCode="General">
                  <c:v>1861</c:v>
                </c:pt>
                <c:pt idx="296" formatCode="General">
                  <c:v>350</c:v>
                </c:pt>
                <c:pt idx="297" formatCode="General">
                  <c:v>353</c:v>
                </c:pt>
                <c:pt idx="298" formatCode="General">
                  <c:v>710</c:v>
                </c:pt>
                <c:pt idx="299" formatCode="General">
                  <c:v>1200</c:v>
                </c:pt>
                <c:pt idx="300" formatCode="General">
                  <c:v>1300</c:v>
                </c:pt>
                <c:pt idx="301" formatCode="General">
                  <c:v>3600</c:v>
                </c:pt>
                <c:pt idx="302" formatCode="General">
                  <c:v>400</c:v>
                </c:pt>
                <c:pt idx="303" formatCode="General">
                  <c:v>2200</c:v>
                </c:pt>
                <c:pt idx="304" formatCode="General">
                  <c:v>400</c:v>
                </c:pt>
                <c:pt idx="305" formatCode="General">
                  <c:v>400</c:v>
                </c:pt>
                <c:pt idx="306" formatCode="General">
                  <c:v>5248</c:v>
                </c:pt>
                <c:pt idx="307" formatCode="General">
                  <c:v>2400</c:v>
                </c:pt>
                <c:pt idx="308" formatCode="General">
                  <c:v>417</c:v>
                </c:pt>
                <c:pt idx="309" formatCode="General">
                  <c:v>1020</c:v>
                </c:pt>
                <c:pt idx="310" formatCode="General">
                  <c:v>440</c:v>
                </c:pt>
                <c:pt idx="311" formatCode="General">
                  <c:v>800</c:v>
                </c:pt>
                <c:pt idx="312" formatCode="General">
                  <c:v>10500</c:v>
                </c:pt>
                <c:pt idx="313" formatCode="General">
                  <c:v>500</c:v>
                </c:pt>
                <c:pt idx="314" formatCode="General">
                  <c:v>15600</c:v>
                </c:pt>
                <c:pt idx="315" formatCode="General">
                  <c:v>500</c:v>
                </c:pt>
                <c:pt idx="316" formatCode="General">
                  <c:v>500</c:v>
                </c:pt>
                <c:pt idx="317" formatCode="General">
                  <c:v>1400</c:v>
                </c:pt>
                <c:pt idx="318" formatCode="General">
                  <c:v>1500</c:v>
                </c:pt>
                <c:pt idx="319" formatCode="General">
                  <c:v>1000</c:v>
                </c:pt>
                <c:pt idx="320" formatCode="General">
                  <c:v>2500</c:v>
                </c:pt>
                <c:pt idx="321" formatCode="General">
                  <c:v>1900</c:v>
                </c:pt>
                <c:pt idx="322" formatCode="General">
                  <c:v>500</c:v>
                </c:pt>
                <c:pt idx="323" formatCode="General">
                  <c:v>620</c:v>
                </c:pt>
                <c:pt idx="324" formatCode="General">
                  <c:v>600</c:v>
                </c:pt>
                <c:pt idx="325" formatCode="General">
                  <c:v>600</c:v>
                </c:pt>
                <c:pt idx="326" formatCode="General">
                  <c:v>600</c:v>
                </c:pt>
                <c:pt idx="327" formatCode="General">
                  <c:v>600</c:v>
                </c:pt>
                <c:pt idx="328" formatCode="General">
                  <c:v>600</c:v>
                </c:pt>
                <c:pt idx="329" formatCode="General">
                  <c:v>5100</c:v>
                </c:pt>
                <c:pt idx="330" formatCode="General">
                  <c:v>2000</c:v>
                </c:pt>
                <c:pt idx="331" formatCode="General">
                  <c:v>4500</c:v>
                </c:pt>
                <c:pt idx="332" formatCode="General">
                  <c:v>620</c:v>
                </c:pt>
                <c:pt idx="333" formatCode="General">
                  <c:v>1750</c:v>
                </c:pt>
                <c:pt idx="334" formatCode="General">
                  <c:v>1750</c:v>
                </c:pt>
                <c:pt idx="335" formatCode="General">
                  <c:v>1000</c:v>
                </c:pt>
                <c:pt idx="336" formatCode="General">
                  <c:v>700</c:v>
                </c:pt>
                <c:pt idx="337" formatCode="General">
                  <c:v>1060</c:v>
                </c:pt>
                <c:pt idx="338" formatCode="General">
                  <c:v>2220</c:v>
                </c:pt>
                <c:pt idx="339" formatCode="General">
                  <c:v>800</c:v>
                </c:pt>
                <c:pt idx="340" formatCode="General">
                  <c:v>1950</c:v>
                </c:pt>
                <c:pt idx="341" formatCode="General">
                  <c:v>1900</c:v>
                </c:pt>
                <c:pt idx="342" formatCode="General">
                  <c:v>900</c:v>
                </c:pt>
                <c:pt idx="343" formatCode="General">
                  <c:v>903</c:v>
                </c:pt>
                <c:pt idx="344">
                  <c:v>2400</c:v>
                </c:pt>
                <c:pt idx="345">
                  <c:v>1000</c:v>
                </c:pt>
                <c:pt idx="346">
                  <c:v>3450</c:v>
                </c:pt>
                <c:pt idx="347">
                  <c:v>1000</c:v>
                </c:pt>
                <c:pt idx="348">
                  <c:v>2000</c:v>
                </c:pt>
                <c:pt idx="349">
                  <c:v>1450</c:v>
                </c:pt>
                <c:pt idx="350">
                  <c:v>3960</c:v>
                </c:pt>
                <c:pt idx="351">
                  <c:v>4130</c:v>
                </c:pt>
                <c:pt idx="352">
                  <c:v>2500</c:v>
                </c:pt>
                <c:pt idx="353">
                  <c:v>1083</c:v>
                </c:pt>
                <c:pt idx="354">
                  <c:v>2900</c:v>
                </c:pt>
                <c:pt idx="355">
                  <c:v>4450</c:v>
                </c:pt>
                <c:pt idx="356">
                  <c:v>1700</c:v>
                </c:pt>
                <c:pt idx="357">
                  <c:v>2400</c:v>
                </c:pt>
                <c:pt idx="358">
                  <c:v>2700</c:v>
                </c:pt>
                <c:pt idx="359">
                  <c:v>1400</c:v>
                </c:pt>
                <c:pt idx="360">
                  <c:v>1400</c:v>
                </c:pt>
                <c:pt idx="361">
                  <c:v>4400</c:v>
                </c:pt>
                <c:pt idx="362">
                  <c:v>3320</c:v>
                </c:pt>
                <c:pt idx="363">
                  <c:v>4000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1800</c:v>
                </c:pt>
                <c:pt idx="368">
                  <c:v>1500</c:v>
                </c:pt>
                <c:pt idx="369">
                  <c:v>1500</c:v>
                </c:pt>
                <c:pt idx="370">
                  <c:v>2700</c:v>
                </c:pt>
                <c:pt idx="371">
                  <c:v>2100</c:v>
                </c:pt>
                <c:pt idx="372">
                  <c:v>3900</c:v>
                </c:pt>
                <c:pt idx="373">
                  <c:v>2460</c:v>
                </c:pt>
                <c:pt idx="374">
                  <c:v>1800</c:v>
                </c:pt>
                <c:pt idx="375">
                  <c:v>4200</c:v>
                </c:pt>
                <c:pt idx="376">
                  <c:v>4732</c:v>
                </c:pt>
                <c:pt idx="377">
                  <c:v>2000</c:v>
                </c:pt>
                <c:pt idx="378">
                  <c:v>3200</c:v>
                </c:pt>
                <c:pt idx="379">
                  <c:v>4275</c:v>
                </c:pt>
                <c:pt idx="380">
                  <c:v>3500</c:v>
                </c:pt>
                <c:pt idx="381">
                  <c:v>2300</c:v>
                </c:pt>
                <c:pt idx="382">
                  <c:v>2850</c:v>
                </c:pt>
                <c:pt idx="383">
                  <c:v>2400</c:v>
                </c:pt>
                <c:pt idx="384">
                  <c:v>6500</c:v>
                </c:pt>
                <c:pt idx="385">
                  <c:v>3300</c:v>
                </c:pt>
                <c:pt idx="386">
                  <c:v>7500</c:v>
                </c:pt>
                <c:pt idx="387">
                  <c:v>3350</c:v>
                </c:pt>
                <c:pt idx="388">
                  <c:v>3740</c:v>
                </c:pt>
                <c:pt idx="389">
                  <c:v>8000</c:v>
                </c:pt>
                <c:pt idx="390">
                  <c:v>6000</c:v>
                </c:pt>
                <c:pt idx="391">
                  <c:v>3700</c:v>
                </c:pt>
                <c:pt idx="392">
                  <c:v>4280</c:v>
                </c:pt>
                <c:pt idx="393">
                  <c:v>8500</c:v>
                </c:pt>
                <c:pt idx="394">
                  <c:v>8000</c:v>
                </c:pt>
                <c:pt idx="395">
                  <c:v>3500</c:v>
                </c:pt>
                <c:pt idx="396">
                  <c:v>6390</c:v>
                </c:pt>
                <c:pt idx="397">
                  <c:v>3700</c:v>
                </c:pt>
                <c:pt idx="398">
                  <c:v>8500</c:v>
                </c:pt>
                <c:pt idx="399">
                  <c:v>6300</c:v>
                </c:pt>
                <c:pt idx="400">
                  <c:v>5000</c:v>
                </c:pt>
                <c:pt idx="401">
                  <c:v>14406</c:v>
                </c:pt>
                <c:pt idx="402">
                  <c:v>15000</c:v>
                </c:pt>
                <c:pt idx="403">
                  <c:v>18000</c:v>
                </c:pt>
                <c:pt idx="404" formatCode="General">
                  <c:v>75</c:v>
                </c:pt>
                <c:pt idx="405" formatCode="General">
                  <c:v>630</c:v>
                </c:pt>
                <c:pt idx="406" formatCode="General">
                  <c:v>185</c:v>
                </c:pt>
                <c:pt idx="407" formatCode="General">
                  <c:v>100</c:v>
                </c:pt>
                <c:pt idx="408" formatCode="General">
                  <c:v>100</c:v>
                </c:pt>
                <c:pt idx="409" formatCode="General">
                  <c:v>100</c:v>
                </c:pt>
                <c:pt idx="410" formatCode="General">
                  <c:v>370</c:v>
                </c:pt>
                <c:pt idx="411" formatCode="General">
                  <c:v>2120</c:v>
                </c:pt>
                <c:pt idx="412" formatCode="General">
                  <c:v>150</c:v>
                </c:pt>
                <c:pt idx="413" formatCode="General">
                  <c:v>150</c:v>
                </c:pt>
                <c:pt idx="414" formatCode="General">
                  <c:v>150</c:v>
                </c:pt>
                <c:pt idx="415" formatCode="General">
                  <c:v>380</c:v>
                </c:pt>
                <c:pt idx="416" formatCode="General">
                  <c:v>570</c:v>
                </c:pt>
                <c:pt idx="417" formatCode="General">
                  <c:v>200</c:v>
                </c:pt>
                <c:pt idx="418" formatCode="General">
                  <c:v>200</c:v>
                </c:pt>
                <c:pt idx="419" formatCode="General">
                  <c:v>200</c:v>
                </c:pt>
                <c:pt idx="420" formatCode="General">
                  <c:v>200</c:v>
                </c:pt>
                <c:pt idx="421" formatCode="General">
                  <c:v>700</c:v>
                </c:pt>
                <c:pt idx="422" formatCode="General">
                  <c:v>400</c:v>
                </c:pt>
                <c:pt idx="423" formatCode="General">
                  <c:v>1440</c:v>
                </c:pt>
                <c:pt idx="424" formatCode="General">
                  <c:v>250</c:v>
                </c:pt>
                <c:pt idx="425" formatCode="General">
                  <c:v>3250</c:v>
                </c:pt>
                <c:pt idx="426" formatCode="General">
                  <c:v>900</c:v>
                </c:pt>
                <c:pt idx="427" formatCode="General">
                  <c:v>300</c:v>
                </c:pt>
                <c:pt idx="428" formatCode="General">
                  <c:v>2800</c:v>
                </c:pt>
                <c:pt idx="429" formatCode="General">
                  <c:v>1220</c:v>
                </c:pt>
                <c:pt idx="430" formatCode="General">
                  <c:v>300</c:v>
                </c:pt>
                <c:pt idx="431" formatCode="General">
                  <c:v>800</c:v>
                </c:pt>
                <c:pt idx="432" formatCode="General">
                  <c:v>300</c:v>
                </c:pt>
                <c:pt idx="433" formatCode="General">
                  <c:v>300</c:v>
                </c:pt>
                <c:pt idx="434" formatCode="General">
                  <c:v>3355</c:v>
                </c:pt>
                <c:pt idx="435" formatCode="General">
                  <c:v>500</c:v>
                </c:pt>
                <c:pt idx="436" formatCode="General">
                  <c:v>510</c:v>
                </c:pt>
                <c:pt idx="437" formatCode="General">
                  <c:v>350</c:v>
                </c:pt>
                <c:pt idx="438" formatCode="General">
                  <c:v>350</c:v>
                </c:pt>
                <c:pt idx="439" formatCode="General">
                  <c:v>350</c:v>
                </c:pt>
                <c:pt idx="440" formatCode="General">
                  <c:v>350</c:v>
                </c:pt>
                <c:pt idx="441" formatCode="General">
                  <c:v>700</c:v>
                </c:pt>
                <c:pt idx="442" formatCode="General">
                  <c:v>390</c:v>
                </c:pt>
                <c:pt idx="443" formatCode="General">
                  <c:v>400</c:v>
                </c:pt>
                <c:pt idx="444" formatCode="General">
                  <c:v>400</c:v>
                </c:pt>
                <c:pt idx="445" formatCode="General">
                  <c:v>1750</c:v>
                </c:pt>
                <c:pt idx="446" formatCode="General">
                  <c:v>1400</c:v>
                </c:pt>
                <c:pt idx="447" formatCode="General">
                  <c:v>900</c:v>
                </c:pt>
                <c:pt idx="448" formatCode="General">
                  <c:v>400</c:v>
                </c:pt>
                <c:pt idx="449" formatCode="General">
                  <c:v>900</c:v>
                </c:pt>
                <c:pt idx="450" formatCode="General">
                  <c:v>412</c:v>
                </c:pt>
                <c:pt idx="451" formatCode="General">
                  <c:v>420</c:v>
                </c:pt>
                <c:pt idx="452" formatCode="General">
                  <c:v>430</c:v>
                </c:pt>
                <c:pt idx="453" formatCode="General">
                  <c:v>900</c:v>
                </c:pt>
                <c:pt idx="454" formatCode="General">
                  <c:v>450</c:v>
                </c:pt>
                <c:pt idx="455" formatCode="General">
                  <c:v>460</c:v>
                </c:pt>
                <c:pt idx="456" formatCode="General">
                  <c:v>700</c:v>
                </c:pt>
                <c:pt idx="457" formatCode="General">
                  <c:v>1100</c:v>
                </c:pt>
                <c:pt idx="458" formatCode="General">
                  <c:v>500</c:v>
                </c:pt>
                <c:pt idx="459" formatCode="General">
                  <c:v>1200</c:v>
                </c:pt>
                <c:pt idx="460" formatCode="General">
                  <c:v>500</c:v>
                </c:pt>
                <c:pt idx="461" formatCode="General">
                  <c:v>1255</c:v>
                </c:pt>
                <c:pt idx="462" formatCode="General">
                  <c:v>500</c:v>
                </c:pt>
                <c:pt idx="463" formatCode="General">
                  <c:v>500</c:v>
                </c:pt>
                <c:pt idx="464" formatCode="General">
                  <c:v>500</c:v>
                </c:pt>
                <c:pt idx="465" formatCode="General">
                  <c:v>500</c:v>
                </c:pt>
                <c:pt idx="466" formatCode="General">
                  <c:v>500</c:v>
                </c:pt>
                <c:pt idx="467" formatCode="General">
                  <c:v>1500</c:v>
                </c:pt>
                <c:pt idx="468" formatCode="General">
                  <c:v>500</c:v>
                </c:pt>
                <c:pt idx="469" formatCode="General">
                  <c:v>500</c:v>
                </c:pt>
                <c:pt idx="470" formatCode="General">
                  <c:v>550</c:v>
                </c:pt>
                <c:pt idx="471" formatCode="General">
                  <c:v>2150</c:v>
                </c:pt>
                <c:pt idx="472" formatCode="General">
                  <c:v>560</c:v>
                </c:pt>
                <c:pt idx="473" formatCode="General">
                  <c:v>2192</c:v>
                </c:pt>
                <c:pt idx="474" formatCode="General">
                  <c:v>570</c:v>
                </c:pt>
                <c:pt idx="475" formatCode="General">
                  <c:v>1200</c:v>
                </c:pt>
                <c:pt idx="476" formatCode="General">
                  <c:v>600</c:v>
                </c:pt>
                <c:pt idx="477" formatCode="General">
                  <c:v>2600</c:v>
                </c:pt>
                <c:pt idx="478" formatCode="General">
                  <c:v>1300</c:v>
                </c:pt>
                <c:pt idx="479" formatCode="General">
                  <c:v>600</c:v>
                </c:pt>
                <c:pt idx="480" formatCode="General">
                  <c:v>800</c:v>
                </c:pt>
                <c:pt idx="481" formatCode="General">
                  <c:v>1500</c:v>
                </c:pt>
                <c:pt idx="482" formatCode="General">
                  <c:v>600</c:v>
                </c:pt>
                <c:pt idx="483" formatCode="General">
                  <c:v>1400</c:v>
                </c:pt>
                <c:pt idx="484" formatCode="General">
                  <c:v>2100</c:v>
                </c:pt>
                <c:pt idx="485" formatCode="General">
                  <c:v>700</c:v>
                </c:pt>
                <c:pt idx="486" formatCode="General">
                  <c:v>600</c:v>
                </c:pt>
                <c:pt idx="487" formatCode="General">
                  <c:v>600</c:v>
                </c:pt>
                <c:pt idx="488" formatCode="General">
                  <c:v>600</c:v>
                </c:pt>
                <c:pt idx="489" formatCode="General">
                  <c:v>650</c:v>
                </c:pt>
                <c:pt idx="490" formatCode="General">
                  <c:v>700</c:v>
                </c:pt>
                <c:pt idx="491" formatCode="General">
                  <c:v>700</c:v>
                </c:pt>
                <c:pt idx="492" formatCode="General">
                  <c:v>700</c:v>
                </c:pt>
                <c:pt idx="493" formatCode="General">
                  <c:v>700</c:v>
                </c:pt>
                <c:pt idx="494" formatCode="General">
                  <c:v>2600</c:v>
                </c:pt>
                <c:pt idx="495" formatCode="General">
                  <c:v>2200</c:v>
                </c:pt>
                <c:pt idx="496" formatCode="General">
                  <c:v>1100</c:v>
                </c:pt>
                <c:pt idx="497" formatCode="General">
                  <c:v>2700</c:v>
                </c:pt>
                <c:pt idx="498" formatCode="General">
                  <c:v>750</c:v>
                </c:pt>
                <c:pt idx="499" formatCode="General">
                  <c:v>750</c:v>
                </c:pt>
                <c:pt idx="500" formatCode="General">
                  <c:v>1650</c:v>
                </c:pt>
                <c:pt idx="501" formatCode="General">
                  <c:v>3050</c:v>
                </c:pt>
                <c:pt idx="502" formatCode="General">
                  <c:v>750</c:v>
                </c:pt>
                <c:pt idx="503" formatCode="General">
                  <c:v>750</c:v>
                </c:pt>
                <c:pt idx="504" formatCode="General">
                  <c:v>1960</c:v>
                </c:pt>
                <c:pt idx="505" formatCode="General">
                  <c:v>3760</c:v>
                </c:pt>
                <c:pt idx="506" formatCode="General">
                  <c:v>2100</c:v>
                </c:pt>
                <c:pt idx="507" formatCode="General">
                  <c:v>800</c:v>
                </c:pt>
                <c:pt idx="508" formatCode="General">
                  <c:v>800</c:v>
                </c:pt>
                <c:pt idx="509" formatCode="General">
                  <c:v>1800</c:v>
                </c:pt>
                <c:pt idx="510" formatCode="General">
                  <c:v>5800</c:v>
                </c:pt>
                <c:pt idx="511" formatCode="General">
                  <c:v>800</c:v>
                </c:pt>
                <c:pt idx="512" formatCode="General">
                  <c:v>800</c:v>
                </c:pt>
                <c:pt idx="513" formatCode="General">
                  <c:v>3800</c:v>
                </c:pt>
                <c:pt idx="514" formatCode="General">
                  <c:v>800</c:v>
                </c:pt>
                <c:pt idx="515" formatCode="General">
                  <c:v>4300</c:v>
                </c:pt>
                <c:pt idx="516" formatCode="General">
                  <c:v>1020</c:v>
                </c:pt>
                <c:pt idx="517" formatCode="General">
                  <c:v>840</c:v>
                </c:pt>
                <c:pt idx="518" formatCode="General">
                  <c:v>850</c:v>
                </c:pt>
                <c:pt idx="519" formatCode="General">
                  <c:v>2630</c:v>
                </c:pt>
                <c:pt idx="520" formatCode="General">
                  <c:v>1900</c:v>
                </c:pt>
                <c:pt idx="521">
                  <c:v>1000</c:v>
                </c:pt>
                <c:pt idx="522">
                  <c:v>1700</c:v>
                </c:pt>
                <c:pt idx="523">
                  <c:v>1000</c:v>
                </c:pt>
                <c:pt idx="524">
                  <c:v>1200</c:v>
                </c:pt>
                <c:pt idx="525">
                  <c:v>2300</c:v>
                </c:pt>
                <c:pt idx="526">
                  <c:v>1400</c:v>
                </c:pt>
                <c:pt idx="527">
                  <c:v>1000</c:v>
                </c:pt>
                <c:pt idx="528">
                  <c:v>1000</c:v>
                </c:pt>
                <c:pt idx="529">
                  <c:v>1000</c:v>
                </c:pt>
                <c:pt idx="530">
                  <c:v>5172</c:v>
                </c:pt>
                <c:pt idx="531">
                  <c:v>2000</c:v>
                </c:pt>
                <c:pt idx="532">
                  <c:v>1000</c:v>
                </c:pt>
                <c:pt idx="533">
                  <c:v>2000</c:v>
                </c:pt>
                <c:pt idx="534">
                  <c:v>1000</c:v>
                </c:pt>
                <c:pt idx="535">
                  <c:v>3500</c:v>
                </c:pt>
                <c:pt idx="536">
                  <c:v>1300</c:v>
                </c:pt>
                <c:pt idx="537">
                  <c:v>1050</c:v>
                </c:pt>
                <c:pt idx="538">
                  <c:v>1060</c:v>
                </c:pt>
                <c:pt idx="539">
                  <c:v>2000</c:v>
                </c:pt>
                <c:pt idx="540">
                  <c:v>1100</c:v>
                </c:pt>
                <c:pt idx="541">
                  <c:v>1170</c:v>
                </c:pt>
                <c:pt idx="542">
                  <c:v>4898</c:v>
                </c:pt>
                <c:pt idx="543">
                  <c:v>1200</c:v>
                </c:pt>
                <c:pt idx="544">
                  <c:v>1200</c:v>
                </c:pt>
                <c:pt idx="545">
                  <c:v>1200</c:v>
                </c:pt>
                <c:pt idx="546">
                  <c:v>2400</c:v>
                </c:pt>
                <c:pt idx="547">
                  <c:v>1200</c:v>
                </c:pt>
                <c:pt idx="548">
                  <c:v>1200</c:v>
                </c:pt>
                <c:pt idx="549">
                  <c:v>2000</c:v>
                </c:pt>
                <c:pt idx="550">
                  <c:v>1200</c:v>
                </c:pt>
                <c:pt idx="551">
                  <c:v>1600</c:v>
                </c:pt>
                <c:pt idx="552">
                  <c:v>1300</c:v>
                </c:pt>
                <c:pt idx="553">
                  <c:v>1730</c:v>
                </c:pt>
                <c:pt idx="554">
                  <c:v>1350</c:v>
                </c:pt>
                <c:pt idx="555">
                  <c:v>5440</c:v>
                </c:pt>
                <c:pt idx="556">
                  <c:v>2320</c:v>
                </c:pt>
                <c:pt idx="557">
                  <c:v>18200</c:v>
                </c:pt>
                <c:pt idx="558">
                  <c:v>1490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2154</c:v>
                </c:pt>
                <c:pt idx="563">
                  <c:v>3000</c:v>
                </c:pt>
                <c:pt idx="564">
                  <c:v>1500</c:v>
                </c:pt>
                <c:pt idx="565">
                  <c:v>2000</c:v>
                </c:pt>
                <c:pt idx="566">
                  <c:v>1500</c:v>
                </c:pt>
                <c:pt idx="567">
                  <c:v>2100</c:v>
                </c:pt>
                <c:pt idx="568">
                  <c:v>3500</c:v>
                </c:pt>
                <c:pt idx="569">
                  <c:v>2500</c:v>
                </c:pt>
                <c:pt idx="570">
                  <c:v>2000</c:v>
                </c:pt>
                <c:pt idx="571">
                  <c:v>1500</c:v>
                </c:pt>
                <c:pt idx="572">
                  <c:v>1500</c:v>
                </c:pt>
                <c:pt idx="573">
                  <c:v>4500</c:v>
                </c:pt>
                <c:pt idx="574">
                  <c:v>3000</c:v>
                </c:pt>
                <c:pt idx="575">
                  <c:v>2000</c:v>
                </c:pt>
                <c:pt idx="576">
                  <c:v>1500</c:v>
                </c:pt>
                <c:pt idx="577">
                  <c:v>3500</c:v>
                </c:pt>
                <c:pt idx="578">
                  <c:v>1500</c:v>
                </c:pt>
                <c:pt idx="579">
                  <c:v>3500</c:v>
                </c:pt>
                <c:pt idx="580">
                  <c:v>1700</c:v>
                </c:pt>
                <c:pt idx="581">
                  <c:v>4000</c:v>
                </c:pt>
                <c:pt idx="582">
                  <c:v>1800</c:v>
                </c:pt>
                <c:pt idx="583">
                  <c:v>2800</c:v>
                </c:pt>
                <c:pt idx="584">
                  <c:v>5800</c:v>
                </c:pt>
                <c:pt idx="585">
                  <c:v>1800</c:v>
                </c:pt>
                <c:pt idx="586">
                  <c:v>2000</c:v>
                </c:pt>
                <c:pt idx="587">
                  <c:v>2000</c:v>
                </c:pt>
                <c:pt idx="588">
                  <c:v>2000</c:v>
                </c:pt>
                <c:pt idx="589">
                  <c:v>6000</c:v>
                </c:pt>
                <c:pt idx="590">
                  <c:v>2000</c:v>
                </c:pt>
                <c:pt idx="591">
                  <c:v>2000</c:v>
                </c:pt>
                <c:pt idx="592">
                  <c:v>2000</c:v>
                </c:pt>
                <c:pt idx="593">
                  <c:v>4570</c:v>
                </c:pt>
                <c:pt idx="594">
                  <c:v>2000</c:v>
                </c:pt>
                <c:pt idx="595">
                  <c:v>5000</c:v>
                </c:pt>
                <c:pt idx="596">
                  <c:v>3200</c:v>
                </c:pt>
                <c:pt idx="597">
                  <c:v>2000</c:v>
                </c:pt>
                <c:pt idx="598">
                  <c:v>3000</c:v>
                </c:pt>
                <c:pt idx="599">
                  <c:v>3400</c:v>
                </c:pt>
                <c:pt idx="600">
                  <c:v>3400</c:v>
                </c:pt>
                <c:pt idx="601">
                  <c:v>2200</c:v>
                </c:pt>
                <c:pt idx="602">
                  <c:v>2500</c:v>
                </c:pt>
                <c:pt idx="603">
                  <c:v>2500</c:v>
                </c:pt>
                <c:pt idx="604">
                  <c:v>2940</c:v>
                </c:pt>
                <c:pt idx="605">
                  <c:v>4000</c:v>
                </c:pt>
                <c:pt idx="606">
                  <c:v>4130</c:v>
                </c:pt>
                <c:pt idx="607">
                  <c:v>3200</c:v>
                </c:pt>
                <c:pt idx="608">
                  <c:v>3300</c:v>
                </c:pt>
                <c:pt idx="609">
                  <c:v>2880</c:v>
                </c:pt>
                <c:pt idx="610">
                  <c:v>3300</c:v>
                </c:pt>
                <c:pt idx="611">
                  <c:v>2600</c:v>
                </c:pt>
                <c:pt idx="612">
                  <c:v>2800</c:v>
                </c:pt>
                <c:pt idx="613">
                  <c:v>2800</c:v>
                </c:pt>
                <c:pt idx="614">
                  <c:v>2800</c:v>
                </c:pt>
                <c:pt idx="615">
                  <c:v>2940</c:v>
                </c:pt>
                <c:pt idx="616">
                  <c:v>3000</c:v>
                </c:pt>
                <c:pt idx="617">
                  <c:v>3000</c:v>
                </c:pt>
                <c:pt idx="618">
                  <c:v>3000</c:v>
                </c:pt>
                <c:pt idx="619">
                  <c:v>8000</c:v>
                </c:pt>
                <c:pt idx="620">
                  <c:v>3000</c:v>
                </c:pt>
                <c:pt idx="621">
                  <c:v>3000</c:v>
                </c:pt>
                <c:pt idx="622">
                  <c:v>6000</c:v>
                </c:pt>
                <c:pt idx="623">
                  <c:v>6000</c:v>
                </c:pt>
                <c:pt idx="624">
                  <c:v>3000</c:v>
                </c:pt>
                <c:pt idx="625">
                  <c:v>3000</c:v>
                </c:pt>
                <c:pt idx="626">
                  <c:v>3000</c:v>
                </c:pt>
                <c:pt idx="627">
                  <c:v>6500</c:v>
                </c:pt>
                <c:pt idx="628">
                  <c:v>5900</c:v>
                </c:pt>
                <c:pt idx="629">
                  <c:v>7000</c:v>
                </c:pt>
                <c:pt idx="630">
                  <c:v>3800</c:v>
                </c:pt>
                <c:pt idx="631">
                  <c:v>3500</c:v>
                </c:pt>
                <c:pt idx="632">
                  <c:v>6700</c:v>
                </c:pt>
                <c:pt idx="633">
                  <c:v>3200</c:v>
                </c:pt>
                <c:pt idx="634">
                  <c:v>3735</c:v>
                </c:pt>
                <c:pt idx="635">
                  <c:v>3500</c:v>
                </c:pt>
                <c:pt idx="636">
                  <c:v>3500</c:v>
                </c:pt>
                <c:pt idx="637">
                  <c:v>6500</c:v>
                </c:pt>
                <c:pt idx="638">
                  <c:v>3500</c:v>
                </c:pt>
                <c:pt idx="639">
                  <c:v>3500</c:v>
                </c:pt>
                <c:pt idx="640">
                  <c:v>4027</c:v>
                </c:pt>
                <c:pt idx="641">
                  <c:v>3550</c:v>
                </c:pt>
                <c:pt idx="642">
                  <c:v>3625</c:v>
                </c:pt>
                <c:pt idx="643">
                  <c:v>4095</c:v>
                </c:pt>
                <c:pt idx="644">
                  <c:v>3750</c:v>
                </c:pt>
                <c:pt idx="645">
                  <c:v>4000</c:v>
                </c:pt>
                <c:pt idx="646">
                  <c:v>4400</c:v>
                </c:pt>
                <c:pt idx="647">
                  <c:v>4000</c:v>
                </c:pt>
                <c:pt idx="648">
                  <c:v>4400</c:v>
                </c:pt>
                <c:pt idx="649">
                  <c:v>4080</c:v>
                </c:pt>
                <c:pt idx="650">
                  <c:v>4400</c:v>
                </c:pt>
                <c:pt idx="651">
                  <c:v>4500</c:v>
                </c:pt>
                <c:pt idx="652">
                  <c:v>5700</c:v>
                </c:pt>
                <c:pt idx="653">
                  <c:v>5150</c:v>
                </c:pt>
                <c:pt idx="654">
                  <c:v>5480</c:v>
                </c:pt>
                <c:pt idx="655">
                  <c:v>6000</c:v>
                </c:pt>
                <c:pt idx="656">
                  <c:v>6000</c:v>
                </c:pt>
                <c:pt idx="657">
                  <c:v>6000</c:v>
                </c:pt>
                <c:pt idx="658">
                  <c:v>11250</c:v>
                </c:pt>
                <c:pt idx="659">
                  <c:v>8400</c:v>
                </c:pt>
                <c:pt idx="660">
                  <c:v>10000</c:v>
                </c:pt>
                <c:pt idx="661" formatCode="General">
                  <c:v>40</c:v>
                </c:pt>
                <c:pt idx="662" formatCode="General">
                  <c:v>648</c:v>
                </c:pt>
                <c:pt idx="663" formatCode="General">
                  <c:v>50</c:v>
                </c:pt>
                <c:pt idx="664" formatCode="General">
                  <c:v>1050</c:v>
                </c:pt>
                <c:pt idx="665" formatCode="General">
                  <c:v>890</c:v>
                </c:pt>
                <c:pt idx="666" formatCode="General">
                  <c:v>94</c:v>
                </c:pt>
                <c:pt idx="667" formatCode="General">
                  <c:v>100</c:v>
                </c:pt>
                <c:pt idx="668" formatCode="General">
                  <c:v>100</c:v>
                </c:pt>
                <c:pt idx="669" formatCode="General">
                  <c:v>1100</c:v>
                </c:pt>
                <c:pt idx="670" formatCode="General">
                  <c:v>150</c:v>
                </c:pt>
                <c:pt idx="671" formatCode="General">
                  <c:v>150</c:v>
                </c:pt>
                <c:pt idx="672" formatCode="General">
                  <c:v>150</c:v>
                </c:pt>
                <c:pt idx="673" formatCode="General">
                  <c:v>150</c:v>
                </c:pt>
                <c:pt idx="674" formatCode="General">
                  <c:v>350</c:v>
                </c:pt>
                <c:pt idx="675" formatCode="General">
                  <c:v>150</c:v>
                </c:pt>
                <c:pt idx="676" formatCode="General">
                  <c:v>524</c:v>
                </c:pt>
                <c:pt idx="677" formatCode="General">
                  <c:v>180</c:v>
                </c:pt>
                <c:pt idx="678" formatCode="General">
                  <c:v>187</c:v>
                </c:pt>
                <c:pt idx="679" formatCode="General">
                  <c:v>200</c:v>
                </c:pt>
                <c:pt idx="680" formatCode="General">
                  <c:v>200</c:v>
                </c:pt>
                <c:pt idx="681" formatCode="General">
                  <c:v>200</c:v>
                </c:pt>
                <c:pt idx="682" formatCode="General">
                  <c:v>200</c:v>
                </c:pt>
                <c:pt idx="683" formatCode="General">
                  <c:v>200</c:v>
                </c:pt>
                <c:pt idx="684" formatCode="General">
                  <c:v>600</c:v>
                </c:pt>
                <c:pt idx="685" formatCode="General">
                  <c:v>208</c:v>
                </c:pt>
                <c:pt idx="686" formatCode="General">
                  <c:v>730</c:v>
                </c:pt>
                <c:pt idx="687" formatCode="General">
                  <c:v>1250</c:v>
                </c:pt>
                <c:pt idx="688" formatCode="General">
                  <c:v>300</c:v>
                </c:pt>
                <c:pt idx="689" formatCode="General">
                  <c:v>300</c:v>
                </c:pt>
                <c:pt idx="690" formatCode="General">
                  <c:v>600</c:v>
                </c:pt>
                <c:pt idx="691" formatCode="General">
                  <c:v>300</c:v>
                </c:pt>
                <c:pt idx="692" formatCode="General">
                  <c:v>300</c:v>
                </c:pt>
                <c:pt idx="693" formatCode="General">
                  <c:v>1300</c:v>
                </c:pt>
                <c:pt idx="694" formatCode="General">
                  <c:v>900</c:v>
                </c:pt>
                <c:pt idx="695" formatCode="General">
                  <c:v>315</c:v>
                </c:pt>
                <c:pt idx="696" formatCode="General">
                  <c:v>680</c:v>
                </c:pt>
                <c:pt idx="697" formatCode="General">
                  <c:v>320</c:v>
                </c:pt>
                <c:pt idx="698" formatCode="General">
                  <c:v>345</c:v>
                </c:pt>
                <c:pt idx="699" formatCode="General">
                  <c:v>350</c:v>
                </c:pt>
                <c:pt idx="700" formatCode="General">
                  <c:v>600</c:v>
                </c:pt>
                <c:pt idx="701" formatCode="General">
                  <c:v>1450</c:v>
                </c:pt>
                <c:pt idx="702" formatCode="General">
                  <c:v>810</c:v>
                </c:pt>
                <c:pt idx="703" formatCode="General">
                  <c:v>1190</c:v>
                </c:pt>
                <c:pt idx="704" formatCode="General">
                  <c:v>860</c:v>
                </c:pt>
                <c:pt idx="705" formatCode="General">
                  <c:v>370</c:v>
                </c:pt>
                <c:pt idx="706" formatCode="General">
                  <c:v>768</c:v>
                </c:pt>
                <c:pt idx="707" formatCode="General">
                  <c:v>700</c:v>
                </c:pt>
                <c:pt idx="708" formatCode="General">
                  <c:v>400</c:v>
                </c:pt>
                <c:pt idx="709" formatCode="General">
                  <c:v>400</c:v>
                </c:pt>
                <c:pt idx="710" formatCode="General">
                  <c:v>400</c:v>
                </c:pt>
                <c:pt idx="711" formatCode="General">
                  <c:v>800</c:v>
                </c:pt>
                <c:pt idx="712" formatCode="General">
                  <c:v>400</c:v>
                </c:pt>
                <c:pt idx="713" formatCode="General">
                  <c:v>400</c:v>
                </c:pt>
                <c:pt idx="714" formatCode="General">
                  <c:v>1400</c:v>
                </c:pt>
                <c:pt idx="715" formatCode="General">
                  <c:v>400</c:v>
                </c:pt>
                <c:pt idx="716" formatCode="General">
                  <c:v>400</c:v>
                </c:pt>
                <c:pt idx="717" formatCode="General">
                  <c:v>400</c:v>
                </c:pt>
                <c:pt idx="718" formatCode="General">
                  <c:v>1100</c:v>
                </c:pt>
                <c:pt idx="719" formatCode="General">
                  <c:v>2400</c:v>
                </c:pt>
                <c:pt idx="720" formatCode="General">
                  <c:v>415</c:v>
                </c:pt>
                <c:pt idx="721" formatCode="General">
                  <c:v>1030</c:v>
                </c:pt>
                <c:pt idx="722" formatCode="General">
                  <c:v>436</c:v>
                </c:pt>
                <c:pt idx="723" formatCode="General">
                  <c:v>1124</c:v>
                </c:pt>
                <c:pt idx="724" formatCode="General">
                  <c:v>450</c:v>
                </c:pt>
                <c:pt idx="725" formatCode="General">
                  <c:v>450</c:v>
                </c:pt>
                <c:pt idx="726" formatCode="General">
                  <c:v>1650</c:v>
                </c:pt>
                <c:pt idx="727" formatCode="General">
                  <c:v>1160</c:v>
                </c:pt>
                <c:pt idx="728" formatCode="General">
                  <c:v>460</c:v>
                </c:pt>
                <c:pt idx="729" formatCode="General">
                  <c:v>960</c:v>
                </c:pt>
                <c:pt idx="730" formatCode="General">
                  <c:v>477</c:v>
                </c:pt>
                <c:pt idx="731" formatCode="General">
                  <c:v>480</c:v>
                </c:pt>
                <c:pt idx="732" formatCode="General">
                  <c:v>500</c:v>
                </c:pt>
                <c:pt idx="733" formatCode="General">
                  <c:v>500</c:v>
                </c:pt>
                <c:pt idx="734" formatCode="General">
                  <c:v>500</c:v>
                </c:pt>
                <c:pt idx="735" formatCode="General">
                  <c:v>500</c:v>
                </c:pt>
                <c:pt idx="736" formatCode="General">
                  <c:v>500</c:v>
                </c:pt>
                <c:pt idx="737" formatCode="General">
                  <c:v>580</c:v>
                </c:pt>
                <c:pt idx="738" formatCode="General">
                  <c:v>500</c:v>
                </c:pt>
                <c:pt idx="739" formatCode="General">
                  <c:v>500</c:v>
                </c:pt>
                <c:pt idx="740" formatCode="General">
                  <c:v>500</c:v>
                </c:pt>
                <c:pt idx="741" formatCode="General">
                  <c:v>500</c:v>
                </c:pt>
                <c:pt idx="742" formatCode="General">
                  <c:v>500</c:v>
                </c:pt>
                <c:pt idx="743" formatCode="General">
                  <c:v>800</c:v>
                </c:pt>
                <c:pt idx="744" formatCode="General">
                  <c:v>1700</c:v>
                </c:pt>
                <c:pt idx="745" formatCode="General">
                  <c:v>1250</c:v>
                </c:pt>
                <c:pt idx="746" formatCode="General">
                  <c:v>500</c:v>
                </c:pt>
                <c:pt idx="747" formatCode="General">
                  <c:v>2000</c:v>
                </c:pt>
                <c:pt idx="748" formatCode="General">
                  <c:v>840</c:v>
                </c:pt>
                <c:pt idx="749" formatCode="General">
                  <c:v>2520</c:v>
                </c:pt>
                <c:pt idx="750" formatCode="General">
                  <c:v>520</c:v>
                </c:pt>
                <c:pt idx="751" formatCode="General">
                  <c:v>2535</c:v>
                </c:pt>
                <c:pt idx="752" formatCode="General">
                  <c:v>1053</c:v>
                </c:pt>
                <c:pt idx="753" formatCode="General">
                  <c:v>3340</c:v>
                </c:pt>
                <c:pt idx="754" formatCode="General">
                  <c:v>550</c:v>
                </c:pt>
                <c:pt idx="755" formatCode="General">
                  <c:v>1975</c:v>
                </c:pt>
                <c:pt idx="756" formatCode="General">
                  <c:v>1060</c:v>
                </c:pt>
                <c:pt idx="757" formatCode="General">
                  <c:v>570</c:v>
                </c:pt>
                <c:pt idx="758" formatCode="General">
                  <c:v>3600</c:v>
                </c:pt>
                <c:pt idx="759" formatCode="General">
                  <c:v>2600</c:v>
                </c:pt>
                <c:pt idx="760" formatCode="General">
                  <c:v>1600</c:v>
                </c:pt>
                <c:pt idx="761" formatCode="General">
                  <c:v>5600</c:v>
                </c:pt>
                <c:pt idx="762" formatCode="General">
                  <c:v>600</c:v>
                </c:pt>
                <c:pt idx="763" formatCode="General">
                  <c:v>1150</c:v>
                </c:pt>
                <c:pt idx="764" formatCode="General">
                  <c:v>600</c:v>
                </c:pt>
                <c:pt idx="765" formatCode="General">
                  <c:v>600</c:v>
                </c:pt>
                <c:pt idx="766" formatCode="General">
                  <c:v>600</c:v>
                </c:pt>
                <c:pt idx="767" formatCode="General">
                  <c:v>750</c:v>
                </c:pt>
                <c:pt idx="768" formatCode="General">
                  <c:v>600</c:v>
                </c:pt>
                <c:pt idx="769" formatCode="General">
                  <c:v>600</c:v>
                </c:pt>
                <c:pt idx="770" formatCode="General">
                  <c:v>600</c:v>
                </c:pt>
                <c:pt idx="771" formatCode="General">
                  <c:v>2120</c:v>
                </c:pt>
                <c:pt idx="772" formatCode="General">
                  <c:v>1480</c:v>
                </c:pt>
                <c:pt idx="773" formatCode="General">
                  <c:v>650</c:v>
                </c:pt>
                <c:pt idx="774" formatCode="General">
                  <c:v>650</c:v>
                </c:pt>
                <c:pt idx="775" formatCode="General">
                  <c:v>650</c:v>
                </c:pt>
                <c:pt idx="776" formatCode="General">
                  <c:v>660</c:v>
                </c:pt>
                <c:pt idx="777" formatCode="General">
                  <c:v>660</c:v>
                </c:pt>
                <c:pt idx="778" formatCode="General">
                  <c:v>680</c:v>
                </c:pt>
                <c:pt idx="779" formatCode="General">
                  <c:v>689</c:v>
                </c:pt>
                <c:pt idx="780" formatCode="General">
                  <c:v>700</c:v>
                </c:pt>
                <c:pt idx="781" formatCode="General">
                  <c:v>3200</c:v>
                </c:pt>
                <c:pt idx="782" formatCode="General">
                  <c:v>1400</c:v>
                </c:pt>
                <c:pt idx="783" formatCode="General">
                  <c:v>1400</c:v>
                </c:pt>
                <c:pt idx="784" formatCode="General">
                  <c:v>700</c:v>
                </c:pt>
                <c:pt idx="785" formatCode="General">
                  <c:v>700</c:v>
                </c:pt>
                <c:pt idx="786" formatCode="General">
                  <c:v>700</c:v>
                </c:pt>
                <c:pt idx="787" formatCode="General">
                  <c:v>1000</c:v>
                </c:pt>
                <c:pt idx="788" formatCode="General">
                  <c:v>700</c:v>
                </c:pt>
                <c:pt idx="789" formatCode="General">
                  <c:v>700</c:v>
                </c:pt>
                <c:pt idx="790" formatCode="General">
                  <c:v>700</c:v>
                </c:pt>
                <c:pt idx="791" formatCode="General">
                  <c:v>1700</c:v>
                </c:pt>
                <c:pt idx="792" formatCode="General">
                  <c:v>1000</c:v>
                </c:pt>
                <c:pt idx="793" formatCode="General">
                  <c:v>1250</c:v>
                </c:pt>
                <c:pt idx="794" formatCode="General">
                  <c:v>750</c:v>
                </c:pt>
                <c:pt idx="795" formatCode="General">
                  <c:v>810</c:v>
                </c:pt>
                <c:pt idx="796" formatCode="General">
                  <c:v>760</c:v>
                </c:pt>
                <c:pt idx="797" formatCode="General">
                  <c:v>2160</c:v>
                </c:pt>
                <c:pt idx="798" formatCode="General">
                  <c:v>800</c:v>
                </c:pt>
                <c:pt idx="799" formatCode="General">
                  <c:v>800</c:v>
                </c:pt>
                <c:pt idx="800" formatCode="General">
                  <c:v>800</c:v>
                </c:pt>
                <c:pt idx="801" formatCode="General">
                  <c:v>1500</c:v>
                </c:pt>
                <c:pt idx="802" formatCode="General">
                  <c:v>1800</c:v>
                </c:pt>
                <c:pt idx="803" formatCode="General">
                  <c:v>1500</c:v>
                </c:pt>
                <c:pt idx="804" formatCode="General">
                  <c:v>800</c:v>
                </c:pt>
                <c:pt idx="805" formatCode="General">
                  <c:v>800</c:v>
                </c:pt>
                <c:pt idx="806" formatCode="General">
                  <c:v>4300</c:v>
                </c:pt>
                <c:pt idx="807" formatCode="General">
                  <c:v>870</c:v>
                </c:pt>
                <c:pt idx="808" formatCode="General">
                  <c:v>900</c:v>
                </c:pt>
                <c:pt idx="809" formatCode="General">
                  <c:v>900</c:v>
                </c:pt>
                <c:pt idx="810" formatCode="General">
                  <c:v>2900</c:v>
                </c:pt>
                <c:pt idx="811" formatCode="General">
                  <c:v>900</c:v>
                </c:pt>
                <c:pt idx="812" formatCode="General">
                  <c:v>900</c:v>
                </c:pt>
                <c:pt idx="813" formatCode="General">
                  <c:v>900</c:v>
                </c:pt>
                <c:pt idx="814">
                  <c:v>1500</c:v>
                </c:pt>
                <c:pt idx="815">
                  <c:v>1000</c:v>
                </c:pt>
                <c:pt idx="816">
                  <c:v>2000</c:v>
                </c:pt>
                <c:pt idx="817">
                  <c:v>3000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1000</c:v>
                </c:pt>
                <c:pt idx="827">
                  <c:v>1015</c:v>
                </c:pt>
                <c:pt idx="828">
                  <c:v>1707</c:v>
                </c:pt>
                <c:pt idx="829">
                  <c:v>1094</c:v>
                </c:pt>
                <c:pt idx="830">
                  <c:v>1167</c:v>
                </c:pt>
                <c:pt idx="831">
                  <c:v>2000</c:v>
                </c:pt>
                <c:pt idx="832">
                  <c:v>1200</c:v>
                </c:pt>
                <c:pt idx="833">
                  <c:v>1200</c:v>
                </c:pt>
                <c:pt idx="834">
                  <c:v>6200</c:v>
                </c:pt>
                <c:pt idx="835">
                  <c:v>1230</c:v>
                </c:pt>
                <c:pt idx="836">
                  <c:v>1300</c:v>
                </c:pt>
                <c:pt idx="837">
                  <c:v>1350</c:v>
                </c:pt>
                <c:pt idx="838">
                  <c:v>1400</c:v>
                </c:pt>
                <c:pt idx="839">
                  <c:v>2475</c:v>
                </c:pt>
                <c:pt idx="840">
                  <c:v>1500</c:v>
                </c:pt>
                <c:pt idx="841">
                  <c:v>5500</c:v>
                </c:pt>
                <c:pt idx="842">
                  <c:v>1500</c:v>
                </c:pt>
                <c:pt idx="843">
                  <c:v>2700</c:v>
                </c:pt>
                <c:pt idx="844">
                  <c:v>1500</c:v>
                </c:pt>
                <c:pt idx="845">
                  <c:v>1500</c:v>
                </c:pt>
                <c:pt idx="846">
                  <c:v>1600</c:v>
                </c:pt>
                <c:pt idx="847">
                  <c:v>4520</c:v>
                </c:pt>
                <c:pt idx="848">
                  <c:v>2000</c:v>
                </c:pt>
                <c:pt idx="849">
                  <c:v>2000</c:v>
                </c:pt>
                <c:pt idx="850">
                  <c:v>3300</c:v>
                </c:pt>
                <c:pt idx="851">
                  <c:v>2000</c:v>
                </c:pt>
                <c:pt idx="852">
                  <c:v>2000</c:v>
                </c:pt>
                <c:pt idx="853">
                  <c:v>3700</c:v>
                </c:pt>
                <c:pt idx="854">
                  <c:v>2500</c:v>
                </c:pt>
                <c:pt idx="855">
                  <c:v>2500</c:v>
                </c:pt>
                <c:pt idx="856">
                  <c:v>2500</c:v>
                </c:pt>
                <c:pt idx="857">
                  <c:v>2600</c:v>
                </c:pt>
                <c:pt idx="858">
                  <c:v>3151</c:v>
                </c:pt>
                <c:pt idx="859">
                  <c:v>2940</c:v>
                </c:pt>
                <c:pt idx="860">
                  <c:v>3000</c:v>
                </c:pt>
                <c:pt idx="861">
                  <c:v>5000</c:v>
                </c:pt>
                <c:pt idx="862">
                  <c:v>3000</c:v>
                </c:pt>
                <c:pt idx="863">
                  <c:v>3000</c:v>
                </c:pt>
                <c:pt idx="864">
                  <c:v>5700</c:v>
                </c:pt>
                <c:pt idx="865">
                  <c:v>4500</c:v>
                </c:pt>
                <c:pt idx="866">
                  <c:v>5000</c:v>
                </c:pt>
                <c:pt idx="867">
                  <c:v>9000</c:v>
                </c:pt>
                <c:pt idx="868" formatCode="General">
                  <c:v>40</c:v>
                </c:pt>
                <c:pt idx="869" formatCode="General">
                  <c:v>50</c:v>
                </c:pt>
                <c:pt idx="870" formatCode="General">
                  <c:v>100</c:v>
                </c:pt>
                <c:pt idx="871" formatCode="General">
                  <c:v>100</c:v>
                </c:pt>
                <c:pt idx="872" formatCode="General">
                  <c:v>100</c:v>
                </c:pt>
                <c:pt idx="873" formatCode="General">
                  <c:v>150</c:v>
                </c:pt>
                <c:pt idx="874" formatCode="General">
                  <c:v>150</c:v>
                </c:pt>
                <c:pt idx="875" formatCode="General">
                  <c:v>160</c:v>
                </c:pt>
                <c:pt idx="876" formatCode="General">
                  <c:v>180</c:v>
                </c:pt>
                <c:pt idx="877" formatCode="General">
                  <c:v>180</c:v>
                </c:pt>
                <c:pt idx="878" formatCode="General">
                  <c:v>200</c:v>
                </c:pt>
                <c:pt idx="879" formatCode="General">
                  <c:v>200</c:v>
                </c:pt>
                <c:pt idx="880" formatCode="General">
                  <c:v>200</c:v>
                </c:pt>
                <c:pt idx="881" formatCode="General">
                  <c:v>200</c:v>
                </c:pt>
                <c:pt idx="882" formatCode="General">
                  <c:v>200</c:v>
                </c:pt>
                <c:pt idx="883" formatCode="General">
                  <c:v>200</c:v>
                </c:pt>
                <c:pt idx="884" formatCode="General">
                  <c:v>200</c:v>
                </c:pt>
                <c:pt idx="885" formatCode="General">
                  <c:v>200</c:v>
                </c:pt>
                <c:pt idx="886" formatCode="General">
                  <c:v>200</c:v>
                </c:pt>
                <c:pt idx="887" formatCode="General">
                  <c:v>208</c:v>
                </c:pt>
                <c:pt idx="888" formatCode="General">
                  <c:v>250</c:v>
                </c:pt>
                <c:pt idx="889" formatCode="General">
                  <c:v>250</c:v>
                </c:pt>
                <c:pt idx="890" formatCode="General">
                  <c:v>270</c:v>
                </c:pt>
                <c:pt idx="891" formatCode="General">
                  <c:v>275</c:v>
                </c:pt>
                <c:pt idx="892" formatCode="General">
                  <c:v>280</c:v>
                </c:pt>
                <c:pt idx="893" formatCode="General">
                  <c:v>280</c:v>
                </c:pt>
                <c:pt idx="894" formatCode="General">
                  <c:v>300</c:v>
                </c:pt>
                <c:pt idx="895" formatCode="General">
                  <c:v>300</c:v>
                </c:pt>
                <c:pt idx="896" formatCode="General">
                  <c:v>300</c:v>
                </c:pt>
                <c:pt idx="897" formatCode="General">
                  <c:v>300</c:v>
                </c:pt>
                <c:pt idx="898" formatCode="General">
                  <c:v>300</c:v>
                </c:pt>
                <c:pt idx="899" formatCode="General">
                  <c:v>300</c:v>
                </c:pt>
                <c:pt idx="900" formatCode="General">
                  <c:v>300</c:v>
                </c:pt>
                <c:pt idx="901" formatCode="General">
                  <c:v>300</c:v>
                </c:pt>
                <c:pt idx="902" formatCode="General">
                  <c:v>300</c:v>
                </c:pt>
                <c:pt idx="903" formatCode="General">
                  <c:v>300</c:v>
                </c:pt>
                <c:pt idx="904" formatCode="General">
                  <c:v>300</c:v>
                </c:pt>
                <c:pt idx="905" formatCode="General">
                  <c:v>320</c:v>
                </c:pt>
                <c:pt idx="906" formatCode="General">
                  <c:v>333</c:v>
                </c:pt>
                <c:pt idx="907" formatCode="General">
                  <c:v>350</c:v>
                </c:pt>
                <c:pt idx="908" formatCode="General">
                  <c:v>350</c:v>
                </c:pt>
                <c:pt idx="909" formatCode="General">
                  <c:v>350</c:v>
                </c:pt>
                <c:pt idx="910" formatCode="General">
                  <c:v>350</c:v>
                </c:pt>
                <c:pt idx="911" formatCode="General">
                  <c:v>380</c:v>
                </c:pt>
                <c:pt idx="912" formatCode="General">
                  <c:v>397</c:v>
                </c:pt>
                <c:pt idx="913" formatCode="General">
                  <c:v>400</c:v>
                </c:pt>
                <c:pt idx="914" formatCode="General">
                  <c:v>400</c:v>
                </c:pt>
                <c:pt idx="915" formatCode="General">
                  <c:v>400</c:v>
                </c:pt>
                <c:pt idx="916" formatCode="General">
                  <c:v>400</c:v>
                </c:pt>
                <c:pt idx="917" formatCode="General">
                  <c:v>400</c:v>
                </c:pt>
                <c:pt idx="918" formatCode="General">
                  <c:v>400</c:v>
                </c:pt>
                <c:pt idx="919" formatCode="General">
                  <c:v>400</c:v>
                </c:pt>
                <c:pt idx="920" formatCode="General">
                  <c:v>421</c:v>
                </c:pt>
                <c:pt idx="921" formatCode="General">
                  <c:v>450</c:v>
                </c:pt>
                <c:pt idx="922" formatCode="General">
                  <c:v>450</c:v>
                </c:pt>
                <c:pt idx="923" formatCode="General">
                  <c:v>450</c:v>
                </c:pt>
                <c:pt idx="924" formatCode="General">
                  <c:v>450</c:v>
                </c:pt>
                <c:pt idx="925" formatCode="General">
                  <c:v>450</c:v>
                </c:pt>
                <c:pt idx="926" formatCode="General">
                  <c:v>450</c:v>
                </c:pt>
                <c:pt idx="927" formatCode="General">
                  <c:v>480</c:v>
                </c:pt>
                <c:pt idx="928" formatCode="General">
                  <c:v>500</c:v>
                </c:pt>
                <c:pt idx="929" formatCode="General">
                  <c:v>500</c:v>
                </c:pt>
                <c:pt idx="930" formatCode="General">
                  <c:v>500</c:v>
                </c:pt>
                <c:pt idx="931" formatCode="General">
                  <c:v>500</c:v>
                </c:pt>
                <c:pt idx="932" formatCode="General">
                  <c:v>500</c:v>
                </c:pt>
                <c:pt idx="933" formatCode="General">
                  <c:v>500</c:v>
                </c:pt>
                <c:pt idx="934" formatCode="General">
                  <c:v>500</c:v>
                </c:pt>
                <c:pt idx="935" formatCode="General">
                  <c:v>500</c:v>
                </c:pt>
                <c:pt idx="936" formatCode="General">
                  <c:v>500</c:v>
                </c:pt>
                <c:pt idx="937" formatCode="General">
                  <c:v>500</c:v>
                </c:pt>
                <c:pt idx="938" formatCode="General">
                  <c:v>500</c:v>
                </c:pt>
                <c:pt idx="939" formatCode="General">
                  <c:v>500</c:v>
                </c:pt>
                <c:pt idx="940" formatCode="General">
                  <c:v>500</c:v>
                </c:pt>
                <c:pt idx="941" formatCode="General">
                  <c:v>500</c:v>
                </c:pt>
                <c:pt idx="942" formatCode="General">
                  <c:v>500</c:v>
                </c:pt>
                <c:pt idx="943" formatCode="General">
                  <c:v>500</c:v>
                </c:pt>
                <c:pt idx="944" formatCode="General">
                  <c:v>500</c:v>
                </c:pt>
                <c:pt idx="945" formatCode="General">
                  <c:v>500</c:v>
                </c:pt>
                <c:pt idx="946" formatCode="General">
                  <c:v>500</c:v>
                </c:pt>
                <c:pt idx="947" formatCode="General">
                  <c:v>500</c:v>
                </c:pt>
                <c:pt idx="948" formatCode="General">
                  <c:v>500</c:v>
                </c:pt>
                <c:pt idx="949" formatCode="General">
                  <c:v>500</c:v>
                </c:pt>
                <c:pt idx="950" formatCode="General">
                  <c:v>500</c:v>
                </c:pt>
                <c:pt idx="951" formatCode="General">
                  <c:v>500</c:v>
                </c:pt>
                <c:pt idx="952" formatCode="General">
                  <c:v>500</c:v>
                </c:pt>
                <c:pt idx="953" formatCode="General">
                  <c:v>500</c:v>
                </c:pt>
                <c:pt idx="954" formatCode="General">
                  <c:v>500</c:v>
                </c:pt>
                <c:pt idx="955" formatCode="General">
                  <c:v>540</c:v>
                </c:pt>
                <c:pt idx="956" formatCode="General">
                  <c:v>550</c:v>
                </c:pt>
                <c:pt idx="957" formatCode="General">
                  <c:v>550</c:v>
                </c:pt>
                <c:pt idx="958" formatCode="General">
                  <c:v>600</c:v>
                </c:pt>
                <c:pt idx="959" formatCode="General">
                  <c:v>600</c:v>
                </c:pt>
                <c:pt idx="960" formatCode="General">
                  <c:v>600</c:v>
                </c:pt>
                <c:pt idx="961" formatCode="General">
                  <c:v>600</c:v>
                </c:pt>
                <c:pt idx="962" formatCode="General">
                  <c:v>600</c:v>
                </c:pt>
                <c:pt idx="963" formatCode="General">
                  <c:v>600</c:v>
                </c:pt>
                <c:pt idx="964" formatCode="General">
                  <c:v>600</c:v>
                </c:pt>
                <c:pt idx="965" formatCode="General">
                  <c:v>600</c:v>
                </c:pt>
                <c:pt idx="966" formatCode="General">
                  <c:v>600</c:v>
                </c:pt>
                <c:pt idx="967" formatCode="General">
                  <c:v>600</c:v>
                </c:pt>
                <c:pt idx="968" formatCode="General">
                  <c:v>600</c:v>
                </c:pt>
                <c:pt idx="969" formatCode="General">
                  <c:v>600</c:v>
                </c:pt>
                <c:pt idx="970" formatCode="General">
                  <c:v>600</c:v>
                </c:pt>
                <c:pt idx="971" formatCode="General">
                  <c:v>600</c:v>
                </c:pt>
                <c:pt idx="972" formatCode="General">
                  <c:v>600</c:v>
                </c:pt>
                <c:pt idx="973" formatCode="General">
                  <c:v>600</c:v>
                </c:pt>
                <c:pt idx="974" formatCode="General">
                  <c:v>620</c:v>
                </c:pt>
                <c:pt idx="975" formatCode="General">
                  <c:v>650</c:v>
                </c:pt>
                <c:pt idx="976" formatCode="General">
                  <c:v>650</c:v>
                </c:pt>
                <c:pt idx="977" formatCode="General">
                  <c:v>690</c:v>
                </c:pt>
                <c:pt idx="978" formatCode="General">
                  <c:v>700</c:v>
                </c:pt>
                <c:pt idx="979" formatCode="General">
                  <c:v>700</c:v>
                </c:pt>
                <c:pt idx="980" formatCode="General">
                  <c:v>700</c:v>
                </c:pt>
                <c:pt idx="981" formatCode="General">
                  <c:v>700</c:v>
                </c:pt>
                <c:pt idx="982" formatCode="General">
                  <c:v>700</c:v>
                </c:pt>
                <c:pt idx="983" formatCode="General">
                  <c:v>700</c:v>
                </c:pt>
                <c:pt idx="984" formatCode="General">
                  <c:v>700</c:v>
                </c:pt>
                <c:pt idx="985" formatCode="General">
                  <c:v>700</c:v>
                </c:pt>
                <c:pt idx="986" formatCode="General">
                  <c:v>700</c:v>
                </c:pt>
                <c:pt idx="987" formatCode="General">
                  <c:v>700</c:v>
                </c:pt>
                <c:pt idx="988" formatCode="General">
                  <c:v>700</c:v>
                </c:pt>
                <c:pt idx="989" formatCode="General">
                  <c:v>730</c:v>
                </c:pt>
                <c:pt idx="990" formatCode="General">
                  <c:v>750</c:v>
                </c:pt>
                <c:pt idx="991" formatCode="General">
                  <c:v>750</c:v>
                </c:pt>
                <c:pt idx="992" formatCode="General">
                  <c:v>750</c:v>
                </c:pt>
                <c:pt idx="993" formatCode="General">
                  <c:v>750</c:v>
                </c:pt>
                <c:pt idx="994" formatCode="General">
                  <c:v>750</c:v>
                </c:pt>
                <c:pt idx="995" formatCode="General">
                  <c:v>800</c:v>
                </c:pt>
                <c:pt idx="996" formatCode="General">
                  <c:v>800</c:v>
                </c:pt>
                <c:pt idx="997" formatCode="General">
                  <c:v>800</c:v>
                </c:pt>
                <c:pt idx="998" formatCode="General">
                  <c:v>800</c:v>
                </c:pt>
                <c:pt idx="999" formatCode="General">
                  <c:v>800</c:v>
                </c:pt>
                <c:pt idx="1000" formatCode="General">
                  <c:v>800</c:v>
                </c:pt>
                <c:pt idx="1001" formatCode="General">
                  <c:v>800</c:v>
                </c:pt>
                <c:pt idx="1002" formatCode="General">
                  <c:v>800</c:v>
                </c:pt>
                <c:pt idx="1003" formatCode="General">
                  <c:v>800</c:v>
                </c:pt>
                <c:pt idx="1004" formatCode="General">
                  <c:v>800</c:v>
                </c:pt>
                <c:pt idx="1005" formatCode="General">
                  <c:v>800</c:v>
                </c:pt>
                <c:pt idx="1006" formatCode="General">
                  <c:v>800</c:v>
                </c:pt>
                <c:pt idx="1007" formatCode="General">
                  <c:v>820</c:v>
                </c:pt>
                <c:pt idx="1008" formatCode="General">
                  <c:v>840</c:v>
                </c:pt>
                <c:pt idx="1009" formatCode="General">
                  <c:v>892</c:v>
                </c:pt>
                <c:pt idx="1010" formatCode="General">
                  <c:v>900</c:v>
                </c:pt>
                <c:pt idx="1011" formatCode="General">
                  <c:v>900</c:v>
                </c:pt>
                <c:pt idx="1012" formatCode="General">
                  <c:v>900</c:v>
                </c:pt>
                <c:pt idx="1013" formatCode="General">
                  <c:v>900</c:v>
                </c:pt>
                <c:pt idx="1014" formatCode="General">
                  <c:v>950</c:v>
                </c:pt>
                <c:pt idx="1015" formatCode="General">
                  <c:v>995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1000</c:v>
                </c:pt>
                <c:pt idx="1021">
                  <c:v>1000</c:v>
                </c:pt>
                <c:pt idx="1022">
                  <c:v>1000</c:v>
                </c:pt>
                <c:pt idx="1023">
                  <c:v>1000</c:v>
                </c:pt>
                <c:pt idx="1024">
                  <c:v>1000</c:v>
                </c:pt>
                <c:pt idx="1025">
                  <c:v>1000</c:v>
                </c:pt>
                <c:pt idx="1026">
                  <c:v>1000</c:v>
                </c:pt>
                <c:pt idx="1027">
                  <c:v>1000</c:v>
                </c:pt>
                <c:pt idx="1028">
                  <c:v>1000</c:v>
                </c:pt>
                <c:pt idx="1029">
                  <c:v>1000</c:v>
                </c:pt>
                <c:pt idx="1030">
                  <c:v>1000</c:v>
                </c:pt>
                <c:pt idx="1031">
                  <c:v>1000</c:v>
                </c:pt>
                <c:pt idx="1032">
                  <c:v>1000</c:v>
                </c:pt>
                <c:pt idx="1033">
                  <c:v>1000</c:v>
                </c:pt>
                <c:pt idx="1034">
                  <c:v>1000</c:v>
                </c:pt>
                <c:pt idx="1035">
                  <c:v>1000</c:v>
                </c:pt>
                <c:pt idx="1036">
                  <c:v>1000</c:v>
                </c:pt>
                <c:pt idx="1037">
                  <c:v>1000</c:v>
                </c:pt>
                <c:pt idx="1038">
                  <c:v>1000</c:v>
                </c:pt>
                <c:pt idx="1039">
                  <c:v>1000</c:v>
                </c:pt>
                <c:pt idx="1040">
                  <c:v>1100</c:v>
                </c:pt>
                <c:pt idx="1041">
                  <c:v>1170</c:v>
                </c:pt>
                <c:pt idx="1042">
                  <c:v>1180</c:v>
                </c:pt>
                <c:pt idx="1043">
                  <c:v>1200</c:v>
                </c:pt>
                <c:pt idx="1044">
                  <c:v>1200</c:v>
                </c:pt>
                <c:pt idx="1045">
                  <c:v>1200</c:v>
                </c:pt>
                <c:pt idx="1046">
                  <c:v>1200</c:v>
                </c:pt>
                <c:pt idx="1047">
                  <c:v>1200</c:v>
                </c:pt>
                <c:pt idx="1048">
                  <c:v>1200</c:v>
                </c:pt>
                <c:pt idx="1049">
                  <c:v>1300</c:v>
                </c:pt>
                <c:pt idx="1050">
                  <c:v>1400</c:v>
                </c:pt>
                <c:pt idx="1051">
                  <c:v>1400</c:v>
                </c:pt>
                <c:pt idx="1052">
                  <c:v>1400</c:v>
                </c:pt>
                <c:pt idx="1053">
                  <c:v>1400</c:v>
                </c:pt>
                <c:pt idx="1054">
                  <c:v>1400</c:v>
                </c:pt>
                <c:pt idx="1055">
                  <c:v>1500</c:v>
                </c:pt>
                <c:pt idx="1056">
                  <c:v>1500</c:v>
                </c:pt>
                <c:pt idx="1057">
                  <c:v>1500</c:v>
                </c:pt>
                <c:pt idx="1058">
                  <c:v>1500</c:v>
                </c:pt>
                <c:pt idx="1059">
                  <c:v>1500</c:v>
                </c:pt>
                <c:pt idx="1060">
                  <c:v>1500</c:v>
                </c:pt>
                <c:pt idx="1061">
                  <c:v>1500</c:v>
                </c:pt>
                <c:pt idx="1062">
                  <c:v>1500</c:v>
                </c:pt>
                <c:pt idx="1063">
                  <c:v>1500</c:v>
                </c:pt>
                <c:pt idx="1064">
                  <c:v>1500</c:v>
                </c:pt>
                <c:pt idx="1065">
                  <c:v>1500</c:v>
                </c:pt>
                <c:pt idx="1066">
                  <c:v>1500</c:v>
                </c:pt>
                <c:pt idx="1067">
                  <c:v>1500</c:v>
                </c:pt>
                <c:pt idx="1068">
                  <c:v>1500</c:v>
                </c:pt>
                <c:pt idx="1069">
                  <c:v>1500</c:v>
                </c:pt>
                <c:pt idx="1070">
                  <c:v>1500</c:v>
                </c:pt>
                <c:pt idx="1071">
                  <c:v>1500</c:v>
                </c:pt>
                <c:pt idx="1072">
                  <c:v>1500</c:v>
                </c:pt>
                <c:pt idx="1073">
                  <c:v>1500</c:v>
                </c:pt>
                <c:pt idx="1074">
                  <c:v>1680</c:v>
                </c:pt>
                <c:pt idx="1075">
                  <c:v>1800</c:v>
                </c:pt>
                <c:pt idx="1076">
                  <c:v>2000</c:v>
                </c:pt>
                <c:pt idx="1077">
                  <c:v>2000</c:v>
                </c:pt>
                <c:pt idx="1078">
                  <c:v>2000</c:v>
                </c:pt>
                <c:pt idx="1079">
                  <c:v>2000</c:v>
                </c:pt>
                <c:pt idx="1080">
                  <c:v>2000</c:v>
                </c:pt>
                <c:pt idx="1081">
                  <c:v>2000</c:v>
                </c:pt>
                <c:pt idx="1082">
                  <c:v>2000</c:v>
                </c:pt>
                <c:pt idx="1083">
                  <c:v>2000</c:v>
                </c:pt>
                <c:pt idx="1084">
                  <c:v>2000</c:v>
                </c:pt>
                <c:pt idx="1085">
                  <c:v>2000</c:v>
                </c:pt>
                <c:pt idx="1086">
                  <c:v>2000</c:v>
                </c:pt>
                <c:pt idx="1087">
                  <c:v>2000</c:v>
                </c:pt>
                <c:pt idx="1088">
                  <c:v>2000</c:v>
                </c:pt>
                <c:pt idx="1089">
                  <c:v>2000</c:v>
                </c:pt>
                <c:pt idx="1090">
                  <c:v>2100</c:v>
                </c:pt>
                <c:pt idx="1091">
                  <c:v>2250</c:v>
                </c:pt>
                <c:pt idx="1092">
                  <c:v>2400</c:v>
                </c:pt>
                <c:pt idx="1093">
                  <c:v>2500</c:v>
                </c:pt>
                <c:pt idx="1094">
                  <c:v>2500</c:v>
                </c:pt>
                <c:pt idx="1095">
                  <c:v>2500</c:v>
                </c:pt>
                <c:pt idx="1096">
                  <c:v>2500</c:v>
                </c:pt>
                <c:pt idx="1097">
                  <c:v>2700</c:v>
                </c:pt>
                <c:pt idx="1098">
                  <c:v>2800</c:v>
                </c:pt>
                <c:pt idx="1099">
                  <c:v>2800</c:v>
                </c:pt>
                <c:pt idx="1100">
                  <c:v>2900</c:v>
                </c:pt>
                <c:pt idx="1101">
                  <c:v>3000</c:v>
                </c:pt>
                <c:pt idx="1102">
                  <c:v>3000</c:v>
                </c:pt>
                <c:pt idx="1103">
                  <c:v>3000</c:v>
                </c:pt>
                <c:pt idx="1104">
                  <c:v>3000</c:v>
                </c:pt>
                <c:pt idx="1105">
                  <c:v>3000</c:v>
                </c:pt>
                <c:pt idx="1106">
                  <c:v>3000</c:v>
                </c:pt>
                <c:pt idx="1107">
                  <c:v>3000</c:v>
                </c:pt>
                <c:pt idx="1108">
                  <c:v>3000</c:v>
                </c:pt>
                <c:pt idx="1109">
                  <c:v>3000</c:v>
                </c:pt>
                <c:pt idx="1110">
                  <c:v>3000</c:v>
                </c:pt>
                <c:pt idx="1111">
                  <c:v>3600</c:v>
                </c:pt>
                <c:pt idx="1112">
                  <c:v>4000</c:v>
                </c:pt>
                <c:pt idx="1113">
                  <c:v>4000</c:v>
                </c:pt>
                <c:pt idx="1114">
                  <c:v>4000</c:v>
                </c:pt>
                <c:pt idx="1115">
                  <c:v>4000</c:v>
                </c:pt>
                <c:pt idx="1116">
                  <c:v>4500</c:v>
                </c:pt>
                <c:pt idx="1117">
                  <c:v>4500</c:v>
                </c:pt>
                <c:pt idx="1118">
                  <c:v>5000</c:v>
                </c:pt>
                <c:pt idx="1119">
                  <c:v>5600</c:v>
                </c:pt>
                <c:pt idx="1120">
                  <c:v>7200</c:v>
                </c:pt>
                <c:pt idx="1121">
                  <c:v>7500</c:v>
                </c:pt>
                <c:pt idx="1122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AD-EA47-AA27-F27824E9E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9801056"/>
        <c:axId val="-2060275008"/>
      </c:scatterChart>
      <c:valAx>
        <c:axId val="177980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0275008"/>
        <c:crosses val="autoZero"/>
        <c:crossBetween val="midCat"/>
      </c:valAx>
      <c:valAx>
        <c:axId val="-20602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80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Население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Forecast!$G$3</c:f>
              <c:strCache>
                <c:ptCount val="1"/>
                <c:pt idx="0">
                  <c:v>Таджикистан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Forecast!$F$4:$F$30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cat>
          <c:val>
            <c:numRef>
              <c:f>Forecast!$G$4:$G$30</c:f>
              <c:numCache>
                <c:formatCode>_(* #,##0_);_(* \(#,##0\);_(* "-"??_);_(@_)</c:formatCode>
                <c:ptCount val="27"/>
                <c:pt idx="0">
                  <c:v>6000000</c:v>
                </c:pt>
                <c:pt idx="1">
                  <c:v>6125876</c:v>
                </c:pt>
                <c:pt idx="2">
                  <c:v>6253454</c:v>
                </c:pt>
                <c:pt idx="3">
                  <c:v>6373381</c:v>
                </c:pt>
                <c:pt idx="4">
                  <c:v>6501509</c:v>
                </c:pt>
                <c:pt idx="5">
                  <c:v>6643962</c:v>
                </c:pt>
                <c:pt idx="6">
                  <c:v>6772797</c:v>
                </c:pt>
                <c:pt idx="7">
                  <c:v>6915879</c:v>
                </c:pt>
                <c:pt idx="8">
                  <c:v>7053031</c:v>
                </c:pt>
                <c:pt idx="9">
                  <c:v>7183669</c:v>
                </c:pt>
                <c:pt idx="10">
                  <c:v>7325867</c:v>
                </c:pt>
                <c:pt idx="11">
                  <c:v>7485426</c:v>
                </c:pt>
                <c:pt idx="12">
                  <c:v>7637847</c:v>
                </c:pt>
                <c:pt idx="13">
                  <c:v>7788748</c:v>
                </c:pt>
                <c:pt idx="14">
                  <c:v>7954677</c:v>
                </c:pt>
                <c:pt idx="15">
                  <c:v>8106241</c:v>
                </c:pt>
                <c:pt idx="16">
                  <c:v>8281201</c:v>
                </c:pt>
                <c:pt idx="17">
                  <c:v>8446120</c:v>
                </c:pt>
                <c:pt idx="18">
                  <c:v>8609308</c:v>
                </c:pt>
                <c:pt idx="19">
                  <c:v>8780717</c:v>
                </c:pt>
                <c:pt idx="20">
                  <c:v>8955199</c:v>
                </c:pt>
                <c:pt idx="21">
                  <c:v>9125420</c:v>
                </c:pt>
                <c:pt idx="22">
                  <c:v>9319802</c:v>
                </c:pt>
                <c:pt idx="23">
                  <c:v>9501900</c:v>
                </c:pt>
                <c:pt idx="24">
                  <c:v>9698840</c:v>
                </c:pt>
                <c:pt idx="25">
                  <c:v>9835811</c:v>
                </c:pt>
                <c:pt idx="26">
                  <c:v>10028882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30-9F4E-8BAA-20C20FA185B4}"/>
            </c:ext>
          </c:extLst>
        </c:ser>
        <c:ser>
          <c:idx val="1"/>
          <c:order val="1"/>
          <c:tx>
            <c:strRef>
              <c:f>Forecast!$H$3</c:f>
              <c:strCache>
                <c:ptCount val="1"/>
                <c:pt idx="0">
                  <c:v>Узбекистан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Forecast!$F$4:$F$30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cat>
          <c:val>
            <c:numRef>
              <c:f>Forecast!$H$4:$H$30</c:f>
              <c:numCache>
                <c:formatCode>_(* #,##0_);_(* \(#,##0\);_(* "-"??_);_(@_)</c:formatCode>
                <c:ptCount val="27"/>
                <c:pt idx="0">
                  <c:v>20400000</c:v>
                </c:pt>
                <c:pt idx="1">
                  <c:v>20846516</c:v>
                </c:pt>
                <c:pt idx="2">
                  <c:v>21289483</c:v>
                </c:pt>
                <c:pt idx="3">
                  <c:v>21740639</c:v>
                </c:pt>
                <c:pt idx="4">
                  <c:v>22206007</c:v>
                </c:pt>
                <c:pt idx="5">
                  <c:v>22658115</c:v>
                </c:pt>
                <c:pt idx="6">
                  <c:v>23069186</c:v>
                </c:pt>
                <c:pt idx="7">
                  <c:v>23511307</c:v>
                </c:pt>
                <c:pt idx="8">
                  <c:v>23956311</c:v>
                </c:pt>
                <c:pt idx="9">
                  <c:v>24424463</c:v>
                </c:pt>
                <c:pt idx="10">
                  <c:v>24883578</c:v>
                </c:pt>
                <c:pt idx="11">
                  <c:v>25368987</c:v>
                </c:pt>
                <c:pt idx="12">
                  <c:v>25858973</c:v>
                </c:pt>
                <c:pt idx="13">
                  <c:v>26421369</c:v>
                </c:pt>
                <c:pt idx="14">
                  <c:v>26934795</c:v>
                </c:pt>
                <c:pt idx="15">
                  <c:v>27470650</c:v>
                </c:pt>
                <c:pt idx="16">
                  <c:v>28060885</c:v>
                </c:pt>
                <c:pt idx="17">
                  <c:v>28576468</c:v>
                </c:pt>
                <c:pt idx="18">
                  <c:v>29144360</c:v>
                </c:pt>
                <c:pt idx="19">
                  <c:v>29752418</c:v>
                </c:pt>
                <c:pt idx="20">
                  <c:v>30347751</c:v>
                </c:pt>
                <c:pt idx="21">
                  <c:v>30940876</c:v>
                </c:pt>
                <c:pt idx="22">
                  <c:v>31570674</c:v>
                </c:pt>
                <c:pt idx="23">
                  <c:v>32227472</c:v>
                </c:pt>
                <c:pt idx="24">
                  <c:v>32877095</c:v>
                </c:pt>
                <c:pt idx="25">
                  <c:v>33329856</c:v>
                </c:pt>
                <c:pt idx="26">
                  <c:v>34030861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30-9F4E-8BAA-20C20FA18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3584816"/>
        <c:axId val="1779901840"/>
      </c:lineChart>
      <c:catAx>
        <c:axId val="175358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901840"/>
        <c:crosses val="autoZero"/>
        <c:auto val="1"/>
        <c:lblAlgn val="ctr"/>
        <c:lblOffset val="100"/>
        <c:noMultiLvlLbl val="0"/>
      </c:catAx>
      <c:valAx>
        <c:axId val="177990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848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 year ahead forecast 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Forecast!$G$3</c:f>
              <c:strCache>
                <c:ptCount val="1"/>
                <c:pt idx="0">
                  <c:v>Таджикистан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"/>
            <c:dispRSqr val="0"/>
            <c:dispEq val="0"/>
          </c:trendline>
          <c:xVal>
            <c:numRef>
              <c:f>Forecast!$F$4:$F$30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numCache>
            </c:numRef>
          </c:xVal>
          <c:yVal>
            <c:numRef>
              <c:f>Forecast!$G$4:$G$30</c:f>
              <c:numCache>
                <c:formatCode>_(* #,##0_);_(* \(#,##0\);_(* "-"??_);_(@_)</c:formatCode>
                <c:ptCount val="27"/>
                <c:pt idx="0">
                  <c:v>6000000</c:v>
                </c:pt>
                <c:pt idx="1">
                  <c:v>6125876</c:v>
                </c:pt>
                <c:pt idx="2">
                  <c:v>6253454</c:v>
                </c:pt>
                <c:pt idx="3">
                  <c:v>6373381</c:v>
                </c:pt>
                <c:pt idx="4">
                  <c:v>6501509</c:v>
                </c:pt>
                <c:pt idx="5">
                  <c:v>6643962</c:v>
                </c:pt>
                <c:pt idx="6">
                  <c:v>6772797</c:v>
                </c:pt>
                <c:pt idx="7">
                  <c:v>6915879</c:v>
                </c:pt>
                <c:pt idx="8">
                  <c:v>7053031</c:v>
                </c:pt>
                <c:pt idx="9">
                  <c:v>7183669</c:v>
                </c:pt>
                <c:pt idx="10">
                  <c:v>7325867</c:v>
                </c:pt>
                <c:pt idx="11">
                  <c:v>7485426</c:v>
                </c:pt>
                <c:pt idx="12">
                  <c:v>7637847</c:v>
                </c:pt>
                <c:pt idx="13">
                  <c:v>7788748</c:v>
                </c:pt>
                <c:pt idx="14">
                  <c:v>7954677</c:v>
                </c:pt>
                <c:pt idx="15">
                  <c:v>8106241</c:v>
                </c:pt>
                <c:pt idx="16">
                  <c:v>8281201</c:v>
                </c:pt>
                <c:pt idx="17">
                  <c:v>8446120</c:v>
                </c:pt>
                <c:pt idx="18">
                  <c:v>8609308</c:v>
                </c:pt>
                <c:pt idx="19">
                  <c:v>8780717</c:v>
                </c:pt>
                <c:pt idx="20">
                  <c:v>8955199</c:v>
                </c:pt>
                <c:pt idx="21">
                  <c:v>9125420</c:v>
                </c:pt>
                <c:pt idx="22">
                  <c:v>9319802</c:v>
                </c:pt>
                <c:pt idx="23">
                  <c:v>9501900</c:v>
                </c:pt>
                <c:pt idx="24">
                  <c:v>9698840</c:v>
                </c:pt>
                <c:pt idx="25">
                  <c:v>9835811</c:v>
                </c:pt>
                <c:pt idx="26">
                  <c:v>10028882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9D-7C43-8E8F-5B413E240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252672"/>
        <c:axId val="1781188192"/>
      </c:scatterChart>
      <c:valAx>
        <c:axId val="178325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88192"/>
        <c:crosses val="autoZero"/>
        <c:crossBetween val="midCat"/>
      </c:valAx>
      <c:valAx>
        <c:axId val="1781188192"/>
        <c:scaling>
          <c:orientation val="minMax"/>
          <c:min val="6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252672"/>
        <c:crosses val="autoZero"/>
        <c:crossBetween val="midCat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769408</xdr:colOff>
      <xdr:row>1</xdr:row>
      <xdr:rowOff>64406</xdr:rowOff>
    </xdr:from>
    <xdr:to>
      <xdr:col>8</xdr:col>
      <xdr:colOff>147411</xdr:colOff>
      <xdr:row>14</xdr:row>
      <xdr:rowOff>90714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312056</xdr:colOff>
      <xdr:row>1</xdr:row>
      <xdr:rowOff>111127</xdr:rowOff>
    </xdr:from>
    <xdr:to>
      <xdr:col>9</xdr:col>
      <xdr:colOff>805089</xdr:colOff>
      <xdr:row>11</xdr:row>
      <xdr:rowOff>11341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оличество лиц в семье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оличество лиц в семье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32860" y="303895"/>
              <a:ext cx="1626961" cy="182789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lang="en-US" sz="1100"/>
            </a:p>
          </xdr:txBody>
        </xdr:sp>
      </mc:Fallback>
    </mc:AlternateContent>
    <xdr:clientData/>
  </xdr:twoCellAnchor>
  <xdr:twoCellAnchor>
    <xdr:from>
      <xdr:col>3</xdr:col>
      <xdr:colOff>805087</xdr:colOff>
      <xdr:row>16</xdr:row>
      <xdr:rowOff>90714</xdr:rowOff>
    </xdr:from>
    <xdr:to>
      <xdr:col>10</xdr:col>
      <xdr:colOff>102052</xdr:colOff>
      <xdr:row>31</xdr:row>
      <xdr:rowOff>136071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622300</xdr:colOff>
      <xdr:row>4</xdr:row>
      <xdr:rowOff>63500</xdr:rowOff>
    </xdr:from>
    <xdr:to>
      <xdr:col>11</xdr:col>
      <xdr:colOff>482600</xdr:colOff>
      <xdr:row>18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2</xdr:row>
      <xdr:rowOff>25400</xdr:rowOff>
    </xdr:from>
    <xdr:to>
      <xdr:col>14</xdr:col>
      <xdr:colOff>768350</xdr:colOff>
      <xdr:row>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374650</xdr:colOff>
      <xdr:row>18</xdr:row>
      <xdr:rowOff>63500</xdr:rowOff>
    </xdr:from>
    <xdr:to>
      <xdr:col>14</xdr:col>
      <xdr:colOff>819150</xdr:colOff>
      <xdr:row>32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571500</xdr:colOff>
      <xdr:row>13</xdr:row>
      <xdr:rowOff>177800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оличество лиц в семье 2">
              <a:extLst>
                <a:ext uri="{FF2B5EF4-FFF2-40B4-BE49-F238E27FC236}">
                  <a16:creationId xmlns:a16="http://schemas.microsoft.com/office/drawing/2014/main" id="{00000000-0008-0000-07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оличество лиц в семье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04000" y="190500"/>
              <a:ext cx="2222500" cy="2463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lang="en-US" sz="1100"/>
            </a:p>
          </xdr:txBody>
        </xdr:sp>
      </mc:Fallback>
    </mc:AlternateContent>
    <xdr:clientData/>
  </xdr:twoCellAnchor>
  <xdr:twoCellAnchor>
    <xdr:from>
      <xdr:col>0</xdr:col>
      <xdr:colOff>12701</xdr:colOff>
      <xdr:row>22</xdr:row>
      <xdr:rowOff>38100</xdr:rowOff>
    </xdr:from>
    <xdr:to>
      <xdr:col>7</xdr:col>
      <xdr:colOff>12700</xdr:colOff>
      <xdr:row>37</xdr:row>
      <xdr:rowOff>117475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22</xdr:row>
      <xdr:rowOff>38100</xdr:rowOff>
    </xdr:from>
    <xdr:to>
      <xdr:col>14</xdr:col>
      <xdr:colOff>787400</xdr:colOff>
      <xdr:row>38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44</xdr:row>
      <xdr:rowOff>50800</xdr:rowOff>
    </xdr:from>
    <xdr:to>
      <xdr:col>6</xdr:col>
      <xdr:colOff>787400</xdr:colOff>
      <xdr:row>60</xdr:row>
      <xdr:rowOff>139700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203200</xdr:colOff>
      <xdr:row>44</xdr:row>
      <xdr:rowOff>25400</xdr:rowOff>
    </xdr:from>
    <xdr:to>
      <xdr:col>14</xdr:col>
      <xdr:colOff>812800</xdr:colOff>
      <xdr:row>61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99.601386921298" createdVersion="4" refreshedVersion="4" minRefreshableVersion="3" recordCount="1123" xr:uid="{00000000-000A-0000-FFFF-FFFF18000000}">
  <cacheSource type="worksheet">
    <worksheetSource ref="A1:J1124" sheet="3"/>
  </cacheSource>
  <cacheFields count="11">
    <cacheField name="Номер Семьи" numFmtId="1">
      <sharedItems containsSemiMixedTypes="0" containsString="0" containsNumber="1" containsInteger="1" minValue="83" maxValue="6982" count="1123">
        <n v="2931"/>
        <n v="3225"/>
        <n v="2551"/>
        <n v="3160"/>
        <n v="2637"/>
        <n v="2472"/>
        <n v="2922"/>
        <n v="2660"/>
        <n v="2541"/>
        <n v="2361"/>
        <n v="2329"/>
        <n v="2930"/>
        <n v="1975"/>
        <n v="2523"/>
        <n v="1867"/>
        <n v="1999"/>
        <n v="2794"/>
        <n v="3048"/>
        <n v="3114"/>
        <n v="2202"/>
        <n v="3272"/>
        <n v="2363"/>
        <n v="2778"/>
        <n v="2479"/>
        <n v="2407"/>
        <n v="3119"/>
        <n v="3237"/>
        <n v="2654"/>
        <n v="2433"/>
        <n v="2328"/>
        <n v="2351"/>
        <n v="2978"/>
        <n v="2827"/>
        <n v="5664"/>
        <n v="2384"/>
        <n v="6222"/>
        <n v="2518"/>
        <n v="2767"/>
        <n v="2619"/>
        <n v="2539"/>
        <n v="3010"/>
        <n v="2645"/>
        <n v="2659"/>
        <n v="2354"/>
        <n v="2327"/>
        <n v="2410"/>
        <n v="3236"/>
        <n v="1966"/>
        <n v="2394"/>
        <n v="569"/>
        <n v="2038"/>
        <n v="3264"/>
        <n v="2768"/>
        <n v="1585"/>
        <n v="2516"/>
        <n v="2658"/>
        <n v="2928"/>
        <n v="2538"/>
        <n v="3223"/>
        <n v="2532"/>
        <n v="3089"/>
        <n v="2547"/>
        <n v="2326"/>
        <n v="2716"/>
        <n v="2357"/>
        <n v="2641"/>
        <n v="2122"/>
        <n v="1638"/>
        <n v="5044"/>
        <n v="529"/>
        <n v="2300"/>
        <n v="2323"/>
        <n v="3079"/>
        <n v="2727"/>
        <n v="2301"/>
        <n v="2986"/>
        <n v="2468"/>
        <n v="2577"/>
        <n v="3013"/>
        <n v="1818"/>
        <n v="3227"/>
        <n v="2448"/>
        <n v="2544"/>
        <n v="2571"/>
        <n v="2391"/>
        <n v="2542"/>
        <n v="2994"/>
        <n v="3001"/>
        <n v="1768"/>
        <n v="6821"/>
        <n v="1898"/>
        <n v="2525"/>
        <n v="3083"/>
        <n v="2522"/>
        <n v="2537"/>
        <n v="1942"/>
        <n v="2524"/>
        <n v="2761"/>
        <n v="2601"/>
        <n v="2332"/>
        <n v="2340"/>
        <n v="2435"/>
        <n v="1406"/>
        <n v="2149"/>
        <n v="2688"/>
        <n v="1974"/>
        <n v="1877"/>
        <n v="6461"/>
        <n v="1815"/>
        <n v="3296"/>
        <n v="2770"/>
        <n v="2334"/>
        <n v="3279"/>
        <n v="6201"/>
        <n v="1781"/>
        <n v="6344"/>
        <n v="1418"/>
        <n v="1704"/>
        <n v="1991"/>
        <n v="2596"/>
        <n v="3228"/>
        <n v="2219"/>
        <n v="759"/>
        <n v="1783"/>
        <n v="5032"/>
        <n v="2314"/>
        <n v="2392"/>
        <n v="2521"/>
        <n v="2863"/>
        <n v="3161"/>
        <n v="2987"/>
        <n v="2804"/>
        <n v="6741"/>
        <n v="2233"/>
        <n v="2533"/>
        <n v="3259"/>
        <n v="2426"/>
        <n v="2650"/>
        <n v="2180"/>
        <n v="2156"/>
        <n v="2512"/>
        <n v="1852"/>
        <n v="2562"/>
        <n v="5601"/>
        <n v="5921"/>
        <n v="2405"/>
        <n v="2640"/>
        <n v="3065"/>
        <n v="2337"/>
        <n v="2698"/>
        <n v="2425"/>
        <n v="2624"/>
        <n v="6128"/>
        <n v="1625"/>
        <n v="3070"/>
        <n v="2398"/>
        <n v="5150"/>
        <n v="6243"/>
        <n v="1785"/>
        <n v="1692"/>
        <n v="3007"/>
        <n v="6663"/>
        <n v="6961"/>
        <n v="1734"/>
        <n v="2325"/>
        <n v="2639"/>
        <n v="1574"/>
        <n v="1685"/>
        <n v="2369"/>
        <n v="2666"/>
        <n v="2611"/>
        <n v="6164"/>
        <n v="2971"/>
        <n v="5021"/>
        <n v="834"/>
        <n v="2509"/>
        <n v="3045"/>
        <n v="917"/>
        <n v="1926"/>
        <n v="2696"/>
        <n v="6043"/>
        <n v="1405"/>
        <n v="544"/>
        <n v="2135"/>
        <n v="2923"/>
        <n v="2148"/>
        <n v="805"/>
        <n v="1607"/>
        <n v="1959"/>
        <n v="3054"/>
        <n v="2053"/>
        <n v="2610"/>
        <n v="2652"/>
        <n v="2902"/>
        <n v="5143"/>
        <n v="3232"/>
        <n v="2367"/>
        <n v="2605"/>
        <n v="532"/>
        <n v="3129"/>
        <n v="2174"/>
        <n v="1624"/>
        <n v="2217"/>
        <n v="2907"/>
        <n v="3295"/>
        <n v="83"/>
        <n v="2701"/>
        <n v="1934"/>
        <n v="2600"/>
        <n v="2374"/>
        <n v="2765"/>
        <n v="1831"/>
        <n v="154"/>
        <n v="2795"/>
        <n v="3258"/>
        <n v="5381"/>
        <n v="781"/>
        <n v="1502"/>
        <n v="2616"/>
        <n v="2932"/>
        <n v="3063"/>
        <n v="6981"/>
        <n v="2515"/>
        <n v="1821"/>
        <n v="2018"/>
        <n v="3145"/>
        <n v="2393"/>
        <n v="2807"/>
        <n v="3186"/>
        <n v="3254"/>
        <n v="2837"/>
        <n v="1866"/>
        <n v="2912"/>
        <n v="3166"/>
        <n v="3120"/>
        <n v="2694"/>
        <n v="1819"/>
        <n v="5012"/>
        <n v="6244"/>
        <n v="1535"/>
        <n v="1703"/>
        <n v="6642"/>
        <n v="1813"/>
        <n v="1842"/>
        <n v="2389"/>
        <n v="3068"/>
        <n v="5208"/>
        <n v="5221"/>
        <n v="6247"/>
        <n v="6361"/>
        <n v="2678"/>
        <n v="5002"/>
        <n v="2009"/>
        <n v="2197"/>
        <n v="1247"/>
        <n v="1948"/>
        <n v="2581"/>
        <n v="2649"/>
        <n v="2913"/>
        <n v="3049"/>
        <n v="3229"/>
        <n v="1397"/>
        <n v="1967"/>
        <n v="2558"/>
        <n v="2646"/>
        <n v="2755"/>
        <n v="1980"/>
        <n v="2653"/>
        <n v="2108"/>
        <n v="2473"/>
        <n v="1954"/>
        <n v="2211"/>
        <n v="2882"/>
        <n v="1836"/>
        <n v="2776"/>
        <n v="1805"/>
        <n v="3097"/>
        <n v="2927"/>
        <n v="2338"/>
        <n v="1901"/>
        <n v="2711"/>
        <n v="2378"/>
        <n v="2434"/>
        <n v="1665"/>
        <n v="2185"/>
        <n v="2633"/>
        <n v="3282"/>
        <n v="2263"/>
        <n v="1567"/>
        <n v="1983"/>
        <n v="2288"/>
        <n v="5124"/>
        <n v="6163"/>
        <n v="2609"/>
        <n v="2157"/>
        <n v="2623"/>
        <n v="3101"/>
        <n v="2032"/>
        <n v="3244"/>
        <n v="1292"/>
        <n v="1560"/>
        <n v="1573"/>
        <n v="1709"/>
        <n v="1965"/>
        <n v="2348"/>
        <n v="2458"/>
        <n v="2535"/>
        <n v="2588"/>
        <n v="2972"/>
        <n v="1956"/>
        <n v="2873"/>
        <n v="5822"/>
        <n v="1736"/>
        <n v="1576"/>
        <n v="1654"/>
        <n v="2132"/>
        <n v="2291"/>
        <n v="2305"/>
        <n v="2306"/>
        <n v="2350"/>
        <n v="2480"/>
        <n v="2743"/>
        <n v="3275"/>
        <n v="1978"/>
        <n v="1720"/>
        <n v="1739"/>
        <n v="1738"/>
        <n v="1260"/>
        <n v="2692"/>
        <n v="2811"/>
        <n v="3118"/>
        <n v="3226"/>
        <n v="2065"/>
        <n v="2080"/>
        <n v="6667"/>
        <n v="2134"/>
        <n v="3081"/>
        <n v="5162"/>
        <n v="1835"/>
        <n v="2732"/>
        <n v="2802"/>
        <n v="2004"/>
        <n v="5102"/>
        <n v="769"/>
        <n v="2630"/>
        <n v="530"/>
        <n v="1534"/>
        <n v="1995"/>
        <n v="2033"/>
        <n v="2680"/>
        <n v="2872"/>
        <n v="2985"/>
        <n v="3249"/>
        <n v="1712"/>
        <n v="1555"/>
        <n v="1824"/>
        <n v="3057"/>
        <n v="3074"/>
        <n v="3174"/>
        <n v="1937"/>
        <n v="2236"/>
        <n v="2281"/>
        <n v="2672"/>
        <n v="2760"/>
        <n v="2763"/>
        <n v="2294"/>
        <n v="2047"/>
        <n v="2051"/>
        <n v="2216"/>
        <n v="1705"/>
        <n v="1950"/>
        <n v="2813"/>
        <n v="5262"/>
        <n v="2027"/>
        <n v="2684"/>
        <n v="2151"/>
        <n v="3235"/>
        <n v="1621"/>
        <n v="2671"/>
        <n v="2677"/>
        <n v="6580"/>
        <n v="2190"/>
        <n v="6746"/>
        <n v="3104"/>
        <n v="3043"/>
        <n v="2965"/>
        <n v="3099"/>
        <n v="2285"/>
        <n v="1719"/>
        <n v="2251"/>
        <n v="2253"/>
        <n v="3192"/>
        <n v="5241"/>
        <n v="1529"/>
        <n v="2179"/>
        <n v="2513"/>
        <n v="2234"/>
        <n v="5621"/>
        <n v="2098"/>
        <n v="1571"/>
        <n v="2101"/>
        <n v="1669"/>
        <n v="2769"/>
        <n v="5189"/>
        <n v="2744"/>
        <n v="2189"/>
        <n v="2990"/>
        <n v="1777"/>
        <n v="1932"/>
        <n v="2422"/>
        <n v="2438"/>
        <n v="2505"/>
        <n v="1969"/>
        <n v="1919"/>
        <n v="2570"/>
        <n v="2423"/>
        <n v="1943"/>
        <n v="2343"/>
        <n v="2356"/>
        <n v="2402"/>
        <n v="2488"/>
        <n v="2967"/>
        <n v="3283"/>
        <n v="2687"/>
        <n v="1786"/>
        <n v="6562"/>
        <n v="2621"/>
        <n v="1931"/>
        <n v="2034"/>
        <n v="2589"/>
        <n v="2664"/>
        <n v="2665"/>
        <n v="2766"/>
        <n v="2774"/>
        <n v="6242"/>
        <n v="6743"/>
        <n v="1911"/>
        <n v="2182"/>
        <n v="910"/>
        <n v="2115"/>
        <n v="2576"/>
        <n v="2591"/>
        <n v="548"/>
        <n v="5222"/>
        <n v="1953"/>
        <n v="523"/>
        <n v="1961"/>
        <n v="2820"/>
        <n v="6231"/>
        <n v="6666"/>
        <n v="3262"/>
        <n v="5981"/>
        <n v="541"/>
        <n v="2183"/>
        <n v="2613"/>
        <n v="2152"/>
        <n v="1803"/>
        <n v="2839"/>
        <n v="1627"/>
        <n v="1681"/>
        <n v="2012"/>
        <n v="2161"/>
        <n v="2390"/>
        <n v="2710"/>
        <n v="2753"/>
        <n v="2790"/>
        <n v="2870"/>
        <n v="3102"/>
        <n v="3269"/>
        <n v="5024"/>
        <n v="2077"/>
        <n v="2321"/>
        <n v="5105"/>
        <n v="6161"/>
        <n v="2631"/>
        <n v="1825"/>
        <n v="1960"/>
        <n v="3140"/>
        <n v="2715"/>
        <n v="2000"/>
        <n v="2019"/>
        <n v="2484"/>
        <n v="2697"/>
        <n v="2810"/>
        <n v="2898"/>
        <n v="3124"/>
        <n v="3245"/>
        <n v="5562"/>
        <n v="6342"/>
        <n v="3300"/>
        <n v="2399"/>
        <n v="2213"/>
        <n v="1552"/>
        <n v="1687"/>
        <n v="1744"/>
        <n v="2416"/>
        <n v="5125"/>
        <n v="5127"/>
        <n v="2545"/>
        <n v="2072"/>
        <n v="2110"/>
        <n v="2780"/>
        <n v="2933"/>
        <n v="6248"/>
        <n v="1124"/>
        <n v="1751"/>
        <n v="1735"/>
        <n v="1927"/>
        <n v="2186"/>
        <n v="2195"/>
        <n v="2404"/>
        <n v="2803"/>
        <n v="2964"/>
        <n v="2981"/>
        <n v="2992"/>
        <n v="5561"/>
        <n v="1814"/>
        <n v="1933"/>
        <n v="1732"/>
        <n v="1753"/>
        <n v="6086"/>
        <n v="1982"/>
        <n v="1929"/>
        <n v="713"/>
        <n v="1004"/>
        <n v="1556"/>
        <n v="1683"/>
        <n v="1752"/>
        <n v="1924"/>
        <n v="1993"/>
        <n v="2172"/>
        <n v="2220"/>
        <n v="2322"/>
        <n v="2676"/>
        <n v="2861"/>
        <n v="2875"/>
        <n v="2896"/>
        <n v="2914"/>
        <n v="5008"/>
        <n v="2171"/>
        <n v="3105"/>
        <n v="2900"/>
        <n v="1531"/>
        <n v="1635"/>
        <n v="1829"/>
        <n v="2008"/>
        <n v="2295"/>
        <n v="2996"/>
        <n v="3024"/>
        <n v="3230"/>
        <n v="5181"/>
        <n v="2988"/>
        <n v="5661"/>
        <n v="2066"/>
        <n v="3088"/>
        <n v="5982"/>
        <n v="1912"/>
        <n v="6609"/>
        <n v="1710"/>
        <n v="2918"/>
        <n v="1794"/>
        <n v="1640"/>
        <n v="1123"/>
        <n v="1415"/>
        <n v="1722"/>
        <n v="1872"/>
        <n v="2010"/>
        <n v="2056"/>
        <n v="2293"/>
        <n v="2299"/>
        <n v="2312"/>
        <n v="2313"/>
        <n v="2456"/>
        <n v="2478"/>
        <n v="2565"/>
        <n v="2773"/>
        <n v="2901"/>
        <n v="3100"/>
        <n v="3107"/>
        <n v="2874"/>
        <n v="5204"/>
        <n v="2492"/>
        <n v="2170"/>
        <n v="1827"/>
        <n v="2020"/>
        <n v="2759"/>
        <n v="2750"/>
        <n v="1880"/>
        <n v="1870"/>
        <n v="1702"/>
        <n v="1861"/>
        <n v="1900"/>
        <n v="1922"/>
        <n v="2283"/>
        <n v="2308"/>
        <n v="2579"/>
        <n v="2618"/>
        <n v="2775"/>
        <n v="3125"/>
        <n v="5945"/>
        <n v="6801"/>
        <n v="2540"/>
        <n v="2043"/>
        <n v="2330"/>
        <n v="1939"/>
        <n v="1958"/>
        <n v="1984"/>
        <n v="2214"/>
        <n v="2298"/>
        <n v="2303"/>
        <n v="2526"/>
        <n v="2742"/>
        <n v="2166"/>
        <n v="2164"/>
        <n v="2176"/>
        <n v="2905"/>
        <n v="2258"/>
        <n v="1800"/>
        <n v="6802"/>
        <n v="842"/>
        <n v="1608"/>
        <n v="2232"/>
        <n v="2241"/>
        <n v="2254"/>
        <n v="2452"/>
        <n v="2511"/>
        <n v="2527"/>
        <n v="2546"/>
        <n v="2865"/>
        <n v="3092"/>
        <n v="5946"/>
        <n v="6061"/>
        <n v="2002"/>
        <n v="2178"/>
        <n v="1947"/>
        <n v="2055"/>
        <n v="2503"/>
        <n v="2504"/>
        <n v="2519"/>
        <n v="2620"/>
        <n v="2642"/>
        <n v="2231"/>
        <n v="2059"/>
        <n v="6421"/>
        <n v="2648"/>
        <n v="2045"/>
        <n v="2210"/>
        <n v="2169"/>
        <n v="3126"/>
        <n v="1649"/>
        <n v="1690"/>
        <n v="2123"/>
        <n v="3130"/>
        <n v="2159"/>
        <n v="2146"/>
        <n v="2352"/>
        <n v="2725"/>
        <n v="6241"/>
        <n v="2074"/>
        <n v="5322"/>
        <n v="1904"/>
        <n v="2939"/>
        <n v="2714"/>
        <n v="1808"/>
        <n v="797"/>
        <n v="2534"/>
        <n v="1834"/>
        <n v="1893"/>
        <n v="1952"/>
        <n v="2627"/>
        <n v="1602"/>
        <n v="2064"/>
        <n v="2120"/>
        <n v="2333"/>
        <n v="2417"/>
        <n v="2617"/>
        <n v="3141"/>
        <n v="2227"/>
        <n v="6544"/>
        <n v="2779"/>
        <n v="957"/>
        <n v="2319"/>
        <n v="2553"/>
        <n v="2756"/>
        <n v="3085"/>
        <n v="6286"/>
        <n v="2984"/>
        <n v="3213"/>
        <n v="1945"/>
        <n v="908"/>
        <n v="2007"/>
        <n v="2568"/>
        <n v="2603"/>
        <n v="2805"/>
        <n v="3190"/>
        <n v="3187"/>
        <n v="543"/>
        <n v="6221"/>
        <n v="6264"/>
        <n v="2536"/>
        <n v="3266"/>
        <n v="1741"/>
        <n v="2625"/>
        <n v="6665"/>
        <n v="1970"/>
        <n v="1633"/>
        <n v="1642"/>
        <n v="2268"/>
        <n v="2030"/>
        <n v="2762"/>
        <n v="1775"/>
        <n v="1774"/>
        <n v="1629"/>
        <n v="1673"/>
        <n v="1899"/>
        <n v="2084"/>
        <n v="2310"/>
        <n v="2316"/>
        <n v="2409"/>
        <n v="2429"/>
        <n v="2493"/>
        <n v="2655"/>
        <n v="5027"/>
        <n v="2085"/>
        <n v="3055"/>
        <n v="2005"/>
        <n v="5146"/>
        <n v="6281"/>
        <n v="1451"/>
        <n v="1600"/>
        <n v="6442"/>
        <n v="2067"/>
        <n v="3077"/>
        <n v="1572"/>
        <n v="1599"/>
        <n v="1605"/>
        <n v="1889"/>
        <n v="2121"/>
        <n v="2143"/>
        <n v="2290"/>
        <n v="2339"/>
        <n v="2712"/>
        <n v="2833"/>
        <n v="3052"/>
        <n v="3182"/>
        <n v="5122"/>
        <n v="5826"/>
        <n v="6042"/>
        <n v="2669"/>
        <n v="3053"/>
        <n v="3122"/>
        <n v="2482"/>
        <n v="870"/>
        <n v="6781"/>
        <n v="2693"/>
        <n v="1907"/>
        <n v="2690"/>
        <n v="2086"/>
        <n v="1776"/>
        <n v="6641"/>
        <n v="536"/>
        <n v="1262"/>
        <n v="1637"/>
        <n v="2311"/>
        <n v="2387"/>
        <n v="2476"/>
        <n v="2495"/>
        <n v="3170"/>
        <n v="3276"/>
        <n v="5046"/>
        <n v="5188"/>
        <n v="2764"/>
        <n v="1298"/>
        <n v="1761"/>
        <n v="3291"/>
        <n v="5047"/>
        <n v="1820"/>
        <n v="6246"/>
        <n v="2145"/>
        <n v="2782"/>
        <n v="2890"/>
        <n v="2365"/>
        <n v="915"/>
        <n v="1569"/>
        <n v="1595"/>
        <n v="1896"/>
        <n v="2040"/>
        <n v="2076"/>
        <n v="2089"/>
        <n v="2103"/>
        <n v="2395"/>
        <n v="5048"/>
        <n v="1578"/>
        <n v="2628"/>
        <n v="5049"/>
        <n v="5823"/>
        <n v="5041"/>
        <n v="1763"/>
        <n v="2193"/>
        <n v="2889"/>
        <n v="458"/>
        <n v="1521"/>
        <n v="2011"/>
        <n v="2147"/>
        <n v="2304"/>
        <n v="3202"/>
        <n v="5141"/>
        <n v="2025"/>
        <n v="6443"/>
        <n v="839"/>
        <n v="1780"/>
        <n v="1802"/>
        <n v="2091"/>
        <n v="5001"/>
        <n v="1992"/>
        <n v="2636"/>
        <n v="961"/>
        <n v="2003"/>
        <n v="2379"/>
        <n v="2466"/>
        <n v="2574"/>
        <n v="2747"/>
        <n v="2771"/>
        <n v="3056"/>
        <n v="3205"/>
        <n v="6282"/>
        <n v="6982"/>
        <n v="1565"/>
        <n v="2113"/>
        <n v="2850"/>
        <n v="1890"/>
        <n v="2397"/>
        <n v="2612"/>
        <n v="5005"/>
        <n v="5461"/>
        <n v="3128"/>
        <n v="1666"/>
        <n v="1551"/>
        <n v="2683"/>
        <n v="2490"/>
        <n v="2886"/>
        <n v="1724"/>
        <n v="1657"/>
        <n v="1754"/>
        <n v="1816"/>
        <n v="2614"/>
        <n v="2228"/>
        <n v="1887"/>
        <n v="5066"/>
        <n v="974"/>
        <n v="1795"/>
        <n v="2215"/>
        <n v="5187"/>
        <n v="2487"/>
        <n v="2260"/>
        <n v="2471"/>
        <n v="2485"/>
        <n v="1544"/>
        <n v="1628"/>
        <n v="1684"/>
        <n v="3137"/>
        <n v="2483"/>
        <n v="5881"/>
        <n v="1895"/>
        <n v="2068"/>
        <n v="2302"/>
        <n v="2224"/>
        <n v="1833"/>
        <n v="5144"/>
        <n v="2575"/>
        <n v="2921"/>
        <n v="2201"/>
        <n v="2477"/>
        <n v="2324"/>
        <n v="2689"/>
        <n v="1611"/>
        <n v="6293"/>
        <n v="2111"/>
        <n v="2440"/>
        <n v="2336"/>
        <n v="2347"/>
        <n v="2355"/>
        <n v="2582"/>
        <n v="2606"/>
        <n v="2934"/>
        <n v="5121"/>
        <n v="6245"/>
        <n v="2954"/>
        <n v="2196"/>
        <n v="6701"/>
        <n v="1740"/>
        <n v="5841"/>
        <n v="2424"/>
        <n v="2481"/>
        <n v="2408"/>
        <n v="2615"/>
        <n v="2635"/>
        <n v="2822"/>
        <n v="2854"/>
        <n v="2946"/>
        <n v="2979"/>
        <n v="5011"/>
        <n v="5147"/>
        <n v="6141"/>
        <n v="6343"/>
        <n v="5000"/>
        <n v="3149"/>
        <n v="3138"/>
        <n v="1920"/>
        <n v="2218"/>
        <n v="3134"/>
        <n v="3293"/>
        <n v="1928"/>
        <n v="2380"/>
        <n v="2447"/>
        <n v="2506"/>
        <n v="2799"/>
        <n v="2944"/>
        <n v="2949"/>
        <n v="2976"/>
        <n v="2029"/>
        <n v="1543"/>
        <n v="2499"/>
        <n v="2651"/>
        <n v="2846"/>
        <n v="3095"/>
        <n v="6662"/>
        <n v="2955"/>
        <n v="1826"/>
        <n v="6621"/>
        <n v="2899"/>
        <n v="878"/>
        <n v="1575"/>
        <n v="1643"/>
        <n v="2071"/>
        <n v="2094"/>
        <n v="2129"/>
        <n v="2272"/>
        <n v="2315"/>
        <n v="2320"/>
        <n v="2431"/>
        <n v="2550"/>
        <n v="2607"/>
        <n v="2783"/>
        <n v="2857"/>
        <n v="2945"/>
        <n v="2968"/>
        <n v="2989"/>
        <n v="2999"/>
        <n v="3075"/>
        <n v="3167"/>
        <n v="3180"/>
        <n v="3183"/>
        <n v="3233"/>
        <n v="5142"/>
        <n v="2597"/>
        <n v="167"/>
        <n v="2757"/>
        <n v="3238"/>
        <n v="2436"/>
        <n v="895"/>
        <n v="1452"/>
        <n v="1545"/>
        <n v="1695"/>
        <n v="2044"/>
        <n v="2256"/>
        <n v="2386"/>
        <n v="2444"/>
        <n v="2520"/>
        <n v="2595"/>
        <n v="2668"/>
        <n v="2947"/>
        <n v="3116"/>
        <n v="6127"/>
        <n v="5941"/>
        <n v="2309"/>
        <n v="6249"/>
        <n v="5182"/>
        <n v="2052"/>
        <n v="1721"/>
        <n v="6545"/>
        <n v="6661"/>
        <n v="1875"/>
        <n v="2158"/>
        <n v="1766"/>
        <n v="1925"/>
        <n v="2184"/>
        <n v="2464"/>
        <n v="2647"/>
        <n v="1663"/>
        <n v="2060"/>
        <n v="3132"/>
        <n v="2049"/>
        <n v="3009"/>
        <n v="6283"/>
        <n v="2629"/>
        <n v="2549"/>
        <n v="794"/>
        <n v="1419"/>
        <n v="1450"/>
        <n v="1700"/>
        <n v="1854"/>
        <n v="2015"/>
        <n v="5148"/>
        <n v="5824"/>
        <n v="6664"/>
        <n v="6861"/>
        <n v="3197"/>
        <n v="1755"/>
        <n v="3181"/>
        <n v="2230"/>
        <n v="3112"/>
        <n v="3179"/>
        <n v="5103"/>
        <n v="6804"/>
        <n v="2893"/>
        <n v="2428"/>
        <n v="2643"/>
        <n v="2246"/>
        <n v="1874"/>
        <n v="2342"/>
        <n v="5013"/>
        <n v="1746"/>
        <n v="1882"/>
        <n v="1994"/>
        <n v="2573"/>
        <n v="2707"/>
        <n v="2840"/>
        <n v="2880"/>
        <n v="3168"/>
        <n v="3255"/>
        <n v="3261"/>
        <n v="5101"/>
        <n v="5123"/>
        <n v="5145"/>
        <n v="5942"/>
        <n v="5948"/>
        <n v="6125"/>
        <n v="6288"/>
        <n v="6591"/>
        <n v="2722"/>
        <n v="5861"/>
        <n v="3267"/>
        <n v="6622"/>
        <n v="1750"/>
        <n v="812"/>
        <n v="923"/>
        <n v="2296"/>
        <n v="3178"/>
        <n v="3027"/>
        <n v="1997"/>
        <n v="2112"/>
        <n v="2841"/>
        <n v="2867"/>
        <n v="5152"/>
        <n v="1729"/>
        <n v="1743"/>
        <n v="3113"/>
        <n v="2432"/>
        <n v="6441"/>
        <n v="1964"/>
        <n v="2116"/>
        <n v="2289"/>
        <n v="2297"/>
        <n v="2346"/>
        <n v="2418"/>
        <n v="2439"/>
        <n v="2685"/>
        <n v="3106"/>
        <n v="3165"/>
        <n v="3176"/>
        <n v="5153"/>
        <n v="5943"/>
        <n v="5947"/>
        <n v="5821"/>
        <n v="3115"/>
        <n v="5010"/>
        <n v="970"/>
        <n v="1678"/>
        <n v="1996"/>
        <n v="2042"/>
        <n v="2175"/>
        <n v="2548"/>
        <n v="2656"/>
        <n v="2855"/>
        <n v="3047"/>
        <n v="5009"/>
        <n v="5064"/>
        <n v="6341"/>
        <n v="6702"/>
        <n v="2041"/>
        <n v="1773"/>
        <n v="2498"/>
        <n v="1747"/>
        <n v="1884"/>
        <n v="2462"/>
        <n v="2752"/>
        <n v="2800"/>
        <n v="2125"/>
        <n v="2682"/>
        <n v="2237"/>
        <n v="2165"/>
        <n v="2107"/>
        <n v="1523"/>
        <n v="2083"/>
        <n v="2105"/>
        <n v="2467"/>
        <n v="2491"/>
        <n v="2657"/>
        <n v="2948"/>
        <n v="3188"/>
        <n v="2557"/>
        <n v="1731"/>
        <n v="6142"/>
        <n v="2255"/>
        <n v="2871"/>
        <n v="1398"/>
        <n v="2552"/>
        <n v="3025"/>
        <n v="2199"/>
        <n v="2267"/>
        <n v="2078"/>
        <n v="6462"/>
      </sharedItems>
    </cacheField>
    <cacheField name="Регион" numFmtId="0">
      <sharedItems count="6">
        <s v="RRP"/>
        <s v="KHATLON_1"/>
        <s v="KHATLON_2"/>
        <s v="SOGD"/>
        <s v="DUSHANBE"/>
        <s v="GBAO"/>
      </sharedItems>
    </cacheField>
    <cacheField name="Доход семьи в месяц" numFmtId="0">
      <sharedItems containsSemiMixedTypes="0" containsString="0" containsNumber="1" containsInteger="1" minValue="40" maxValue="49500" count="290">
        <n v="1190"/>
        <n v="5700"/>
        <n v="4200"/>
        <n v="5280"/>
        <n v="2100"/>
        <n v="9000"/>
        <n v="3000"/>
        <n v="6000"/>
        <n v="6500"/>
        <n v="2000"/>
        <n v="3852"/>
        <n v="790"/>
        <n v="650"/>
        <n v="2775"/>
        <n v="840"/>
        <n v="7550"/>
        <n v="1550"/>
        <n v="180"/>
        <n v="600"/>
        <n v="1500"/>
        <n v="4500"/>
        <n v="4800"/>
        <n v="10300"/>
        <n v="12500"/>
        <n v="820"/>
        <n v="1850"/>
        <n v="100"/>
        <n v="1900"/>
        <n v="3840"/>
        <n v="2150"/>
        <n v="1000"/>
        <n v="2700"/>
        <n v="49500"/>
        <n v="21000"/>
        <n v="800"/>
        <n v="5350"/>
        <n v="4080"/>
        <n v="405"/>
        <n v="450"/>
        <n v="1400"/>
        <n v="685"/>
        <n v="2300"/>
        <n v="4000"/>
        <n v="5600"/>
        <n v="4250"/>
        <n v="2900"/>
        <n v="5500"/>
        <n v="3500"/>
        <n v="3600"/>
        <n v="300"/>
        <n v="360"/>
        <n v="200"/>
        <n v="8935"/>
        <n v="280"/>
        <n v="950"/>
        <n v="1700"/>
        <n v="700"/>
        <n v="1750"/>
        <n v="6700"/>
        <n v="1200"/>
        <n v="4700"/>
        <n v="1620"/>
        <n v="6050"/>
        <n v="4160"/>
        <n v="4300"/>
        <n v="7000"/>
        <n v="8350"/>
        <n v="2800"/>
        <n v="7400"/>
        <n v="9200"/>
        <n v="6200"/>
        <n v="11840"/>
        <n v="8600"/>
        <n v="11260"/>
        <n v="350"/>
        <n v="1090"/>
        <n v="1100"/>
        <n v="11200"/>
        <n v="500"/>
        <n v="2500"/>
        <n v="2450"/>
        <n v="4305"/>
        <n v="2400"/>
        <n v="750"/>
        <n v="2550"/>
        <n v="2850"/>
        <n v="3655"/>
        <n v="3800"/>
        <n v="2600"/>
        <n v="6300"/>
        <n v="13200"/>
        <n v="8500"/>
        <n v="7200"/>
        <n v="590"/>
        <n v="2320"/>
        <n v="1392"/>
        <n v="220"/>
        <n v="1250"/>
        <n v="1429"/>
        <n v="4883"/>
        <n v="850"/>
        <n v="9891"/>
        <n v="9700"/>
        <n v="4780"/>
        <n v="1670"/>
        <n v="1600"/>
        <n v="1160"/>
        <n v="2870"/>
        <n v="900"/>
        <n v="3656"/>
        <n v="1800"/>
        <n v="4877"/>
        <n v="3300"/>
        <n v="2820"/>
        <n v="4400"/>
        <n v="3400"/>
        <n v="2200"/>
        <n v="4526"/>
        <n v="8974"/>
        <n v="5000"/>
        <n v="11240"/>
        <n v="2650"/>
        <n v="5300"/>
        <n v="980"/>
        <n v="400"/>
        <n v="3900"/>
        <n v="1080"/>
        <n v="1522"/>
        <n v="1020"/>
        <n v="3200"/>
        <n v="2780"/>
        <n v="8150"/>
        <n v="4120"/>
        <n v="3750"/>
        <n v="2580"/>
        <n v="3050"/>
        <n v="1300"/>
        <n v="8000"/>
        <n v="35000"/>
        <n v="7500"/>
        <n v="19755"/>
        <n v="1010"/>
        <n v="80"/>
        <n v="3315"/>
        <n v="120"/>
        <n v="250"/>
        <n v="861"/>
        <n v="997"/>
        <n v="1820"/>
        <n v="1861"/>
        <n v="353"/>
        <n v="710"/>
        <n v="5248"/>
        <n v="417"/>
        <n v="440"/>
        <n v="10500"/>
        <n v="15600"/>
        <n v="620"/>
        <n v="5100"/>
        <n v="1060"/>
        <n v="2220"/>
        <n v="1950"/>
        <n v="903"/>
        <n v="3450"/>
        <n v="1450"/>
        <n v="3960"/>
        <n v="4130"/>
        <n v="1083"/>
        <n v="4450"/>
        <n v="3320"/>
        <n v="2460"/>
        <n v="4732"/>
        <n v="4275"/>
        <n v="3350"/>
        <n v="3740"/>
        <n v="3700"/>
        <n v="4280"/>
        <n v="6390"/>
        <n v="14406"/>
        <n v="15000"/>
        <n v="18000"/>
        <n v="75"/>
        <n v="630"/>
        <n v="185"/>
        <n v="370"/>
        <n v="2120"/>
        <n v="150"/>
        <n v="380"/>
        <n v="570"/>
        <n v="1440"/>
        <n v="3250"/>
        <n v="1220"/>
        <n v="3355"/>
        <n v="510"/>
        <n v="390"/>
        <n v="412"/>
        <n v="420"/>
        <n v="430"/>
        <n v="460"/>
        <n v="1255"/>
        <n v="550"/>
        <n v="560"/>
        <n v="2192"/>
        <n v="1650"/>
        <n v="1960"/>
        <n v="3760"/>
        <n v="5800"/>
        <n v="2630"/>
        <n v="5172"/>
        <n v="1050"/>
        <n v="1170"/>
        <n v="4898"/>
        <n v="1730"/>
        <n v="1350"/>
        <n v="5440"/>
        <n v="18200"/>
        <n v="1490"/>
        <n v="2154"/>
        <n v="4570"/>
        <n v="2940"/>
        <n v="2880"/>
        <n v="5900"/>
        <n v="3735"/>
        <n v="4027"/>
        <n v="3550"/>
        <n v="3625"/>
        <n v="4095"/>
        <n v="5150"/>
        <n v="5480"/>
        <n v="11250"/>
        <n v="8400"/>
        <n v="10000"/>
        <n v="40"/>
        <n v="648"/>
        <n v="50"/>
        <n v="890"/>
        <n v="94"/>
        <n v="524"/>
        <n v="187"/>
        <n v="208"/>
        <n v="730"/>
        <n v="315"/>
        <n v="680"/>
        <n v="320"/>
        <n v="345"/>
        <n v="810"/>
        <n v="860"/>
        <n v="768"/>
        <n v="415"/>
        <n v="1030"/>
        <n v="436"/>
        <n v="1124"/>
        <n v="960"/>
        <n v="477"/>
        <n v="480"/>
        <n v="580"/>
        <n v="2520"/>
        <n v="520"/>
        <n v="2535"/>
        <n v="1053"/>
        <n v="3340"/>
        <n v="1975"/>
        <n v="1150"/>
        <n v="1480"/>
        <n v="660"/>
        <n v="689"/>
        <n v="760"/>
        <n v="2160"/>
        <n v="870"/>
        <n v="1015"/>
        <n v="1707"/>
        <n v="1094"/>
        <n v="1167"/>
        <n v="1230"/>
        <n v="2475"/>
        <n v="4520"/>
        <n v="3151"/>
        <n v="160"/>
        <n v="270"/>
        <n v="275"/>
        <n v="333"/>
        <n v="397"/>
        <n v="421"/>
        <n v="540"/>
        <n v="690"/>
        <n v="892"/>
        <n v="995"/>
        <n v="1180"/>
        <n v="1680"/>
        <n v="2250"/>
      </sharedItems>
    </cacheField>
    <cacheField name="Количество лиц в семье" numFmtId="0">
      <sharedItems containsSemiMixedTypes="0" containsString="0" containsNumber="1" containsInteger="1" minValue="1" maxValue="19" count="19"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Квартира/дом есть?" numFmtId="0">
      <sharedItems count="2">
        <s v="Да"/>
        <s v="Нет"/>
      </sharedItems>
    </cacheField>
    <cacheField name="Monthly Rev per person" numFmtId="164">
      <sharedItems containsSemiMixedTypes="0" containsString="0" containsNumber="1" minValue="10" maxValue="7500"/>
    </cacheField>
    <cacheField name="Monthly Rev per person2" numFmtId="165">
      <sharedItems containsSemiMixedTypes="0" containsString="0" containsNumber="1" minValue="0.88495575221238931" maxValue="663.71681415929197"/>
    </cacheField>
    <cacheField name="Daily Rev per person" numFmtId="165">
      <sharedItems containsSemiMixedTypes="0" containsString="0" containsNumber="1" minValue="2.9498525073746309E-2" maxValue="22.123893805309734"/>
    </cacheField>
    <cacheField name="Social class" numFmtId="0">
      <sharedItems count="5">
        <s v="крайняя бедность"/>
        <s v="ниже среднего"/>
        <s v="бедность"/>
        <s v="средний"/>
        <s v="в достатке"/>
      </sharedItems>
    </cacheField>
    <cacheField name="Help stat." numFmtId="0">
      <sharedItems count="2">
        <s v="нуждается в помощи"/>
        <s v="не нуждается в помощи"/>
      </sharedItems>
    </cacheField>
    <cacheField name="Total" numFmtId="0" formula="SUM('Social class')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23">
  <r>
    <x v="0"/>
    <x v="0"/>
    <x v="0"/>
    <x v="0"/>
    <x v="0"/>
    <n v="62.631578947368418"/>
    <n v="5.5426176059618069"/>
    <n v="0.18475392019872688"/>
    <x v="0"/>
    <x v="0"/>
  </r>
  <r>
    <x v="1"/>
    <x v="0"/>
    <x v="1"/>
    <x v="0"/>
    <x v="0"/>
    <n v="300"/>
    <n v="26.548672566371678"/>
    <n v="0.88495575221238931"/>
    <x v="0"/>
    <x v="1"/>
  </r>
  <r>
    <x v="2"/>
    <x v="1"/>
    <x v="2"/>
    <x v="1"/>
    <x v="0"/>
    <n v="233.33333333333334"/>
    <n v="20.64896755162242"/>
    <n v="0.68829891838741386"/>
    <x v="0"/>
    <x v="1"/>
  </r>
  <r>
    <x v="3"/>
    <x v="0"/>
    <x v="3"/>
    <x v="1"/>
    <x v="0"/>
    <n v="293.33333333333331"/>
    <n v="25.958702064896752"/>
    <n v="0.86529006882989168"/>
    <x v="0"/>
    <x v="0"/>
  </r>
  <r>
    <x v="4"/>
    <x v="1"/>
    <x v="4"/>
    <x v="2"/>
    <x v="0"/>
    <n v="123.52941176470588"/>
    <n v="10.931806350858928"/>
    <n v="0.36439354502863092"/>
    <x v="0"/>
    <x v="1"/>
  </r>
  <r>
    <x v="5"/>
    <x v="1"/>
    <x v="5"/>
    <x v="2"/>
    <x v="0"/>
    <n v="529.41176470588232"/>
    <n v="46.850598646538252"/>
    <n v="1.561686621551275"/>
    <x v="1"/>
    <x v="0"/>
  </r>
  <r>
    <x v="6"/>
    <x v="0"/>
    <x v="6"/>
    <x v="2"/>
    <x v="0"/>
    <n v="176.47058823529412"/>
    <n v="15.616866215512752"/>
    <n v="0.52056220718375834"/>
    <x v="0"/>
    <x v="1"/>
  </r>
  <r>
    <x v="7"/>
    <x v="2"/>
    <x v="7"/>
    <x v="3"/>
    <x v="0"/>
    <n v="375"/>
    <n v="33.185840707964601"/>
    <n v="1.1061946902654867"/>
    <x v="2"/>
    <x v="1"/>
  </r>
  <r>
    <x v="8"/>
    <x v="1"/>
    <x v="8"/>
    <x v="4"/>
    <x v="1"/>
    <n v="433.33333333333331"/>
    <n v="38.348082595870203"/>
    <n v="1.2782694198623401"/>
    <x v="2"/>
    <x v="1"/>
  </r>
  <r>
    <x v="9"/>
    <x v="1"/>
    <x v="9"/>
    <x v="5"/>
    <x v="1"/>
    <n v="142.85714285714286"/>
    <n v="12.642225031605562"/>
    <n v="0.42140750105351871"/>
    <x v="0"/>
    <x v="1"/>
  </r>
  <r>
    <x v="10"/>
    <x v="1"/>
    <x v="10"/>
    <x v="6"/>
    <x v="0"/>
    <n v="296.30769230769232"/>
    <n v="26.221919673247108"/>
    <n v="0.87406398910823691"/>
    <x v="0"/>
    <x v="1"/>
  </r>
  <r>
    <x v="11"/>
    <x v="0"/>
    <x v="11"/>
    <x v="6"/>
    <x v="0"/>
    <n v="60.769230769230766"/>
    <n v="5.3778080326752891"/>
    <n v="0.17926026775584294"/>
    <x v="0"/>
    <x v="1"/>
  </r>
  <r>
    <x v="12"/>
    <x v="3"/>
    <x v="12"/>
    <x v="6"/>
    <x v="1"/>
    <n v="50"/>
    <n v="4.4247787610619467"/>
    <n v="0.14749262536873156"/>
    <x v="0"/>
    <x v="0"/>
  </r>
  <r>
    <x v="13"/>
    <x v="1"/>
    <x v="13"/>
    <x v="6"/>
    <x v="0"/>
    <n v="213.46153846153845"/>
    <n v="18.890401633764462"/>
    <n v="0.62968005445881547"/>
    <x v="0"/>
    <x v="1"/>
  </r>
  <r>
    <x v="14"/>
    <x v="3"/>
    <x v="14"/>
    <x v="6"/>
    <x v="1"/>
    <n v="64.615384615384613"/>
    <n v="5.7181756296800543"/>
    <n v="0.19060585432266847"/>
    <x v="0"/>
    <x v="1"/>
  </r>
  <r>
    <x v="15"/>
    <x v="3"/>
    <x v="6"/>
    <x v="6"/>
    <x v="0"/>
    <n v="230.76923076923077"/>
    <n v="20.422055820285909"/>
    <n v="0.68073519400953031"/>
    <x v="0"/>
    <x v="1"/>
  </r>
  <r>
    <x v="16"/>
    <x v="2"/>
    <x v="15"/>
    <x v="7"/>
    <x v="0"/>
    <n v="629.16666666666663"/>
    <n v="55.678466076696161"/>
    <n v="1.8559488692232053"/>
    <x v="1"/>
    <x v="1"/>
  </r>
  <r>
    <x v="17"/>
    <x v="0"/>
    <x v="16"/>
    <x v="7"/>
    <x v="0"/>
    <n v="129.16666666666666"/>
    <n v="11.430678466076694"/>
    <n v="0.38102261553588984"/>
    <x v="0"/>
    <x v="1"/>
  </r>
  <r>
    <x v="18"/>
    <x v="0"/>
    <x v="7"/>
    <x v="7"/>
    <x v="0"/>
    <n v="500"/>
    <n v="44.247787610619469"/>
    <n v="1.4749262536873156"/>
    <x v="1"/>
    <x v="1"/>
  </r>
  <r>
    <x v="19"/>
    <x v="3"/>
    <x v="17"/>
    <x v="8"/>
    <x v="0"/>
    <n v="16.363636363636363"/>
    <n v="1.4481094127111824"/>
    <n v="4.8270313757039413E-2"/>
    <x v="0"/>
    <x v="1"/>
  </r>
  <r>
    <x v="20"/>
    <x v="0"/>
    <x v="18"/>
    <x v="8"/>
    <x v="0"/>
    <n v="54.545454545454547"/>
    <n v="4.8270313757039416"/>
    <n v="0.16090104585679804"/>
    <x v="0"/>
    <x v="1"/>
  </r>
  <r>
    <x v="21"/>
    <x v="1"/>
    <x v="19"/>
    <x v="8"/>
    <x v="1"/>
    <n v="136.36363636363637"/>
    <n v="12.067578439259856"/>
    <n v="0.40225261464199519"/>
    <x v="0"/>
    <x v="1"/>
  </r>
  <r>
    <x v="22"/>
    <x v="2"/>
    <x v="20"/>
    <x v="8"/>
    <x v="1"/>
    <n v="409.09090909090907"/>
    <n v="36.202735317779563"/>
    <n v="1.2067578439259854"/>
    <x v="2"/>
    <x v="1"/>
  </r>
  <r>
    <x v="23"/>
    <x v="1"/>
    <x v="9"/>
    <x v="8"/>
    <x v="0"/>
    <n v="181.81818181818181"/>
    <n v="16.090104585679807"/>
    <n v="0.53633681952266021"/>
    <x v="0"/>
    <x v="1"/>
  </r>
  <r>
    <x v="24"/>
    <x v="1"/>
    <x v="21"/>
    <x v="8"/>
    <x v="1"/>
    <n v="436.36363636363637"/>
    <n v="38.616251005631533"/>
    <n v="1.2872083668543843"/>
    <x v="2"/>
    <x v="0"/>
  </r>
  <r>
    <x v="25"/>
    <x v="0"/>
    <x v="7"/>
    <x v="8"/>
    <x v="0"/>
    <n v="545.4545454545455"/>
    <n v="48.270313757039425"/>
    <n v="1.6090104585679808"/>
    <x v="1"/>
    <x v="0"/>
  </r>
  <r>
    <x v="26"/>
    <x v="0"/>
    <x v="22"/>
    <x v="8"/>
    <x v="1"/>
    <n v="936.36363636363637"/>
    <n v="82.864038616251008"/>
    <n v="2.7621346205416999"/>
    <x v="3"/>
    <x v="1"/>
  </r>
  <r>
    <x v="27"/>
    <x v="2"/>
    <x v="23"/>
    <x v="8"/>
    <x v="0"/>
    <n v="1136.3636363636363"/>
    <n v="100.56315366049878"/>
    <n v="3.352105122016626"/>
    <x v="3"/>
    <x v="1"/>
  </r>
  <r>
    <x v="28"/>
    <x v="1"/>
    <x v="24"/>
    <x v="9"/>
    <x v="0"/>
    <n v="82"/>
    <n v="7.2566371681415927"/>
    <n v="0.24188790560471976"/>
    <x v="0"/>
    <x v="0"/>
  </r>
  <r>
    <x v="29"/>
    <x v="1"/>
    <x v="25"/>
    <x v="9"/>
    <x v="0"/>
    <n v="185"/>
    <n v="16.371681415929203"/>
    <n v="0.54572271386430682"/>
    <x v="0"/>
    <x v="1"/>
  </r>
  <r>
    <x v="30"/>
    <x v="1"/>
    <x v="26"/>
    <x v="9"/>
    <x v="0"/>
    <n v="10"/>
    <n v="0.88495575221238931"/>
    <n v="2.9498525073746309E-2"/>
    <x v="0"/>
    <x v="1"/>
  </r>
  <r>
    <x v="31"/>
    <x v="0"/>
    <x v="27"/>
    <x v="9"/>
    <x v="0"/>
    <n v="190"/>
    <n v="16.814159292035399"/>
    <n v="0.56047197640117985"/>
    <x v="0"/>
    <x v="1"/>
  </r>
  <r>
    <x v="32"/>
    <x v="2"/>
    <x v="28"/>
    <x v="9"/>
    <x v="0"/>
    <n v="384"/>
    <n v="33.982300884955748"/>
    <n v="1.1327433628318584"/>
    <x v="2"/>
    <x v="1"/>
  </r>
  <r>
    <x v="33"/>
    <x v="1"/>
    <x v="29"/>
    <x v="9"/>
    <x v="1"/>
    <n v="215"/>
    <n v="19.026548672566371"/>
    <n v="0.63421828908554567"/>
    <x v="0"/>
    <x v="1"/>
  </r>
  <r>
    <x v="34"/>
    <x v="1"/>
    <x v="30"/>
    <x v="9"/>
    <x v="1"/>
    <n v="100"/>
    <n v="8.8495575221238933"/>
    <n v="0.29498525073746312"/>
    <x v="0"/>
    <x v="0"/>
  </r>
  <r>
    <x v="35"/>
    <x v="0"/>
    <x v="7"/>
    <x v="9"/>
    <x v="1"/>
    <n v="600"/>
    <n v="53.097345132743357"/>
    <n v="1.7699115044247786"/>
    <x v="1"/>
    <x v="1"/>
  </r>
  <r>
    <x v="36"/>
    <x v="1"/>
    <x v="31"/>
    <x v="9"/>
    <x v="0"/>
    <n v="270"/>
    <n v="23.89380530973451"/>
    <n v="0.79646017699115035"/>
    <x v="0"/>
    <x v="1"/>
  </r>
  <r>
    <x v="37"/>
    <x v="2"/>
    <x v="19"/>
    <x v="9"/>
    <x v="1"/>
    <n v="150"/>
    <n v="13.274336283185839"/>
    <n v="0.44247787610619466"/>
    <x v="0"/>
    <x v="1"/>
  </r>
  <r>
    <x v="38"/>
    <x v="1"/>
    <x v="31"/>
    <x v="9"/>
    <x v="0"/>
    <n v="270"/>
    <n v="23.89380530973451"/>
    <n v="0.79646017699115035"/>
    <x v="0"/>
    <x v="0"/>
  </r>
  <r>
    <x v="39"/>
    <x v="1"/>
    <x v="7"/>
    <x v="9"/>
    <x v="0"/>
    <n v="600"/>
    <n v="53.097345132743357"/>
    <n v="1.7699115044247786"/>
    <x v="1"/>
    <x v="0"/>
  </r>
  <r>
    <x v="40"/>
    <x v="0"/>
    <x v="7"/>
    <x v="9"/>
    <x v="1"/>
    <n v="600"/>
    <n v="53.097345132743357"/>
    <n v="1.7699115044247786"/>
    <x v="1"/>
    <x v="1"/>
  </r>
  <r>
    <x v="41"/>
    <x v="2"/>
    <x v="32"/>
    <x v="9"/>
    <x v="0"/>
    <n v="4950"/>
    <n v="438.0530973451327"/>
    <n v="14.601769911504423"/>
    <x v="4"/>
    <x v="0"/>
  </r>
  <r>
    <x v="42"/>
    <x v="2"/>
    <x v="33"/>
    <x v="9"/>
    <x v="0"/>
    <n v="2100"/>
    <n v="185.84070796460176"/>
    <n v="6.1946902654867255"/>
    <x v="4"/>
    <x v="0"/>
  </r>
  <r>
    <x v="43"/>
    <x v="1"/>
    <x v="34"/>
    <x v="10"/>
    <x v="1"/>
    <n v="88.888888888888886"/>
    <n v="7.8662733529990163"/>
    <n v="0.26220911176663386"/>
    <x v="0"/>
    <x v="1"/>
  </r>
  <r>
    <x v="44"/>
    <x v="1"/>
    <x v="35"/>
    <x v="10"/>
    <x v="0"/>
    <n v="594.44444444444446"/>
    <n v="52.605703048180921"/>
    <n v="1.7535234349393642"/>
    <x v="1"/>
    <x v="1"/>
  </r>
  <r>
    <x v="45"/>
    <x v="1"/>
    <x v="36"/>
    <x v="10"/>
    <x v="0"/>
    <n v="453.33333333333331"/>
    <n v="40.117994100294979"/>
    <n v="1.3372664700098327"/>
    <x v="1"/>
    <x v="1"/>
  </r>
  <r>
    <x v="46"/>
    <x v="0"/>
    <x v="37"/>
    <x v="10"/>
    <x v="0"/>
    <n v="45"/>
    <n v="3.9823008849557517"/>
    <n v="0.13274336283185839"/>
    <x v="0"/>
    <x v="1"/>
  </r>
  <r>
    <x v="47"/>
    <x v="3"/>
    <x v="38"/>
    <x v="10"/>
    <x v="1"/>
    <n v="50"/>
    <n v="4.4247787610619467"/>
    <n v="0.14749262536873156"/>
    <x v="0"/>
    <x v="1"/>
  </r>
  <r>
    <x v="48"/>
    <x v="1"/>
    <x v="39"/>
    <x v="10"/>
    <x v="1"/>
    <n v="155.55555555555554"/>
    <n v="13.765978367748277"/>
    <n v="0.45886594559160926"/>
    <x v="0"/>
    <x v="1"/>
  </r>
  <r>
    <x v="49"/>
    <x v="4"/>
    <x v="40"/>
    <x v="10"/>
    <x v="0"/>
    <n v="76.111111111111114"/>
    <n v="6.7354965585054076"/>
    <n v="0.22451655195018028"/>
    <x v="0"/>
    <x v="1"/>
  </r>
  <r>
    <x v="50"/>
    <x v="3"/>
    <x v="41"/>
    <x v="10"/>
    <x v="1"/>
    <n v="255.55555555555554"/>
    <n v="22.61553588987217"/>
    <n v="0.75385119632907227"/>
    <x v="0"/>
    <x v="1"/>
  </r>
  <r>
    <x v="51"/>
    <x v="0"/>
    <x v="39"/>
    <x v="10"/>
    <x v="1"/>
    <n v="155.55555555555554"/>
    <n v="13.765978367748277"/>
    <n v="0.45886594559160926"/>
    <x v="0"/>
    <x v="1"/>
  </r>
  <r>
    <x v="52"/>
    <x v="2"/>
    <x v="42"/>
    <x v="10"/>
    <x v="1"/>
    <n v="444.44444444444446"/>
    <n v="39.331366764995082"/>
    <n v="1.3110455588331693"/>
    <x v="2"/>
    <x v="1"/>
  </r>
  <r>
    <x v="53"/>
    <x v="5"/>
    <x v="43"/>
    <x v="10"/>
    <x v="1"/>
    <n v="622.22222222222217"/>
    <n v="55.063913470993107"/>
    <n v="1.835463782366437"/>
    <x v="1"/>
    <x v="1"/>
  </r>
  <r>
    <x v="54"/>
    <x v="1"/>
    <x v="44"/>
    <x v="10"/>
    <x v="0"/>
    <n v="472.22222222222223"/>
    <n v="41.789577187807275"/>
    <n v="1.3929859062602423"/>
    <x v="1"/>
    <x v="0"/>
  </r>
  <r>
    <x v="55"/>
    <x v="2"/>
    <x v="20"/>
    <x v="10"/>
    <x v="0"/>
    <n v="500"/>
    <n v="44.247787610619469"/>
    <n v="1.4749262536873156"/>
    <x v="1"/>
    <x v="0"/>
  </r>
  <r>
    <x v="56"/>
    <x v="0"/>
    <x v="45"/>
    <x v="10"/>
    <x v="1"/>
    <n v="322.22222222222223"/>
    <n v="28.515240904621436"/>
    <n v="0.95050803015404772"/>
    <x v="2"/>
    <x v="1"/>
  </r>
  <r>
    <x v="57"/>
    <x v="1"/>
    <x v="46"/>
    <x v="10"/>
    <x v="0"/>
    <n v="611.11111111111109"/>
    <n v="54.080629301868235"/>
    <n v="1.8026876433956078"/>
    <x v="1"/>
    <x v="1"/>
  </r>
  <r>
    <x v="58"/>
    <x v="0"/>
    <x v="47"/>
    <x v="10"/>
    <x v="0"/>
    <n v="388.88888888888891"/>
    <n v="34.414945919370702"/>
    <n v="1.1471648639790233"/>
    <x v="2"/>
    <x v="1"/>
  </r>
  <r>
    <x v="59"/>
    <x v="1"/>
    <x v="7"/>
    <x v="10"/>
    <x v="1"/>
    <n v="666.66666666666663"/>
    <n v="58.997050147492615"/>
    <n v="1.9665683382497541"/>
    <x v="1"/>
    <x v="1"/>
  </r>
  <r>
    <x v="60"/>
    <x v="0"/>
    <x v="6"/>
    <x v="10"/>
    <x v="0"/>
    <n v="333.33333333333331"/>
    <n v="29.498525073746308"/>
    <n v="0.98328416912487704"/>
    <x v="2"/>
    <x v="1"/>
  </r>
  <r>
    <x v="61"/>
    <x v="1"/>
    <x v="48"/>
    <x v="10"/>
    <x v="1"/>
    <n v="400"/>
    <n v="35.398230088495573"/>
    <n v="1.1799410029498525"/>
    <x v="2"/>
    <x v="1"/>
  </r>
  <r>
    <x v="62"/>
    <x v="1"/>
    <x v="49"/>
    <x v="11"/>
    <x v="0"/>
    <n v="37.5"/>
    <n v="3.3185840707964598"/>
    <n v="0.11061946902654866"/>
    <x v="0"/>
    <x v="1"/>
  </r>
  <r>
    <x v="63"/>
    <x v="2"/>
    <x v="50"/>
    <x v="11"/>
    <x v="1"/>
    <n v="45"/>
    <n v="3.9823008849557517"/>
    <n v="0.13274336283185839"/>
    <x v="0"/>
    <x v="0"/>
  </r>
  <r>
    <x v="64"/>
    <x v="1"/>
    <x v="51"/>
    <x v="11"/>
    <x v="1"/>
    <n v="25"/>
    <n v="2.2123893805309733"/>
    <n v="7.3746312684365781E-2"/>
    <x v="0"/>
    <x v="1"/>
  </r>
  <r>
    <x v="65"/>
    <x v="1"/>
    <x v="52"/>
    <x v="11"/>
    <x v="0"/>
    <n v="1116.875"/>
    <n v="98.838495575221231"/>
    <n v="3.2946165191740411"/>
    <x v="3"/>
    <x v="1"/>
  </r>
  <r>
    <x v="66"/>
    <x v="3"/>
    <x v="53"/>
    <x v="11"/>
    <x v="0"/>
    <n v="35"/>
    <n v="3.0973451327433628"/>
    <n v="0.10324483775811209"/>
    <x v="0"/>
    <x v="0"/>
  </r>
  <r>
    <x v="67"/>
    <x v="5"/>
    <x v="54"/>
    <x v="11"/>
    <x v="0"/>
    <n v="118.75"/>
    <n v="10.508849557522122"/>
    <n v="0.35029498525073743"/>
    <x v="0"/>
    <x v="1"/>
  </r>
  <r>
    <x v="68"/>
    <x v="4"/>
    <x v="43"/>
    <x v="11"/>
    <x v="0"/>
    <n v="700"/>
    <n v="61.946902654867252"/>
    <n v="2.0648967551622417"/>
    <x v="1"/>
    <x v="0"/>
  </r>
  <r>
    <x v="69"/>
    <x v="4"/>
    <x v="55"/>
    <x v="11"/>
    <x v="0"/>
    <n v="212.5"/>
    <n v="18.805309734513273"/>
    <n v="0.62684365781710905"/>
    <x v="0"/>
    <x v="1"/>
  </r>
  <r>
    <x v="70"/>
    <x v="3"/>
    <x v="1"/>
    <x v="11"/>
    <x v="0"/>
    <n v="712.5"/>
    <n v="63.053097345132741"/>
    <n v="2.1017699115044248"/>
    <x v="1"/>
    <x v="1"/>
  </r>
  <r>
    <x v="71"/>
    <x v="1"/>
    <x v="18"/>
    <x v="11"/>
    <x v="0"/>
    <n v="75"/>
    <n v="6.6371681415929196"/>
    <n v="0.22123893805309733"/>
    <x v="0"/>
    <x v="1"/>
  </r>
  <r>
    <x v="72"/>
    <x v="0"/>
    <x v="39"/>
    <x v="11"/>
    <x v="1"/>
    <n v="175"/>
    <n v="15.486725663716813"/>
    <n v="0.51622418879056042"/>
    <x v="0"/>
    <x v="1"/>
  </r>
  <r>
    <x v="73"/>
    <x v="2"/>
    <x v="56"/>
    <x v="11"/>
    <x v="0"/>
    <n v="87.5"/>
    <n v="7.7433628318584065"/>
    <n v="0.25811209439528021"/>
    <x v="0"/>
    <x v="1"/>
  </r>
  <r>
    <x v="74"/>
    <x v="1"/>
    <x v="57"/>
    <x v="11"/>
    <x v="0"/>
    <n v="218.75"/>
    <n v="19.358407079646017"/>
    <n v="0.64528023598820061"/>
    <x v="0"/>
    <x v="1"/>
  </r>
  <r>
    <x v="75"/>
    <x v="0"/>
    <x v="25"/>
    <x v="11"/>
    <x v="1"/>
    <n v="231.25"/>
    <n v="20.464601769911503"/>
    <n v="0.68215339233038341"/>
    <x v="0"/>
    <x v="1"/>
  </r>
  <r>
    <x v="76"/>
    <x v="1"/>
    <x v="58"/>
    <x v="11"/>
    <x v="0"/>
    <n v="837.5"/>
    <n v="74.115044247787608"/>
    <n v="2.4705014749262535"/>
    <x v="1"/>
    <x v="1"/>
  </r>
  <r>
    <x v="77"/>
    <x v="1"/>
    <x v="59"/>
    <x v="11"/>
    <x v="1"/>
    <n v="150"/>
    <n v="13.274336283185839"/>
    <n v="0.44247787610619466"/>
    <x v="0"/>
    <x v="1"/>
  </r>
  <r>
    <x v="78"/>
    <x v="0"/>
    <x v="60"/>
    <x v="11"/>
    <x v="0"/>
    <n v="587.5"/>
    <n v="51.991150442477874"/>
    <n v="1.7330383480825957"/>
    <x v="1"/>
    <x v="1"/>
  </r>
  <r>
    <x v="79"/>
    <x v="3"/>
    <x v="4"/>
    <x v="11"/>
    <x v="0"/>
    <n v="262.5"/>
    <n v="23.23008849557522"/>
    <n v="0.77433628318584069"/>
    <x v="0"/>
    <x v="1"/>
  </r>
  <r>
    <x v="80"/>
    <x v="0"/>
    <x v="61"/>
    <x v="11"/>
    <x v="0"/>
    <n v="202.5"/>
    <n v="17.920353982300885"/>
    <n v="0.59734513274336276"/>
    <x v="0"/>
    <x v="1"/>
  </r>
  <r>
    <x v="81"/>
    <x v="1"/>
    <x v="62"/>
    <x v="11"/>
    <x v="0"/>
    <n v="756.25"/>
    <n v="66.924778761061944"/>
    <n v="2.2308259587020647"/>
    <x v="1"/>
    <x v="1"/>
  </r>
  <r>
    <x v="82"/>
    <x v="1"/>
    <x v="6"/>
    <x v="11"/>
    <x v="0"/>
    <n v="375"/>
    <n v="33.185840707964601"/>
    <n v="1.1061946902654867"/>
    <x v="2"/>
    <x v="1"/>
  </r>
  <r>
    <x v="83"/>
    <x v="1"/>
    <x v="20"/>
    <x v="11"/>
    <x v="0"/>
    <n v="562.5"/>
    <n v="49.778761061946902"/>
    <n v="1.6592920353982299"/>
    <x v="1"/>
    <x v="1"/>
  </r>
  <r>
    <x v="84"/>
    <x v="1"/>
    <x v="63"/>
    <x v="11"/>
    <x v="1"/>
    <n v="520"/>
    <n v="46.017699115044245"/>
    <n v="1.5339233038348081"/>
    <x v="1"/>
    <x v="1"/>
  </r>
  <r>
    <x v="85"/>
    <x v="1"/>
    <x v="64"/>
    <x v="11"/>
    <x v="0"/>
    <n v="537.5"/>
    <n v="47.566371681415923"/>
    <n v="1.5855457227138643"/>
    <x v="1"/>
    <x v="1"/>
  </r>
  <r>
    <x v="86"/>
    <x v="0"/>
    <x v="65"/>
    <x v="11"/>
    <x v="0"/>
    <n v="875"/>
    <n v="77.43362831858407"/>
    <n v="2.5811209439528024"/>
    <x v="3"/>
    <x v="1"/>
  </r>
  <r>
    <x v="87"/>
    <x v="0"/>
    <x v="46"/>
    <x v="11"/>
    <x v="0"/>
    <n v="687.5"/>
    <n v="60.840707964601769"/>
    <n v="2.028023598820059"/>
    <x v="1"/>
    <x v="1"/>
  </r>
  <r>
    <x v="88"/>
    <x v="3"/>
    <x v="66"/>
    <x v="11"/>
    <x v="0"/>
    <n v="1043.75"/>
    <n v="92.36725663716814"/>
    <n v="3.078908554572271"/>
    <x v="3"/>
    <x v="1"/>
  </r>
  <r>
    <x v="89"/>
    <x v="3"/>
    <x v="67"/>
    <x v="11"/>
    <x v="0"/>
    <n v="350"/>
    <n v="30.973451327433626"/>
    <n v="1.0324483775811208"/>
    <x v="2"/>
    <x v="1"/>
  </r>
  <r>
    <x v="90"/>
    <x v="3"/>
    <x v="68"/>
    <x v="11"/>
    <x v="0"/>
    <n v="925"/>
    <n v="81.858407079646014"/>
    <n v="2.7286135693215336"/>
    <x v="3"/>
    <x v="0"/>
  </r>
  <r>
    <x v="91"/>
    <x v="1"/>
    <x v="7"/>
    <x v="11"/>
    <x v="1"/>
    <n v="750"/>
    <n v="66.371681415929203"/>
    <n v="2.2123893805309733"/>
    <x v="1"/>
    <x v="0"/>
  </r>
  <r>
    <x v="92"/>
    <x v="0"/>
    <x v="69"/>
    <x v="11"/>
    <x v="1"/>
    <n v="1150"/>
    <n v="101.76991150442477"/>
    <n v="3.3923303834808261"/>
    <x v="3"/>
    <x v="1"/>
  </r>
  <r>
    <x v="93"/>
    <x v="1"/>
    <x v="70"/>
    <x v="11"/>
    <x v="0"/>
    <n v="775"/>
    <n v="68.584070796460168"/>
    <n v="2.2861356932153392"/>
    <x v="1"/>
    <x v="1"/>
  </r>
  <r>
    <x v="94"/>
    <x v="1"/>
    <x v="48"/>
    <x v="11"/>
    <x v="0"/>
    <n v="450"/>
    <n v="39.823008849557517"/>
    <n v="1.3274336283185839"/>
    <x v="2"/>
    <x v="0"/>
  </r>
  <r>
    <x v="95"/>
    <x v="3"/>
    <x v="71"/>
    <x v="11"/>
    <x v="0"/>
    <n v="1480"/>
    <n v="130.97345132743362"/>
    <n v="4.3657817109144545"/>
    <x v="4"/>
    <x v="0"/>
  </r>
  <r>
    <x v="96"/>
    <x v="1"/>
    <x v="72"/>
    <x v="11"/>
    <x v="1"/>
    <n v="1075"/>
    <n v="95.132743362831846"/>
    <n v="3.1710914454277286"/>
    <x v="3"/>
    <x v="1"/>
  </r>
  <r>
    <x v="97"/>
    <x v="2"/>
    <x v="73"/>
    <x v="11"/>
    <x v="0"/>
    <n v="1407.5"/>
    <n v="124.5575221238938"/>
    <n v="4.1519174041297928"/>
    <x v="4"/>
    <x v="1"/>
  </r>
  <r>
    <x v="98"/>
    <x v="1"/>
    <x v="26"/>
    <x v="12"/>
    <x v="0"/>
    <n v="14.285714285714286"/>
    <n v="1.2642225031605563"/>
    <n v="4.2140750105351878E-2"/>
    <x v="0"/>
    <x v="1"/>
  </r>
  <r>
    <x v="99"/>
    <x v="1"/>
    <x v="18"/>
    <x v="12"/>
    <x v="1"/>
    <n v="85.714285714285708"/>
    <n v="7.5853350189633364"/>
    <n v="0.25284450063211122"/>
    <x v="0"/>
    <x v="0"/>
  </r>
  <r>
    <x v="100"/>
    <x v="1"/>
    <x v="38"/>
    <x v="12"/>
    <x v="1"/>
    <n v="64.285714285714292"/>
    <n v="5.6890012642225036"/>
    <n v="0.18963337547408346"/>
    <x v="0"/>
    <x v="1"/>
  </r>
  <r>
    <x v="101"/>
    <x v="1"/>
    <x v="18"/>
    <x v="12"/>
    <x v="0"/>
    <n v="85.714285714285708"/>
    <n v="7.5853350189633364"/>
    <n v="0.25284450063211122"/>
    <x v="0"/>
    <x v="1"/>
  </r>
  <r>
    <x v="102"/>
    <x v="4"/>
    <x v="41"/>
    <x v="12"/>
    <x v="1"/>
    <n v="328.57142857142856"/>
    <n v="29.077117572692792"/>
    <n v="0.96923725242309311"/>
    <x v="2"/>
    <x v="0"/>
  </r>
  <r>
    <x v="103"/>
    <x v="3"/>
    <x v="74"/>
    <x v="12"/>
    <x v="1"/>
    <n v="50"/>
    <n v="4.4247787610619467"/>
    <n v="0.14749262536873156"/>
    <x v="0"/>
    <x v="1"/>
  </r>
  <r>
    <x v="104"/>
    <x v="2"/>
    <x v="75"/>
    <x v="12"/>
    <x v="1"/>
    <n v="155.71428571428572"/>
    <n v="13.780025284450064"/>
    <n v="0.45933417614833544"/>
    <x v="0"/>
    <x v="1"/>
  </r>
  <r>
    <x v="105"/>
    <x v="3"/>
    <x v="76"/>
    <x v="12"/>
    <x v="0"/>
    <n v="157.14285714285714"/>
    <n v="13.906447534766118"/>
    <n v="0.46354825115887061"/>
    <x v="0"/>
    <x v="1"/>
  </r>
  <r>
    <x v="106"/>
    <x v="3"/>
    <x v="39"/>
    <x v="12"/>
    <x v="0"/>
    <n v="200"/>
    <n v="17.699115044247787"/>
    <n v="0.58997050147492625"/>
    <x v="0"/>
    <x v="1"/>
  </r>
  <r>
    <x v="107"/>
    <x v="3"/>
    <x v="77"/>
    <x v="12"/>
    <x v="0"/>
    <n v="1600"/>
    <n v="141.59292035398229"/>
    <n v="4.71976401179941"/>
    <x v="4"/>
    <x v="0"/>
  </r>
  <r>
    <x v="108"/>
    <x v="3"/>
    <x v="78"/>
    <x v="12"/>
    <x v="1"/>
    <n v="71.428571428571431"/>
    <n v="6.3211125158027812"/>
    <n v="0.21070375052675935"/>
    <x v="0"/>
    <x v="0"/>
  </r>
  <r>
    <x v="109"/>
    <x v="0"/>
    <x v="79"/>
    <x v="12"/>
    <x v="0"/>
    <n v="357.14285714285717"/>
    <n v="31.605562579013906"/>
    <n v="1.0535187526337968"/>
    <x v="2"/>
    <x v="1"/>
  </r>
  <r>
    <x v="110"/>
    <x v="2"/>
    <x v="80"/>
    <x v="12"/>
    <x v="0"/>
    <n v="350"/>
    <n v="30.973451327433626"/>
    <n v="1.0324483775811208"/>
    <x v="2"/>
    <x v="1"/>
  </r>
  <r>
    <x v="111"/>
    <x v="1"/>
    <x v="18"/>
    <x v="12"/>
    <x v="1"/>
    <n v="85.714285714285708"/>
    <n v="7.5853350189633364"/>
    <n v="0.25284450063211122"/>
    <x v="0"/>
    <x v="0"/>
  </r>
  <r>
    <x v="112"/>
    <x v="0"/>
    <x v="59"/>
    <x v="12"/>
    <x v="0"/>
    <n v="171.42857142857142"/>
    <n v="15.170670037926673"/>
    <n v="0.50568900126422245"/>
    <x v="0"/>
    <x v="0"/>
  </r>
  <r>
    <x v="113"/>
    <x v="0"/>
    <x v="81"/>
    <x v="12"/>
    <x v="1"/>
    <n v="615"/>
    <n v="54.424778761061944"/>
    <n v="1.8141592920353982"/>
    <x v="1"/>
    <x v="1"/>
  </r>
  <r>
    <x v="114"/>
    <x v="3"/>
    <x v="56"/>
    <x v="12"/>
    <x v="0"/>
    <n v="100"/>
    <n v="8.8495575221238933"/>
    <n v="0.29498525073746312"/>
    <x v="0"/>
    <x v="1"/>
  </r>
  <r>
    <x v="115"/>
    <x v="0"/>
    <x v="60"/>
    <x v="12"/>
    <x v="0"/>
    <n v="671.42857142857144"/>
    <n v="59.418457648546145"/>
    <n v="1.9806152549515381"/>
    <x v="1"/>
    <x v="1"/>
  </r>
  <r>
    <x v="116"/>
    <x v="4"/>
    <x v="56"/>
    <x v="12"/>
    <x v="1"/>
    <n v="100"/>
    <n v="8.8495575221238933"/>
    <n v="0.29498525073746312"/>
    <x v="0"/>
    <x v="1"/>
  </r>
  <r>
    <x v="117"/>
    <x v="3"/>
    <x v="19"/>
    <x v="12"/>
    <x v="1"/>
    <n v="214.28571428571428"/>
    <n v="18.963337547408344"/>
    <n v="0.63211125158027803"/>
    <x v="0"/>
    <x v="0"/>
  </r>
  <r>
    <x v="118"/>
    <x v="3"/>
    <x v="82"/>
    <x v="12"/>
    <x v="0"/>
    <n v="342.85714285714283"/>
    <n v="30.341340075853346"/>
    <n v="1.0113780025284449"/>
    <x v="2"/>
    <x v="1"/>
  </r>
  <r>
    <x v="119"/>
    <x v="1"/>
    <x v="19"/>
    <x v="12"/>
    <x v="0"/>
    <n v="214.28571428571428"/>
    <n v="18.963337547408344"/>
    <n v="0.63211125158027803"/>
    <x v="0"/>
    <x v="1"/>
  </r>
  <r>
    <x v="120"/>
    <x v="0"/>
    <x v="83"/>
    <x v="12"/>
    <x v="1"/>
    <n v="107.14285714285714"/>
    <n v="9.4816687737041718"/>
    <n v="0.31605562579013902"/>
    <x v="0"/>
    <x v="1"/>
  </r>
  <r>
    <x v="121"/>
    <x v="3"/>
    <x v="19"/>
    <x v="12"/>
    <x v="1"/>
    <n v="214.28571428571428"/>
    <n v="18.963337547408344"/>
    <n v="0.63211125158027803"/>
    <x v="0"/>
    <x v="1"/>
  </r>
  <r>
    <x v="122"/>
    <x v="4"/>
    <x v="30"/>
    <x v="12"/>
    <x v="0"/>
    <n v="142.85714285714286"/>
    <n v="12.642225031605562"/>
    <n v="0.42140750105351871"/>
    <x v="0"/>
    <x v="1"/>
  </r>
  <r>
    <x v="123"/>
    <x v="3"/>
    <x v="84"/>
    <x v="12"/>
    <x v="0"/>
    <n v="364.28571428571428"/>
    <n v="32.237673830594183"/>
    <n v="1.0745891276864727"/>
    <x v="2"/>
    <x v="1"/>
  </r>
  <r>
    <x v="124"/>
    <x v="4"/>
    <x v="39"/>
    <x v="12"/>
    <x v="0"/>
    <n v="200"/>
    <n v="17.699115044247787"/>
    <n v="0.58997050147492625"/>
    <x v="0"/>
    <x v="1"/>
  </r>
  <r>
    <x v="125"/>
    <x v="1"/>
    <x v="47"/>
    <x v="12"/>
    <x v="1"/>
    <n v="500"/>
    <n v="44.247787610619469"/>
    <n v="1.4749262536873156"/>
    <x v="1"/>
    <x v="1"/>
  </r>
  <r>
    <x v="126"/>
    <x v="1"/>
    <x v="9"/>
    <x v="12"/>
    <x v="1"/>
    <n v="285.71428571428572"/>
    <n v="25.284450063211125"/>
    <n v="0.84281500210703741"/>
    <x v="0"/>
    <x v="1"/>
  </r>
  <r>
    <x v="127"/>
    <x v="1"/>
    <x v="85"/>
    <x v="12"/>
    <x v="0"/>
    <n v="407.14285714285717"/>
    <n v="36.03034134007585"/>
    <n v="1.2010113780025284"/>
    <x v="2"/>
    <x v="1"/>
  </r>
  <r>
    <x v="128"/>
    <x v="2"/>
    <x v="6"/>
    <x v="12"/>
    <x v="1"/>
    <n v="428.57142857142856"/>
    <n v="37.926675094816687"/>
    <n v="1.2642225031605561"/>
    <x v="2"/>
    <x v="1"/>
  </r>
  <r>
    <x v="129"/>
    <x v="0"/>
    <x v="86"/>
    <x v="12"/>
    <x v="0"/>
    <n v="522.14285714285711"/>
    <n v="46.207332490518326"/>
    <n v="1.540244416350611"/>
    <x v="1"/>
    <x v="1"/>
  </r>
  <r>
    <x v="130"/>
    <x v="0"/>
    <x v="5"/>
    <x v="12"/>
    <x v="0"/>
    <n v="1285.7142857142858"/>
    <n v="113.78002528445006"/>
    <n v="3.7926675094816691"/>
    <x v="3"/>
    <x v="1"/>
  </r>
  <r>
    <x v="131"/>
    <x v="2"/>
    <x v="87"/>
    <x v="12"/>
    <x v="0"/>
    <n v="542.85714285714289"/>
    <n v="48.040455120101136"/>
    <n v="1.601348504003371"/>
    <x v="1"/>
    <x v="1"/>
  </r>
  <r>
    <x v="132"/>
    <x v="3"/>
    <x v="88"/>
    <x v="12"/>
    <x v="0"/>
    <n v="371.42857142857144"/>
    <n v="32.869785082174459"/>
    <n v="1.0956595027391487"/>
    <x v="2"/>
    <x v="1"/>
  </r>
  <r>
    <x v="133"/>
    <x v="3"/>
    <x v="67"/>
    <x v="12"/>
    <x v="0"/>
    <n v="400"/>
    <n v="35.398230088495573"/>
    <n v="1.1799410029498525"/>
    <x v="2"/>
    <x v="1"/>
  </r>
  <r>
    <x v="134"/>
    <x v="1"/>
    <x v="9"/>
    <x v="12"/>
    <x v="0"/>
    <n v="285.71428571428572"/>
    <n v="25.284450063211125"/>
    <n v="0.84281500210703741"/>
    <x v="0"/>
    <x v="1"/>
  </r>
  <r>
    <x v="135"/>
    <x v="0"/>
    <x v="9"/>
    <x v="12"/>
    <x v="0"/>
    <n v="285.71428571428572"/>
    <n v="25.284450063211125"/>
    <n v="0.84281500210703741"/>
    <x v="0"/>
    <x v="1"/>
  </r>
  <r>
    <x v="136"/>
    <x v="1"/>
    <x v="60"/>
    <x v="12"/>
    <x v="0"/>
    <n v="671.42857142857144"/>
    <n v="59.418457648546145"/>
    <n v="1.9806152549515381"/>
    <x v="1"/>
    <x v="0"/>
  </r>
  <r>
    <x v="137"/>
    <x v="2"/>
    <x v="5"/>
    <x v="12"/>
    <x v="0"/>
    <n v="1285.7142857142858"/>
    <n v="113.78002528445006"/>
    <n v="3.7926675094816691"/>
    <x v="3"/>
    <x v="1"/>
  </r>
  <r>
    <x v="138"/>
    <x v="3"/>
    <x v="89"/>
    <x v="12"/>
    <x v="1"/>
    <n v="900"/>
    <n v="79.646017699115035"/>
    <n v="2.6548672566371678"/>
    <x v="3"/>
    <x v="1"/>
  </r>
  <r>
    <x v="139"/>
    <x v="3"/>
    <x v="90"/>
    <x v="12"/>
    <x v="0"/>
    <n v="1885.7142857142858"/>
    <n v="166.87737041719342"/>
    <n v="5.5625790139064479"/>
    <x v="4"/>
    <x v="1"/>
  </r>
  <r>
    <x v="140"/>
    <x v="1"/>
    <x v="8"/>
    <x v="12"/>
    <x v="0"/>
    <n v="928.57142857142856"/>
    <n v="82.174462705436156"/>
    <n v="2.7391487568478716"/>
    <x v="3"/>
    <x v="1"/>
  </r>
  <r>
    <x v="141"/>
    <x v="3"/>
    <x v="65"/>
    <x v="12"/>
    <x v="1"/>
    <n v="1000"/>
    <n v="88.495575221238937"/>
    <n v="2.9498525073746311"/>
    <x v="3"/>
    <x v="0"/>
  </r>
  <r>
    <x v="142"/>
    <x v="1"/>
    <x v="91"/>
    <x v="12"/>
    <x v="0"/>
    <n v="1214.2857142857142"/>
    <n v="107.45891276864727"/>
    <n v="3.5819637589549091"/>
    <x v="3"/>
    <x v="1"/>
  </r>
  <r>
    <x v="143"/>
    <x v="1"/>
    <x v="48"/>
    <x v="12"/>
    <x v="0"/>
    <n v="514.28571428571433"/>
    <n v="45.512010113780029"/>
    <n v="1.5170670037926677"/>
    <x v="1"/>
    <x v="0"/>
  </r>
  <r>
    <x v="144"/>
    <x v="2"/>
    <x v="92"/>
    <x v="12"/>
    <x v="1"/>
    <n v="1028.5714285714287"/>
    <n v="91.024020227560058"/>
    <n v="3.0341340075853354"/>
    <x v="3"/>
    <x v="1"/>
  </r>
  <r>
    <x v="145"/>
    <x v="1"/>
    <x v="93"/>
    <x v="13"/>
    <x v="1"/>
    <n v="98.333333333333329"/>
    <n v="8.7020648967551608"/>
    <n v="0.29006882989183874"/>
    <x v="0"/>
    <x v="1"/>
  </r>
  <r>
    <x v="146"/>
    <x v="1"/>
    <x v="18"/>
    <x v="13"/>
    <x v="0"/>
    <n v="100"/>
    <n v="8.8495575221238933"/>
    <n v="0.29498525073746312"/>
    <x v="0"/>
    <x v="0"/>
  </r>
  <r>
    <x v="147"/>
    <x v="0"/>
    <x v="94"/>
    <x v="13"/>
    <x v="0"/>
    <n v="386.66666666666669"/>
    <n v="34.21828908554572"/>
    <n v="1.1406096361848574"/>
    <x v="2"/>
    <x v="1"/>
  </r>
  <r>
    <x v="148"/>
    <x v="1"/>
    <x v="67"/>
    <x v="13"/>
    <x v="0"/>
    <n v="466.66666666666669"/>
    <n v="41.297935103244839"/>
    <n v="1.3765978367748277"/>
    <x v="1"/>
    <x v="1"/>
  </r>
  <r>
    <x v="149"/>
    <x v="2"/>
    <x v="95"/>
    <x v="13"/>
    <x v="0"/>
    <n v="232"/>
    <n v="20.530973451327434"/>
    <n v="0.68436578171091444"/>
    <x v="0"/>
    <x v="0"/>
  </r>
  <r>
    <x v="150"/>
    <x v="1"/>
    <x v="96"/>
    <x v="13"/>
    <x v="1"/>
    <n v="36.666666666666664"/>
    <n v="3.244837758112094"/>
    <n v="0.10816125860373646"/>
    <x v="0"/>
    <x v="1"/>
  </r>
  <r>
    <x v="151"/>
    <x v="1"/>
    <x v="29"/>
    <x v="13"/>
    <x v="1"/>
    <n v="358.33333333333331"/>
    <n v="31.710914454277283"/>
    <n v="1.0570304818092429"/>
    <x v="2"/>
    <x v="0"/>
  </r>
  <r>
    <x v="152"/>
    <x v="0"/>
    <x v="39"/>
    <x v="13"/>
    <x v="1"/>
    <n v="233.33333333333334"/>
    <n v="20.64896755162242"/>
    <n v="0.68829891838741386"/>
    <x v="0"/>
    <x v="1"/>
  </r>
  <r>
    <x v="153"/>
    <x v="5"/>
    <x v="97"/>
    <x v="13"/>
    <x v="0"/>
    <n v="208.33333333333334"/>
    <n v="18.436578171091444"/>
    <n v="0.61455260570304815"/>
    <x v="0"/>
    <x v="1"/>
  </r>
  <r>
    <x v="154"/>
    <x v="0"/>
    <x v="34"/>
    <x v="13"/>
    <x v="0"/>
    <n v="133.33333333333334"/>
    <n v="11.799410029498524"/>
    <n v="0.39331366764995085"/>
    <x v="0"/>
    <x v="1"/>
  </r>
  <r>
    <x v="155"/>
    <x v="1"/>
    <x v="98"/>
    <x v="13"/>
    <x v="1"/>
    <n v="238.16666666666666"/>
    <n v="21.076696165191738"/>
    <n v="0.70255653883972458"/>
    <x v="0"/>
    <x v="0"/>
  </r>
  <r>
    <x v="156"/>
    <x v="4"/>
    <x v="27"/>
    <x v="13"/>
    <x v="1"/>
    <n v="316.66666666666669"/>
    <n v="28.023598820058996"/>
    <n v="0.93411996066863312"/>
    <x v="2"/>
    <x v="1"/>
  </r>
  <r>
    <x v="157"/>
    <x v="0"/>
    <x v="83"/>
    <x v="13"/>
    <x v="0"/>
    <n v="125"/>
    <n v="11.061946902654867"/>
    <n v="0.36873156342182889"/>
    <x v="0"/>
    <x v="1"/>
  </r>
  <r>
    <x v="158"/>
    <x v="3"/>
    <x v="38"/>
    <x v="13"/>
    <x v="1"/>
    <n v="75"/>
    <n v="6.6371681415929196"/>
    <n v="0.22123893805309733"/>
    <x v="0"/>
    <x v="1"/>
  </r>
  <r>
    <x v="159"/>
    <x v="5"/>
    <x v="99"/>
    <x v="13"/>
    <x v="1"/>
    <n v="813.83333333333337"/>
    <n v="72.020648967551622"/>
    <n v="2.4006882989183875"/>
    <x v="1"/>
    <x v="1"/>
  </r>
  <r>
    <x v="160"/>
    <x v="0"/>
    <x v="39"/>
    <x v="13"/>
    <x v="1"/>
    <n v="233.33333333333334"/>
    <n v="20.64896755162242"/>
    <n v="0.68829891838741386"/>
    <x v="0"/>
    <x v="1"/>
  </r>
  <r>
    <x v="161"/>
    <x v="3"/>
    <x v="100"/>
    <x v="13"/>
    <x v="0"/>
    <n v="141.66666666666666"/>
    <n v="12.536873156342182"/>
    <n v="0.41789577187807275"/>
    <x v="0"/>
    <x v="1"/>
  </r>
  <r>
    <x v="162"/>
    <x v="3"/>
    <x v="16"/>
    <x v="13"/>
    <x v="0"/>
    <n v="258.33333333333331"/>
    <n v="22.861356932153388"/>
    <n v="0.76204523107177968"/>
    <x v="0"/>
    <x v="1"/>
  </r>
  <r>
    <x v="163"/>
    <x v="3"/>
    <x v="67"/>
    <x v="13"/>
    <x v="0"/>
    <n v="466.66666666666669"/>
    <n v="41.297935103244839"/>
    <n v="1.3765978367748277"/>
    <x v="1"/>
    <x v="1"/>
  </r>
  <r>
    <x v="164"/>
    <x v="1"/>
    <x v="83"/>
    <x v="13"/>
    <x v="1"/>
    <n v="125"/>
    <n v="11.061946902654867"/>
    <n v="0.36873156342182889"/>
    <x v="0"/>
    <x v="0"/>
  </r>
  <r>
    <x v="165"/>
    <x v="1"/>
    <x v="19"/>
    <x v="13"/>
    <x v="0"/>
    <n v="250"/>
    <n v="22.123893805309734"/>
    <n v="0.73746312684365778"/>
    <x v="0"/>
    <x v="1"/>
  </r>
  <r>
    <x v="166"/>
    <x v="5"/>
    <x v="21"/>
    <x v="13"/>
    <x v="1"/>
    <n v="800"/>
    <n v="70.796460176991147"/>
    <n v="2.359882005899705"/>
    <x v="1"/>
    <x v="1"/>
  </r>
  <r>
    <x v="167"/>
    <x v="5"/>
    <x v="101"/>
    <x v="13"/>
    <x v="0"/>
    <n v="1648.5"/>
    <n v="145.88495575221239"/>
    <n v="4.8628318584070795"/>
    <x v="4"/>
    <x v="0"/>
  </r>
  <r>
    <x v="168"/>
    <x v="1"/>
    <x v="31"/>
    <x v="13"/>
    <x v="0"/>
    <n v="450"/>
    <n v="39.823008849557517"/>
    <n v="1.3274336283185839"/>
    <x v="2"/>
    <x v="1"/>
  </r>
  <r>
    <x v="169"/>
    <x v="2"/>
    <x v="102"/>
    <x v="13"/>
    <x v="0"/>
    <n v="1616.6666666666667"/>
    <n v="143.06784660766962"/>
    <n v="4.7689282202556535"/>
    <x v="4"/>
    <x v="1"/>
  </r>
  <r>
    <x v="170"/>
    <x v="1"/>
    <x v="103"/>
    <x v="13"/>
    <x v="0"/>
    <n v="796.66666666666663"/>
    <n v="70.501474926253678"/>
    <n v="2.350049164208456"/>
    <x v="1"/>
    <x v="1"/>
  </r>
  <r>
    <x v="171"/>
    <x v="0"/>
    <x v="104"/>
    <x v="13"/>
    <x v="0"/>
    <n v="278.33333333333331"/>
    <n v="24.631268436578168"/>
    <n v="0.82104228121927225"/>
    <x v="0"/>
    <x v="1"/>
  </r>
  <r>
    <x v="172"/>
    <x v="0"/>
    <x v="105"/>
    <x v="13"/>
    <x v="0"/>
    <n v="266.66666666666669"/>
    <n v="23.598820058997049"/>
    <n v="0.7866273352999017"/>
    <x v="0"/>
    <x v="1"/>
  </r>
  <r>
    <x v="173"/>
    <x v="4"/>
    <x v="106"/>
    <x v="13"/>
    <x v="1"/>
    <n v="193.33333333333334"/>
    <n v="17.10914454277286"/>
    <n v="0.57030481809242872"/>
    <x v="0"/>
    <x v="1"/>
  </r>
  <r>
    <x v="174"/>
    <x v="4"/>
    <x v="107"/>
    <x v="13"/>
    <x v="1"/>
    <n v="478.33333333333331"/>
    <n v="42.330383480825951"/>
    <n v="1.4110127826941985"/>
    <x v="1"/>
    <x v="1"/>
  </r>
  <r>
    <x v="175"/>
    <x v="1"/>
    <x v="108"/>
    <x v="13"/>
    <x v="0"/>
    <n v="150"/>
    <n v="13.274336283185839"/>
    <n v="0.44247787610619466"/>
    <x v="0"/>
    <x v="1"/>
  </r>
  <r>
    <x v="176"/>
    <x v="0"/>
    <x v="108"/>
    <x v="13"/>
    <x v="1"/>
    <n v="150"/>
    <n v="13.274336283185839"/>
    <n v="0.44247787610619466"/>
    <x v="0"/>
    <x v="1"/>
  </r>
  <r>
    <x v="177"/>
    <x v="4"/>
    <x v="45"/>
    <x v="13"/>
    <x v="0"/>
    <n v="483.33333333333331"/>
    <n v="42.772861356932147"/>
    <n v="1.4257620452310718"/>
    <x v="1"/>
    <x v="0"/>
  </r>
  <r>
    <x v="178"/>
    <x v="3"/>
    <x v="9"/>
    <x v="13"/>
    <x v="1"/>
    <n v="333.33333333333331"/>
    <n v="29.498525073746308"/>
    <n v="0.98328416912487704"/>
    <x v="2"/>
    <x v="1"/>
  </r>
  <r>
    <x v="179"/>
    <x v="2"/>
    <x v="82"/>
    <x v="13"/>
    <x v="0"/>
    <n v="400"/>
    <n v="35.398230088495573"/>
    <n v="1.1799410029498525"/>
    <x v="2"/>
    <x v="1"/>
  </r>
  <r>
    <x v="180"/>
    <x v="0"/>
    <x v="109"/>
    <x v="13"/>
    <x v="0"/>
    <n v="609.33333333333337"/>
    <n v="53.923303834808259"/>
    <n v="1.7974434611602754"/>
    <x v="1"/>
    <x v="1"/>
  </r>
  <r>
    <x v="181"/>
    <x v="4"/>
    <x v="76"/>
    <x v="13"/>
    <x v="0"/>
    <n v="183.33333333333334"/>
    <n v="16.224188790560472"/>
    <n v="0.54080629301868244"/>
    <x v="0"/>
    <x v="1"/>
  </r>
  <r>
    <x v="182"/>
    <x v="4"/>
    <x v="59"/>
    <x v="13"/>
    <x v="0"/>
    <n v="200"/>
    <n v="17.699115044247787"/>
    <n v="0.58997050147492625"/>
    <x v="0"/>
    <x v="1"/>
  </r>
  <r>
    <x v="183"/>
    <x v="3"/>
    <x v="39"/>
    <x v="13"/>
    <x v="0"/>
    <n v="233.33333333333334"/>
    <n v="20.64896755162242"/>
    <n v="0.68829891838741386"/>
    <x v="0"/>
    <x v="1"/>
  </r>
  <r>
    <x v="184"/>
    <x v="0"/>
    <x v="6"/>
    <x v="13"/>
    <x v="0"/>
    <n v="500"/>
    <n v="44.247787610619469"/>
    <n v="1.4749262536873156"/>
    <x v="1"/>
    <x v="1"/>
  </r>
  <r>
    <x v="185"/>
    <x v="3"/>
    <x v="61"/>
    <x v="13"/>
    <x v="0"/>
    <n v="270"/>
    <n v="23.89380530973451"/>
    <n v="0.79646017699115035"/>
    <x v="0"/>
    <x v="1"/>
  </r>
  <r>
    <x v="186"/>
    <x v="4"/>
    <x v="110"/>
    <x v="13"/>
    <x v="1"/>
    <n v="300"/>
    <n v="26.548672566371678"/>
    <n v="0.88495575221238931"/>
    <x v="0"/>
    <x v="1"/>
  </r>
  <r>
    <x v="187"/>
    <x v="5"/>
    <x v="111"/>
    <x v="13"/>
    <x v="1"/>
    <n v="812.83333333333337"/>
    <n v="71.932153392330378"/>
    <n v="2.3977384464110125"/>
    <x v="1"/>
    <x v="1"/>
  </r>
  <r>
    <x v="188"/>
    <x v="3"/>
    <x v="112"/>
    <x v="13"/>
    <x v="1"/>
    <n v="550"/>
    <n v="48.672566371681413"/>
    <n v="1.622418879056047"/>
    <x v="1"/>
    <x v="1"/>
  </r>
  <r>
    <x v="189"/>
    <x v="0"/>
    <x v="113"/>
    <x v="13"/>
    <x v="1"/>
    <n v="470"/>
    <n v="41.592920353982301"/>
    <n v="1.3864306784660765"/>
    <x v="1"/>
    <x v="1"/>
  </r>
  <r>
    <x v="190"/>
    <x v="3"/>
    <x v="9"/>
    <x v="13"/>
    <x v="0"/>
    <n v="333.33333333333331"/>
    <n v="29.498525073746308"/>
    <n v="0.98328416912487704"/>
    <x v="2"/>
    <x v="1"/>
  </r>
  <r>
    <x v="191"/>
    <x v="1"/>
    <x v="9"/>
    <x v="13"/>
    <x v="0"/>
    <n v="333.33333333333331"/>
    <n v="29.498525073746308"/>
    <n v="0.98328416912487704"/>
    <x v="2"/>
    <x v="1"/>
  </r>
  <r>
    <x v="192"/>
    <x v="2"/>
    <x v="114"/>
    <x v="13"/>
    <x v="0"/>
    <n v="733.33333333333337"/>
    <n v="64.896755162241888"/>
    <n v="2.1632251720747298"/>
    <x v="1"/>
    <x v="1"/>
  </r>
  <r>
    <x v="193"/>
    <x v="0"/>
    <x v="9"/>
    <x v="13"/>
    <x v="1"/>
    <n v="333.33333333333331"/>
    <n v="29.498525073746308"/>
    <n v="0.98328416912487704"/>
    <x v="2"/>
    <x v="1"/>
  </r>
  <r>
    <x v="194"/>
    <x v="4"/>
    <x v="115"/>
    <x v="13"/>
    <x v="1"/>
    <n v="566.66666666666663"/>
    <n v="50.147492625368727"/>
    <n v="1.671583087512291"/>
    <x v="1"/>
    <x v="1"/>
  </r>
  <r>
    <x v="195"/>
    <x v="0"/>
    <x v="116"/>
    <x v="13"/>
    <x v="1"/>
    <n v="366.66666666666669"/>
    <n v="32.448377581120944"/>
    <n v="1.0816125860373649"/>
    <x v="2"/>
    <x v="1"/>
  </r>
  <r>
    <x v="196"/>
    <x v="1"/>
    <x v="20"/>
    <x v="13"/>
    <x v="0"/>
    <n v="750"/>
    <n v="66.371681415929203"/>
    <n v="2.2123893805309733"/>
    <x v="1"/>
    <x v="1"/>
  </r>
  <r>
    <x v="197"/>
    <x v="1"/>
    <x v="79"/>
    <x v="13"/>
    <x v="0"/>
    <n v="416.66666666666669"/>
    <n v="36.873156342182888"/>
    <n v="1.2291052114060963"/>
    <x v="2"/>
    <x v="1"/>
  </r>
  <r>
    <x v="198"/>
    <x v="4"/>
    <x v="47"/>
    <x v="13"/>
    <x v="1"/>
    <n v="583.33333333333337"/>
    <n v="51.622418879056049"/>
    <n v="1.720747295968535"/>
    <x v="1"/>
    <x v="0"/>
  </r>
  <r>
    <x v="199"/>
    <x v="0"/>
    <x v="68"/>
    <x v="13"/>
    <x v="0"/>
    <n v="1233.3333333333333"/>
    <n v="109.14454277286134"/>
    <n v="3.6381514257620449"/>
    <x v="3"/>
    <x v="1"/>
  </r>
  <r>
    <x v="200"/>
    <x v="3"/>
    <x v="64"/>
    <x v="13"/>
    <x v="0"/>
    <n v="716.66666666666663"/>
    <n v="63.421828908554566"/>
    <n v="2.1140609636184857"/>
    <x v="1"/>
    <x v="1"/>
  </r>
  <r>
    <x v="201"/>
    <x v="5"/>
    <x v="117"/>
    <x v="13"/>
    <x v="0"/>
    <n v="754.33333333333337"/>
    <n v="66.755162241887902"/>
    <n v="2.2251720747295969"/>
    <x v="1"/>
    <x v="1"/>
  </r>
  <r>
    <x v="202"/>
    <x v="3"/>
    <x v="118"/>
    <x v="13"/>
    <x v="0"/>
    <n v="1495.6666666666667"/>
    <n v="132.35988200589969"/>
    <n v="4.411996066863324"/>
    <x v="4"/>
    <x v="1"/>
  </r>
  <r>
    <x v="203"/>
    <x v="0"/>
    <x v="119"/>
    <x v="13"/>
    <x v="0"/>
    <n v="833.33333333333337"/>
    <n v="73.746312684365776"/>
    <n v="2.4582104228121926"/>
    <x v="1"/>
    <x v="1"/>
  </r>
  <r>
    <x v="204"/>
    <x v="0"/>
    <x v="120"/>
    <x v="13"/>
    <x v="0"/>
    <n v="1873.3333333333333"/>
    <n v="165.78171091445427"/>
    <n v="5.5260570304818089"/>
    <x v="4"/>
    <x v="0"/>
  </r>
  <r>
    <x v="205"/>
    <x v="4"/>
    <x v="121"/>
    <x v="14"/>
    <x v="0"/>
    <n v="530"/>
    <n v="46.902654867256636"/>
    <n v="1.5634218289085546"/>
    <x v="1"/>
    <x v="1"/>
  </r>
  <r>
    <x v="206"/>
    <x v="2"/>
    <x v="105"/>
    <x v="14"/>
    <x v="1"/>
    <n v="320"/>
    <n v="28.318584070796458"/>
    <n v="0.94395280235988188"/>
    <x v="2"/>
    <x v="1"/>
  </r>
  <r>
    <x v="207"/>
    <x v="3"/>
    <x v="100"/>
    <x v="14"/>
    <x v="1"/>
    <n v="170"/>
    <n v="15.044247787610619"/>
    <n v="0.50147492625368728"/>
    <x v="0"/>
    <x v="1"/>
  </r>
  <r>
    <x v="208"/>
    <x v="1"/>
    <x v="6"/>
    <x v="14"/>
    <x v="0"/>
    <n v="600"/>
    <n v="53.097345132743357"/>
    <n v="1.7699115044247786"/>
    <x v="1"/>
    <x v="1"/>
  </r>
  <r>
    <x v="209"/>
    <x v="1"/>
    <x v="34"/>
    <x v="14"/>
    <x v="0"/>
    <n v="160"/>
    <n v="14.159292035398229"/>
    <n v="0.47197640117994094"/>
    <x v="0"/>
    <x v="1"/>
  </r>
  <r>
    <x v="210"/>
    <x v="2"/>
    <x v="122"/>
    <x v="14"/>
    <x v="0"/>
    <n v="1060"/>
    <n v="93.805309734513273"/>
    <n v="3.1268436578171093"/>
    <x v="3"/>
    <x v="0"/>
  </r>
  <r>
    <x v="211"/>
    <x v="3"/>
    <x v="123"/>
    <x v="14"/>
    <x v="0"/>
    <n v="196"/>
    <n v="17.345132743362832"/>
    <n v="0.57817109144542767"/>
    <x v="0"/>
    <x v="1"/>
  </r>
  <r>
    <x v="212"/>
    <x v="4"/>
    <x v="124"/>
    <x v="14"/>
    <x v="0"/>
    <n v="80"/>
    <n v="7.0796460176991145"/>
    <n v="0.23598820058997047"/>
    <x v="0"/>
    <x v="1"/>
  </r>
  <r>
    <x v="213"/>
    <x v="2"/>
    <x v="124"/>
    <x v="14"/>
    <x v="1"/>
    <n v="80"/>
    <n v="7.0796460176991145"/>
    <n v="0.23598820058997047"/>
    <x v="0"/>
    <x v="0"/>
  </r>
  <r>
    <x v="214"/>
    <x v="0"/>
    <x v="105"/>
    <x v="14"/>
    <x v="0"/>
    <n v="320"/>
    <n v="28.318584070796458"/>
    <n v="0.94395280235988188"/>
    <x v="2"/>
    <x v="0"/>
  </r>
  <r>
    <x v="215"/>
    <x v="5"/>
    <x v="124"/>
    <x v="14"/>
    <x v="0"/>
    <n v="80"/>
    <n v="7.0796460176991145"/>
    <n v="0.23598820058997047"/>
    <x v="0"/>
    <x v="0"/>
  </r>
  <r>
    <x v="216"/>
    <x v="4"/>
    <x v="78"/>
    <x v="14"/>
    <x v="0"/>
    <n v="100"/>
    <n v="8.8495575221238933"/>
    <n v="0.29498525073746312"/>
    <x v="0"/>
    <x v="1"/>
  </r>
  <r>
    <x v="217"/>
    <x v="4"/>
    <x v="76"/>
    <x v="14"/>
    <x v="0"/>
    <n v="220"/>
    <n v="19.469026548672566"/>
    <n v="0.64896755162241881"/>
    <x v="0"/>
    <x v="1"/>
  </r>
  <r>
    <x v="218"/>
    <x v="1"/>
    <x v="30"/>
    <x v="14"/>
    <x v="0"/>
    <n v="200"/>
    <n v="17.699115044247787"/>
    <n v="0.58997050147492625"/>
    <x v="0"/>
    <x v="0"/>
  </r>
  <r>
    <x v="219"/>
    <x v="0"/>
    <x v="30"/>
    <x v="14"/>
    <x v="1"/>
    <n v="200"/>
    <n v="17.699115044247787"/>
    <n v="0.58997050147492625"/>
    <x v="0"/>
    <x v="1"/>
  </r>
  <r>
    <x v="220"/>
    <x v="0"/>
    <x v="78"/>
    <x v="14"/>
    <x v="0"/>
    <n v="100"/>
    <n v="8.8495575221238933"/>
    <n v="0.29498525073746312"/>
    <x v="0"/>
    <x v="1"/>
  </r>
  <r>
    <x v="221"/>
    <x v="3"/>
    <x v="125"/>
    <x v="14"/>
    <x v="0"/>
    <n v="780"/>
    <n v="69.026548672566364"/>
    <n v="2.3008849557522124"/>
    <x v="1"/>
    <x v="1"/>
  </r>
  <r>
    <x v="222"/>
    <x v="1"/>
    <x v="126"/>
    <x v="14"/>
    <x v="1"/>
    <n v="216"/>
    <n v="19.115044247787608"/>
    <n v="0.63716814159292035"/>
    <x v="0"/>
    <x v="1"/>
  </r>
  <r>
    <x v="223"/>
    <x v="3"/>
    <x v="18"/>
    <x v="14"/>
    <x v="1"/>
    <n v="120"/>
    <n v="10.619469026548671"/>
    <n v="0.35398230088495575"/>
    <x v="0"/>
    <x v="1"/>
  </r>
  <r>
    <x v="224"/>
    <x v="3"/>
    <x v="59"/>
    <x v="14"/>
    <x v="1"/>
    <n v="240"/>
    <n v="21.238938053097343"/>
    <n v="0.70796460176991149"/>
    <x v="0"/>
    <x v="1"/>
  </r>
  <r>
    <x v="225"/>
    <x v="0"/>
    <x v="18"/>
    <x v="14"/>
    <x v="0"/>
    <n v="120"/>
    <n v="10.619469026548671"/>
    <n v="0.35398230088495575"/>
    <x v="0"/>
    <x v="1"/>
  </r>
  <r>
    <x v="226"/>
    <x v="1"/>
    <x v="56"/>
    <x v="14"/>
    <x v="0"/>
    <n v="140"/>
    <n v="12.389380530973451"/>
    <n v="0.41297935103244837"/>
    <x v="0"/>
    <x v="1"/>
  </r>
  <r>
    <x v="227"/>
    <x v="2"/>
    <x v="30"/>
    <x v="14"/>
    <x v="1"/>
    <n v="200"/>
    <n v="17.699115044247787"/>
    <n v="0.58997050147492625"/>
    <x v="0"/>
    <x v="1"/>
  </r>
  <r>
    <x v="228"/>
    <x v="0"/>
    <x v="39"/>
    <x v="14"/>
    <x v="0"/>
    <n v="280"/>
    <n v="24.778761061946902"/>
    <n v="0.82595870206489674"/>
    <x v="0"/>
    <x v="1"/>
  </r>
  <r>
    <x v="229"/>
    <x v="0"/>
    <x v="127"/>
    <x v="14"/>
    <x v="1"/>
    <n v="304.39999999999998"/>
    <n v="26.938053097345129"/>
    <n v="0.89793510324483772"/>
    <x v="2"/>
    <x v="1"/>
  </r>
  <r>
    <x v="230"/>
    <x v="2"/>
    <x v="128"/>
    <x v="14"/>
    <x v="0"/>
    <n v="204"/>
    <n v="18.053097345132741"/>
    <n v="0.60176991150442471"/>
    <x v="0"/>
    <x v="1"/>
  </r>
  <r>
    <x v="231"/>
    <x v="3"/>
    <x v="34"/>
    <x v="14"/>
    <x v="0"/>
    <n v="160"/>
    <n v="14.159292035398229"/>
    <n v="0.47197640117994094"/>
    <x v="0"/>
    <x v="1"/>
  </r>
  <r>
    <x v="232"/>
    <x v="0"/>
    <x v="110"/>
    <x v="14"/>
    <x v="0"/>
    <n v="360"/>
    <n v="31.858407079646014"/>
    <n v="1.0619469026548671"/>
    <x v="2"/>
    <x v="1"/>
  </r>
  <r>
    <x v="233"/>
    <x v="0"/>
    <x v="129"/>
    <x v="14"/>
    <x v="0"/>
    <n v="640"/>
    <n v="56.637168141592916"/>
    <n v="1.8879056047197638"/>
    <x v="1"/>
    <x v="1"/>
  </r>
  <r>
    <x v="234"/>
    <x v="0"/>
    <x v="130"/>
    <x v="14"/>
    <x v="0"/>
    <n v="556"/>
    <n v="49.203539823008846"/>
    <n v="1.640117994100295"/>
    <x v="1"/>
    <x v="1"/>
  </r>
  <r>
    <x v="235"/>
    <x v="2"/>
    <x v="82"/>
    <x v="14"/>
    <x v="0"/>
    <n v="480"/>
    <n v="42.477876106194685"/>
    <n v="1.415929203539823"/>
    <x v="1"/>
    <x v="1"/>
  </r>
  <r>
    <x v="236"/>
    <x v="3"/>
    <x v="131"/>
    <x v="14"/>
    <x v="1"/>
    <n v="1630"/>
    <n v="144.24778761061947"/>
    <n v="4.8082595870206486"/>
    <x v="4"/>
    <x v="0"/>
  </r>
  <r>
    <x v="237"/>
    <x v="4"/>
    <x v="105"/>
    <x v="14"/>
    <x v="1"/>
    <n v="320"/>
    <n v="28.318584070796458"/>
    <n v="0.94395280235988188"/>
    <x v="2"/>
    <x v="1"/>
  </r>
  <r>
    <x v="238"/>
    <x v="0"/>
    <x v="132"/>
    <x v="14"/>
    <x v="0"/>
    <n v="824"/>
    <n v="72.920353982300881"/>
    <n v="2.4306784660766958"/>
    <x v="1"/>
    <x v="1"/>
  </r>
  <r>
    <x v="239"/>
    <x v="5"/>
    <x v="16"/>
    <x v="14"/>
    <x v="0"/>
    <n v="310"/>
    <n v="27.43362831858407"/>
    <n v="0.91445427728613571"/>
    <x v="2"/>
    <x v="1"/>
  </r>
  <r>
    <x v="240"/>
    <x v="3"/>
    <x v="133"/>
    <x v="14"/>
    <x v="0"/>
    <n v="750"/>
    <n v="66.371681415929203"/>
    <n v="2.2123893805309733"/>
    <x v="1"/>
    <x v="1"/>
  </r>
  <r>
    <x v="241"/>
    <x v="3"/>
    <x v="125"/>
    <x v="14"/>
    <x v="1"/>
    <n v="780"/>
    <n v="69.026548672566364"/>
    <n v="2.3008849557522124"/>
    <x v="1"/>
    <x v="1"/>
  </r>
  <r>
    <x v="242"/>
    <x v="3"/>
    <x v="82"/>
    <x v="14"/>
    <x v="1"/>
    <n v="480"/>
    <n v="42.477876106194685"/>
    <n v="1.415929203539823"/>
    <x v="1"/>
    <x v="0"/>
  </r>
  <r>
    <x v="243"/>
    <x v="3"/>
    <x v="134"/>
    <x v="14"/>
    <x v="1"/>
    <n v="516"/>
    <n v="45.663716814159287"/>
    <n v="1.5221238938053097"/>
    <x v="1"/>
    <x v="1"/>
  </r>
  <r>
    <x v="244"/>
    <x v="1"/>
    <x v="9"/>
    <x v="14"/>
    <x v="1"/>
    <n v="400"/>
    <n v="35.398230088495573"/>
    <n v="1.1799410029498525"/>
    <x v="2"/>
    <x v="1"/>
  </r>
  <r>
    <x v="245"/>
    <x v="0"/>
    <x v="30"/>
    <x v="14"/>
    <x v="1"/>
    <n v="200"/>
    <n v="17.699115044247787"/>
    <n v="0.58997050147492625"/>
    <x v="0"/>
    <x v="0"/>
  </r>
  <r>
    <x v="246"/>
    <x v="4"/>
    <x v="116"/>
    <x v="14"/>
    <x v="0"/>
    <n v="440"/>
    <n v="38.938053097345133"/>
    <n v="1.2979351032448376"/>
    <x v="2"/>
    <x v="1"/>
  </r>
  <r>
    <x v="247"/>
    <x v="5"/>
    <x v="87"/>
    <x v="14"/>
    <x v="0"/>
    <n v="760"/>
    <n v="67.256637168141594"/>
    <n v="2.2418879056047194"/>
    <x v="1"/>
    <x v="1"/>
  </r>
  <r>
    <x v="248"/>
    <x v="0"/>
    <x v="135"/>
    <x v="14"/>
    <x v="0"/>
    <n v="610"/>
    <n v="53.982300884955748"/>
    <n v="1.7994100294985249"/>
    <x v="1"/>
    <x v="1"/>
  </r>
  <r>
    <x v="249"/>
    <x v="0"/>
    <x v="79"/>
    <x v="14"/>
    <x v="0"/>
    <n v="500"/>
    <n v="44.247787610619469"/>
    <n v="1.4749262536873156"/>
    <x v="1"/>
    <x v="1"/>
  </r>
  <r>
    <x v="250"/>
    <x v="2"/>
    <x v="112"/>
    <x v="14"/>
    <x v="0"/>
    <n v="660"/>
    <n v="58.407079646017692"/>
    <n v="1.9469026548672566"/>
    <x v="1"/>
    <x v="1"/>
  </r>
  <r>
    <x v="251"/>
    <x v="4"/>
    <x v="136"/>
    <x v="14"/>
    <x v="1"/>
    <n v="260"/>
    <n v="23.008849557522122"/>
    <n v="0.76696165191740406"/>
    <x v="0"/>
    <x v="1"/>
  </r>
  <r>
    <x v="252"/>
    <x v="3"/>
    <x v="67"/>
    <x v="14"/>
    <x v="0"/>
    <n v="560"/>
    <n v="49.557522123893804"/>
    <n v="1.6519174041297935"/>
    <x v="1"/>
    <x v="1"/>
  </r>
  <r>
    <x v="253"/>
    <x v="3"/>
    <x v="19"/>
    <x v="14"/>
    <x v="0"/>
    <n v="300"/>
    <n v="26.548672566371678"/>
    <n v="0.88495575221238931"/>
    <x v="0"/>
    <x v="1"/>
  </r>
  <r>
    <x v="254"/>
    <x v="4"/>
    <x v="19"/>
    <x v="14"/>
    <x v="1"/>
    <n v="300"/>
    <n v="26.548672566371678"/>
    <n v="0.88495575221238931"/>
    <x v="0"/>
    <x v="1"/>
  </r>
  <r>
    <x v="255"/>
    <x v="3"/>
    <x v="79"/>
    <x v="14"/>
    <x v="1"/>
    <n v="500"/>
    <n v="44.247787610619469"/>
    <n v="1.4749262536873156"/>
    <x v="1"/>
    <x v="1"/>
  </r>
  <r>
    <x v="256"/>
    <x v="1"/>
    <x v="6"/>
    <x v="14"/>
    <x v="1"/>
    <n v="600"/>
    <n v="53.097345132743357"/>
    <n v="1.7699115044247786"/>
    <x v="1"/>
    <x v="1"/>
  </r>
  <r>
    <x v="257"/>
    <x v="2"/>
    <x v="6"/>
    <x v="14"/>
    <x v="0"/>
    <n v="600"/>
    <n v="53.097345132743357"/>
    <n v="1.7699115044247786"/>
    <x v="1"/>
    <x v="1"/>
  </r>
  <r>
    <x v="258"/>
    <x v="0"/>
    <x v="19"/>
    <x v="14"/>
    <x v="0"/>
    <n v="300"/>
    <n v="26.548672566371678"/>
    <n v="0.88495575221238931"/>
    <x v="0"/>
    <x v="1"/>
  </r>
  <r>
    <x v="259"/>
    <x v="0"/>
    <x v="7"/>
    <x v="14"/>
    <x v="0"/>
    <n v="1200"/>
    <n v="106.19469026548671"/>
    <n v="3.5398230088495573"/>
    <x v="3"/>
    <x v="1"/>
  </r>
  <r>
    <x v="260"/>
    <x v="0"/>
    <x v="31"/>
    <x v="14"/>
    <x v="1"/>
    <n v="540"/>
    <n v="47.787610619469021"/>
    <n v="1.5929203539823007"/>
    <x v="1"/>
    <x v="1"/>
  </r>
  <r>
    <x v="261"/>
    <x v="4"/>
    <x v="9"/>
    <x v="14"/>
    <x v="1"/>
    <n v="400"/>
    <n v="35.398230088495573"/>
    <n v="1.1799410029498525"/>
    <x v="2"/>
    <x v="1"/>
  </r>
  <r>
    <x v="262"/>
    <x v="3"/>
    <x v="47"/>
    <x v="14"/>
    <x v="0"/>
    <n v="700"/>
    <n v="61.946902654867252"/>
    <n v="2.0648967551622417"/>
    <x v="1"/>
    <x v="1"/>
  </r>
  <r>
    <x v="263"/>
    <x v="1"/>
    <x v="9"/>
    <x v="14"/>
    <x v="1"/>
    <n v="400"/>
    <n v="35.398230088495573"/>
    <n v="1.1799410029498525"/>
    <x v="2"/>
    <x v="1"/>
  </r>
  <r>
    <x v="264"/>
    <x v="2"/>
    <x v="9"/>
    <x v="14"/>
    <x v="1"/>
    <n v="400"/>
    <n v="35.398230088495573"/>
    <n v="1.1799410029498525"/>
    <x v="2"/>
    <x v="1"/>
  </r>
  <r>
    <x v="265"/>
    <x v="2"/>
    <x v="137"/>
    <x v="14"/>
    <x v="1"/>
    <n v="1600"/>
    <n v="141.59292035398229"/>
    <n v="4.71976401179941"/>
    <x v="4"/>
    <x v="1"/>
  </r>
  <r>
    <x v="266"/>
    <x v="3"/>
    <x v="119"/>
    <x v="14"/>
    <x v="1"/>
    <n v="1000"/>
    <n v="88.495575221238937"/>
    <n v="2.9498525073746311"/>
    <x v="3"/>
    <x v="1"/>
  </r>
  <r>
    <x v="267"/>
    <x v="2"/>
    <x v="138"/>
    <x v="14"/>
    <x v="0"/>
    <n v="7000"/>
    <n v="619.46902654867256"/>
    <n v="20.64896755162242"/>
    <x v="4"/>
    <x v="1"/>
  </r>
  <r>
    <x v="268"/>
    <x v="3"/>
    <x v="139"/>
    <x v="14"/>
    <x v="0"/>
    <n v="1500"/>
    <n v="132.74336283185841"/>
    <n v="4.4247787610619467"/>
    <x v="4"/>
    <x v="1"/>
  </r>
  <r>
    <x v="269"/>
    <x v="1"/>
    <x v="6"/>
    <x v="14"/>
    <x v="1"/>
    <n v="600"/>
    <n v="53.097345132743357"/>
    <n v="1.7699115044247786"/>
    <x v="1"/>
    <x v="1"/>
  </r>
  <r>
    <x v="270"/>
    <x v="3"/>
    <x v="65"/>
    <x v="14"/>
    <x v="0"/>
    <n v="1400"/>
    <n v="123.8938053097345"/>
    <n v="4.1297935103244834"/>
    <x v="4"/>
    <x v="1"/>
  </r>
  <r>
    <x v="271"/>
    <x v="3"/>
    <x v="137"/>
    <x v="14"/>
    <x v="0"/>
    <n v="1600"/>
    <n v="141.59292035398229"/>
    <n v="4.71976401179941"/>
    <x v="4"/>
    <x v="0"/>
  </r>
  <r>
    <x v="272"/>
    <x v="0"/>
    <x v="20"/>
    <x v="14"/>
    <x v="0"/>
    <n v="900"/>
    <n v="79.646017699115035"/>
    <n v="2.6548672566371678"/>
    <x v="3"/>
    <x v="1"/>
  </r>
  <r>
    <x v="273"/>
    <x v="3"/>
    <x v="20"/>
    <x v="14"/>
    <x v="0"/>
    <n v="900"/>
    <n v="79.646017699115035"/>
    <n v="2.6548672566371678"/>
    <x v="3"/>
    <x v="1"/>
  </r>
  <r>
    <x v="274"/>
    <x v="2"/>
    <x v="5"/>
    <x v="14"/>
    <x v="0"/>
    <n v="1800"/>
    <n v="159.29203539823007"/>
    <n v="5.3097345132743357"/>
    <x v="4"/>
    <x v="0"/>
  </r>
  <r>
    <x v="275"/>
    <x v="3"/>
    <x v="140"/>
    <x v="14"/>
    <x v="1"/>
    <n v="3951"/>
    <n v="349.64601769911502"/>
    <n v="11.654867256637166"/>
    <x v="4"/>
    <x v="1"/>
  </r>
  <r>
    <x v="276"/>
    <x v="0"/>
    <x v="141"/>
    <x v="15"/>
    <x v="0"/>
    <n v="252.5"/>
    <n v="22.345132743362832"/>
    <n v="0.74483775811209429"/>
    <x v="0"/>
    <x v="0"/>
  </r>
  <r>
    <x v="277"/>
    <x v="0"/>
    <x v="142"/>
    <x v="15"/>
    <x v="0"/>
    <n v="20"/>
    <n v="1.7699115044247786"/>
    <n v="5.8997050147492618E-2"/>
    <x v="0"/>
    <x v="1"/>
  </r>
  <r>
    <x v="278"/>
    <x v="1"/>
    <x v="18"/>
    <x v="15"/>
    <x v="0"/>
    <n v="150"/>
    <n v="13.274336283185839"/>
    <n v="0.44247787610619466"/>
    <x v="0"/>
    <x v="1"/>
  </r>
  <r>
    <x v="279"/>
    <x v="3"/>
    <x v="143"/>
    <x v="15"/>
    <x v="0"/>
    <n v="828.75"/>
    <n v="73.340707964601762"/>
    <n v="2.4446902654867255"/>
    <x v="1"/>
    <x v="1"/>
  </r>
  <r>
    <x v="280"/>
    <x v="2"/>
    <x v="144"/>
    <x v="15"/>
    <x v="1"/>
    <n v="30"/>
    <n v="2.6548672566371678"/>
    <n v="8.8495575221238937E-2"/>
    <x v="0"/>
    <x v="1"/>
  </r>
  <r>
    <x v="281"/>
    <x v="1"/>
    <x v="116"/>
    <x v="15"/>
    <x v="0"/>
    <n v="550"/>
    <n v="48.672566371681413"/>
    <n v="1.622418879056047"/>
    <x v="1"/>
    <x v="1"/>
  </r>
  <r>
    <x v="282"/>
    <x v="1"/>
    <x v="18"/>
    <x v="15"/>
    <x v="0"/>
    <n v="150"/>
    <n v="13.274336283185839"/>
    <n v="0.44247787610619466"/>
    <x v="0"/>
    <x v="0"/>
  </r>
  <r>
    <x v="283"/>
    <x v="5"/>
    <x v="145"/>
    <x v="15"/>
    <x v="1"/>
    <n v="62.5"/>
    <n v="5.5309734513274336"/>
    <n v="0.18436578171091444"/>
    <x v="0"/>
    <x v="1"/>
  </r>
  <r>
    <x v="284"/>
    <x v="3"/>
    <x v="145"/>
    <x v="15"/>
    <x v="0"/>
    <n v="62.5"/>
    <n v="5.5309734513274336"/>
    <n v="0.18436578171091444"/>
    <x v="0"/>
    <x v="1"/>
  </r>
  <r>
    <x v="285"/>
    <x v="1"/>
    <x v="146"/>
    <x v="15"/>
    <x v="1"/>
    <n v="215.25"/>
    <n v="19.048672566371682"/>
    <n v="0.63495575221238931"/>
    <x v="0"/>
    <x v="1"/>
  </r>
  <r>
    <x v="286"/>
    <x v="0"/>
    <x v="147"/>
    <x v="15"/>
    <x v="0"/>
    <n v="249.25"/>
    <n v="22.057522123893804"/>
    <n v="0.73525073746312686"/>
    <x v="0"/>
    <x v="1"/>
  </r>
  <r>
    <x v="287"/>
    <x v="3"/>
    <x v="49"/>
    <x v="15"/>
    <x v="0"/>
    <n v="75"/>
    <n v="6.6371681415929196"/>
    <n v="0.22123893805309733"/>
    <x v="0"/>
    <x v="1"/>
  </r>
  <r>
    <x v="288"/>
    <x v="5"/>
    <x v="136"/>
    <x v="15"/>
    <x v="0"/>
    <n v="325"/>
    <n v="28.761061946902654"/>
    <n v="0.95870206489675514"/>
    <x v="2"/>
    <x v="0"/>
  </r>
  <r>
    <x v="289"/>
    <x v="3"/>
    <x v="30"/>
    <x v="15"/>
    <x v="0"/>
    <n v="250"/>
    <n v="22.123893805309734"/>
    <n v="0.73746312684365778"/>
    <x v="0"/>
    <x v="0"/>
  </r>
  <r>
    <x v="290"/>
    <x v="3"/>
    <x v="108"/>
    <x v="15"/>
    <x v="0"/>
    <n v="225"/>
    <n v="19.911504424778759"/>
    <n v="0.66371681415929196"/>
    <x v="0"/>
    <x v="0"/>
  </r>
  <r>
    <x v="291"/>
    <x v="4"/>
    <x v="34"/>
    <x v="15"/>
    <x v="1"/>
    <n v="200"/>
    <n v="17.699115044247787"/>
    <n v="0.58997050147492625"/>
    <x v="0"/>
    <x v="1"/>
  </r>
  <r>
    <x v="292"/>
    <x v="0"/>
    <x v="19"/>
    <x v="15"/>
    <x v="1"/>
    <n v="375"/>
    <n v="33.185840707964601"/>
    <n v="1.1061946902654867"/>
    <x v="2"/>
    <x v="1"/>
  </r>
  <r>
    <x v="293"/>
    <x v="1"/>
    <x v="148"/>
    <x v="15"/>
    <x v="0"/>
    <n v="455"/>
    <n v="40.265486725663713"/>
    <n v="1.3421828908554572"/>
    <x v="1"/>
    <x v="1"/>
  </r>
  <r>
    <x v="294"/>
    <x v="3"/>
    <x v="74"/>
    <x v="15"/>
    <x v="0"/>
    <n v="87.5"/>
    <n v="7.7433628318584065"/>
    <n v="0.25811209439528021"/>
    <x v="0"/>
    <x v="1"/>
  </r>
  <r>
    <x v="295"/>
    <x v="1"/>
    <x v="149"/>
    <x v="15"/>
    <x v="1"/>
    <n v="465.25"/>
    <n v="41.172566371681413"/>
    <n v="1.372418879056047"/>
    <x v="1"/>
    <x v="1"/>
  </r>
  <r>
    <x v="296"/>
    <x v="0"/>
    <x v="74"/>
    <x v="15"/>
    <x v="0"/>
    <n v="87.5"/>
    <n v="7.7433628318584065"/>
    <n v="0.25811209439528021"/>
    <x v="0"/>
    <x v="1"/>
  </r>
  <r>
    <x v="297"/>
    <x v="3"/>
    <x v="150"/>
    <x v="15"/>
    <x v="1"/>
    <n v="88.25"/>
    <n v="7.8097345132743357"/>
    <n v="0.26032448377581119"/>
    <x v="0"/>
    <x v="1"/>
  </r>
  <r>
    <x v="298"/>
    <x v="0"/>
    <x v="151"/>
    <x v="15"/>
    <x v="1"/>
    <n v="177.5"/>
    <n v="15.707964601769911"/>
    <n v="0.52359882005899705"/>
    <x v="0"/>
    <x v="1"/>
  </r>
  <r>
    <x v="299"/>
    <x v="4"/>
    <x v="59"/>
    <x v="15"/>
    <x v="1"/>
    <n v="300"/>
    <n v="26.548672566371678"/>
    <n v="0.88495575221238931"/>
    <x v="0"/>
    <x v="1"/>
  </r>
  <r>
    <x v="300"/>
    <x v="5"/>
    <x v="136"/>
    <x v="15"/>
    <x v="0"/>
    <n v="325"/>
    <n v="28.761061946902654"/>
    <n v="0.95870206489675514"/>
    <x v="2"/>
    <x v="0"/>
  </r>
  <r>
    <x v="301"/>
    <x v="5"/>
    <x v="48"/>
    <x v="15"/>
    <x v="0"/>
    <n v="900"/>
    <n v="79.646017699115035"/>
    <n v="2.6548672566371678"/>
    <x v="3"/>
    <x v="1"/>
  </r>
  <r>
    <x v="302"/>
    <x v="3"/>
    <x v="124"/>
    <x v="15"/>
    <x v="0"/>
    <n v="100"/>
    <n v="8.8495575221238933"/>
    <n v="0.29498525073746312"/>
    <x v="0"/>
    <x v="1"/>
  </r>
  <r>
    <x v="303"/>
    <x v="3"/>
    <x v="116"/>
    <x v="15"/>
    <x v="1"/>
    <n v="550"/>
    <n v="48.672566371681413"/>
    <n v="1.622418879056047"/>
    <x v="1"/>
    <x v="1"/>
  </r>
  <r>
    <x v="304"/>
    <x v="1"/>
    <x v="124"/>
    <x v="15"/>
    <x v="0"/>
    <n v="100"/>
    <n v="8.8495575221238933"/>
    <n v="0.29498525073746312"/>
    <x v="0"/>
    <x v="0"/>
  </r>
  <r>
    <x v="305"/>
    <x v="1"/>
    <x v="124"/>
    <x v="15"/>
    <x v="0"/>
    <n v="100"/>
    <n v="8.8495575221238933"/>
    <n v="0.29498525073746312"/>
    <x v="0"/>
    <x v="1"/>
  </r>
  <r>
    <x v="306"/>
    <x v="1"/>
    <x v="152"/>
    <x v="15"/>
    <x v="1"/>
    <n v="1312"/>
    <n v="116.10619469026548"/>
    <n v="3.8702064896755162"/>
    <x v="3"/>
    <x v="1"/>
  </r>
  <r>
    <x v="307"/>
    <x v="1"/>
    <x v="82"/>
    <x v="15"/>
    <x v="0"/>
    <n v="600"/>
    <n v="53.097345132743357"/>
    <n v="1.7699115044247786"/>
    <x v="1"/>
    <x v="1"/>
  </r>
  <r>
    <x v="308"/>
    <x v="0"/>
    <x v="153"/>
    <x v="15"/>
    <x v="0"/>
    <n v="104.25"/>
    <n v="9.2256637168141591"/>
    <n v="0.30752212389380529"/>
    <x v="0"/>
    <x v="1"/>
  </r>
  <r>
    <x v="309"/>
    <x v="3"/>
    <x v="128"/>
    <x v="15"/>
    <x v="1"/>
    <n v="255"/>
    <n v="22.566371681415927"/>
    <n v="0.75221238938053092"/>
    <x v="0"/>
    <x v="1"/>
  </r>
  <r>
    <x v="310"/>
    <x v="2"/>
    <x v="154"/>
    <x v="15"/>
    <x v="0"/>
    <n v="110"/>
    <n v="9.7345132743362832"/>
    <n v="0.32448377581120941"/>
    <x v="0"/>
    <x v="0"/>
  </r>
  <r>
    <x v="311"/>
    <x v="2"/>
    <x v="34"/>
    <x v="15"/>
    <x v="0"/>
    <n v="200"/>
    <n v="17.699115044247787"/>
    <n v="0.58997050147492625"/>
    <x v="0"/>
    <x v="1"/>
  </r>
  <r>
    <x v="312"/>
    <x v="3"/>
    <x v="155"/>
    <x v="15"/>
    <x v="1"/>
    <n v="2625"/>
    <n v="232.3008849557522"/>
    <n v="7.7433628318584065"/>
    <x v="4"/>
    <x v="1"/>
  </r>
  <r>
    <x v="313"/>
    <x v="5"/>
    <x v="78"/>
    <x v="15"/>
    <x v="1"/>
    <n v="125"/>
    <n v="11.061946902654867"/>
    <n v="0.36873156342182889"/>
    <x v="0"/>
    <x v="1"/>
  </r>
  <r>
    <x v="314"/>
    <x v="5"/>
    <x v="156"/>
    <x v="15"/>
    <x v="1"/>
    <n v="3900"/>
    <n v="345.13274336283183"/>
    <n v="11.504424778761061"/>
    <x v="4"/>
    <x v="1"/>
  </r>
  <r>
    <x v="315"/>
    <x v="3"/>
    <x v="78"/>
    <x v="15"/>
    <x v="0"/>
    <n v="125"/>
    <n v="11.061946902654867"/>
    <n v="0.36873156342182889"/>
    <x v="0"/>
    <x v="1"/>
  </r>
  <r>
    <x v="316"/>
    <x v="3"/>
    <x v="78"/>
    <x v="15"/>
    <x v="0"/>
    <n v="125"/>
    <n v="11.061946902654867"/>
    <n v="0.36873156342182889"/>
    <x v="0"/>
    <x v="0"/>
  </r>
  <r>
    <x v="317"/>
    <x v="1"/>
    <x v="39"/>
    <x v="15"/>
    <x v="0"/>
    <n v="350"/>
    <n v="30.973451327433626"/>
    <n v="1.0324483775811208"/>
    <x v="2"/>
    <x v="0"/>
  </r>
  <r>
    <x v="318"/>
    <x v="1"/>
    <x v="19"/>
    <x v="15"/>
    <x v="1"/>
    <n v="375"/>
    <n v="33.185840707964601"/>
    <n v="1.1061946902654867"/>
    <x v="2"/>
    <x v="0"/>
  </r>
  <r>
    <x v="319"/>
    <x v="1"/>
    <x v="30"/>
    <x v="15"/>
    <x v="1"/>
    <n v="250"/>
    <n v="22.123893805309734"/>
    <n v="0.73746312684365778"/>
    <x v="0"/>
    <x v="1"/>
  </r>
  <r>
    <x v="320"/>
    <x v="1"/>
    <x v="79"/>
    <x v="15"/>
    <x v="0"/>
    <n v="625"/>
    <n v="55.309734513274336"/>
    <n v="1.8436578171091442"/>
    <x v="1"/>
    <x v="1"/>
  </r>
  <r>
    <x v="321"/>
    <x v="2"/>
    <x v="27"/>
    <x v="15"/>
    <x v="1"/>
    <n v="475"/>
    <n v="42.035398230088489"/>
    <n v="1.4011799410029497"/>
    <x v="1"/>
    <x v="1"/>
  </r>
  <r>
    <x v="322"/>
    <x v="0"/>
    <x v="78"/>
    <x v="15"/>
    <x v="0"/>
    <n v="125"/>
    <n v="11.061946902654867"/>
    <n v="0.36873156342182889"/>
    <x v="0"/>
    <x v="1"/>
  </r>
  <r>
    <x v="323"/>
    <x v="3"/>
    <x v="157"/>
    <x v="15"/>
    <x v="0"/>
    <n v="155"/>
    <n v="13.716814159292035"/>
    <n v="0.45722713864306785"/>
    <x v="0"/>
    <x v="1"/>
  </r>
  <r>
    <x v="324"/>
    <x v="3"/>
    <x v="18"/>
    <x v="15"/>
    <x v="0"/>
    <n v="150"/>
    <n v="13.274336283185839"/>
    <n v="0.44247787610619466"/>
    <x v="0"/>
    <x v="1"/>
  </r>
  <r>
    <x v="325"/>
    <x v="3"/>
    <x v="18"/>
    <x v="15"/>
    <x v="1"/>
    <n v="150"/>
    <n v="13.274336283185839"/>
    <n v="0.44247787610619466"/>
    <x v="0"/>
    <x v="1"/>
  </r>
  <r>
    <x v="326"/>
    <x v="3"/>
    <x v="18"/>
    <x v="15"/>
    <x v="1"/>
    <n v="150"/>
    <n v="13.274336283185839"/>
    <n v="0.44247787610619466"/>
    <x v="0"/>
    <x v="1"/>
  </r>
  <r>
    <x v="327"/>
    <x v="4"/>
    <x v="18"/>
    <x v="15"/>
    <x v="1"/>
    <n v="150"/>
    <n v="13.274336283185839"/>
    <n v="0.44247787610619466"/>
    <x v="0"/>
    <x v="1"/>
  </r>
  <r>
    <x v="328"/>
    <x v="2"/>
    <x v="18"/>
    <x v="15"/>
    <x v="0"/>
    <n v="150"/>
    <n v="13.274336283185839"/>
    <n v="0.44247787610619466"/>
    <x v="0"/>
    <x v="1"/>
  </r>
  <r>
    <x v="329"/>
    <x v="2"/>
    <x v="158"/>
    <x v="15"/>
    <x v="0"/>
    <n v="1275"/>
    <n v="112.83185840707964"/>
    <n v="3.7610619469026547"/>
    <x v="3"/>
    <x v="1"/>
  </r>
  <r>
    <x v="330"/>
    <x v="0"/>
    <x v="9"/>
    <x v="15"/>
    <x v="1"/>
    <n v="500"/>
    <n v="44.247787610619469"/>
    <n v="1.4749262536873156"/>
    <x v="1"/>
    <x v="1"/>
  </r>
  <r>
    <x v="331"/>
    <x v="0"/>
    <x v="20"/>
    <x v="15"/>
    <x v="1"/>
    <n v="1125"/>
    <n v="99.557522123893804"/>
    <n v="3.3185840707964598"/>
    <x v="3"/>
    <x v="1"/>
  </r>
  <r>
    <x v="332"/>
    <x v="3"/>
    <x v="157"/>
    <x v="15"/>
    <x v="0"/>
    <n v="155"/>
    <n v="13.716814159292035"/>
    <n v="0.45722713864306785"/>
    <x v="0"/>
    <x v="1"/>
  </r>
  <r>
    <x v="333"/>
    <x v="3"/>
    <x v="57"/>
    <x v="15"/>
    <x v="0"/>
    <n v="437.5"/>
    <n v="38.716814159292035"/>
    <n v="1.2905604719764012"/>
    <x v="2"/>
    <x v="1"/>
  </r>
  <r>
    <x v="334"/>
    <x v="3"/>
    <x v="57"/>
    <x v="15"/>
    <x v="0"/>
    <n v="437.5"/>
    <n v="38.716814159292035"/>
    <n v="1.2905604719764012"/>
    <x v="2"/>
    <x v="1"/>
  </r>
  <r>
    <x v="335"/>
    <x v="3"/>
    <x v="30"/>
    <x v="15"/>
    <x v="0"/>
    <n v="250"/>
    <n v="22.123893805309734"/>
    <n v="0.73746312684365778"/>
    <x v="0"/>
    <x v="1"/>
  </r>
  <r>
    <x v="336"/>
    <x v="0"/>
    <x v="56"/>
    <x v="15"/>
    <x v="0"/>
    <n v="175"/>
    <n v="15.486725663716813"/>
    <n v="0.51622418879056042"/>
    <x v="0"/>
    <x v="1"/>
  </r>
  <r>
    <x v="337"/>
    <x v="4"/>
    <x v="159"/>
    <x v="15"/>
    <x v="0"/>
    <n v="265"/>
    <n v="23.451327433628318"/>
    <n v="0.78171091445427732"/>
    <x v="0"/>
    <x v="1"/>
  </r>
  <r>
    <x v="338"/>
    <x v="3"/>
    <x v="160"/>
    <x v="15"/>
    <x v="0"/>
    <n v="555"/>
    <n v="49.115044247787608"/>
    <n v="1.6371681415929202"/>
    <x v="1"/>
    <x v="0"/>
  </r>
  <r>
    <x v="339"/>
    <x v="2"/>
    <x v="34"/>
    <x v="15"/>
    <x v="0"/>
    <n v="200"/>
    <n v="17.699115044247787"/>
    <n v="0.58997050147492625"/>
    <x v="0"/>
    <x v="1"/>
  </r>
  <r>
    <x v="340"/>
    <x v="2"/>
    <x v="161"/>
    <x v="15"/>
    <x v="1"/>
    <n v="487.5"/>
    <n v="43.141592920353979"/>
    <n v="1.4380530973451326"/>
    <x v="1"/>
    <x v="1"/>
  </r>
  <r>
    <x v="341"/>
    <x v="3"/>
    <x v="27"/>
    <x v="15"/>
    <x v="1"/>
    <n v="475"/>
    <n v="42.035398230088489"/>
    <n v="1.4011799410029497"/>
    <x v="1"/>
    <x v="1"/>
  </r>
  <r>
    <x v="342"/>
    <x v="4"/>
    <x v="108"/>
    <x v="15"/>
    <x v="0"/>
    <n v="225"/>
    <n v="19.911504424778759"/>
    <n v="0.66371681415929196"/>
    <x v="0"/>
    <x v="1"/>
  </r>
  <r>
    <x v="343"/>
    <x v="4"/>
    <x v="162"/>
    <x v="15"/>
    <x v="0"/>
    <n v="225.75"/>
    <n v="19.977876106194689"/>
    <n v="0.66592920353982299"/>
    <x v="0"/>
    <x v="1"/>
  </r>
  <r>
    <x v="344"/>
    <x v="1"/>
    <x v="82"/>
    <x v="15"/>
    <x v="1"/>
    <n v="600"/>
    <n v="53.097345132743357"/>
    <n v="1.7699115044247786"/>
    <x v="1"/>
    <x v="1"/>
  </r>
  <r>
    <x v="345"/>
    <x v="4"/>
    <x v="30"/>
    <x v="15"/>
    <x v="0"/>
    <n v="250"/>
    <n v="22.123893805309734"/>
    <n v="0.73746312684365778"/>
    <x v="0"/>
    <x v="1"/>
  </r>
  <r>
    <x v="346"/>
    <x v="5"/>
    <x v="163"/>
    <x v="15"/>
    <x v="0"/>
    <n v="862.5"/>
    <n v="76.327433628318573"/>
    <n v="2.5442477876106193"/>
    <x v="3"/>
    <x v="1"/>
  </r>
  <r>
    <x v="347"/>
    <x v="3"/>
    <x v="30"/>
    <x v="15"/>
    <x v="1"/>
    <n v="250"/>
    <n v="22.123893805309734"/>
    <n v="0.73746312684365778"/>
    <x v="0"/>
    <x v="1"/>
  </r>
  <r>
    <x v="348"/>
    <x v="3"/>
    <x v="9"/>
    <x v="15"/>
    <x v="0"/>
    <n v="500"/>
    <n v="44.247787610619469"/>
    <n v="1.4749262536873156"/>
    <x v="1"/>
    <x v="1"/>
  </r>
  <r>
    <x v="349"/>
    <x v="2"/>
    <x v="164"/>
    <x v="15"/>
    <x v="1"/>
    <n v="362.5"/>
    <n v="32.079646017699112"/>
    <n v="1.0693215339233038"/>
    <x v="2"/>
    <x v="1"/>
  </r>
  <r>
    <x v="350"/>
    <x v="2"/>
    <x v="165"/>
    <x v="15"/>
    <x v="0"/>
    <n v="990"/>
    <n v="87.610619469026545"/>
    <n v="2.9203539823008846"/>
    <x v="3"/>
    <x v="1"/>
  </r>
  <r>
    <x v="351"/>
    <x v="0"/>
    <x v="166"/>
    <x v="15"/>
    <x v="1"/>
    <n v="1032.5"/>
    <n v="91.371681415929203"/>
    <n v="3.0457227138643064"/>
    <x v="3"/>
    <x v="1"/>
  </r>
  <r>
    <x v="352"/>
    <x v="0"/>
    <x v="79"/>
    <x v="15"/>
    <x v="1"/>
    <n v="625"/>
    <n v="55.309734513274336"/>
    <n v="1.8436578171091442"/>
    <x v="1"/>
    <x v="1"/>
  </r>
  <r>
    <x v="353"/>
    <x v="3"/>
    <x v="167"/>
    <x v="15"/>
    <x v="0"/>
    <n v="270.75"/>
    <n v="23.960176991150441"/>
    <n v="0.79867256637168138"/>
    <x v="0"/>
    <x v="1"/>
  </r>
  <r>
    <x v="354"/>
    <x v="5"/>
    <x v="45"/>
    <x v="15"/>
    <x v="1"/>
    <n v="725"/>
    <n v="64.159292035398224"/>
    <n v="2.1386430678466075"/>
    <x v="1"/>
    <x v="1"/>
  </r>
  <r>
    <x v="355"/>
    <x v="3"/>
    <x v="168"/>
    <x v="15"/>
    <x v="1"/>
    <n v="1112.5"/>
    <n v="98.451327433628308"/>
    <n v="3.2817109144542771"/>
    <x v="3"/>
    <x v="1"/>
  </r>
  <r>
    <x v="356"/>
    <x v="0"/>
    <x v="55"/>
    <x v="15"/>
    <x v="0"/>
    <n v="425"/>
    <n v="37.610619469026545"/>
    <n v="1.2536873156342181"/>
    <x v="2"/>
    <x v="1"/>
  </r>
  <r>
    <x v="357"/>
    <x v="0"/>
    <x v="82"/>
    <x v="15"/>
    <x v="0"/>
    <n v="600"/>
    <n v="53.097345132743357"/>
    <n v="1.7699115044247786"/>
    <x v="1"/>
    <x v="1"/>
  </r>
  <r>
    <x v="358"/>
    <x v="0"/>
    <x v="31"/>
    <x v="15"/>
    <x v="0"/>
    <n v="675"/>
    <n v="59.73451327433628"/>
    <n v="1.9911504424778759"/>
    <x v="1"/>
    <x v="1"/>
  </r>
  <r>
    <x v="359"/>
    <x v="3"/>
    <x v="39"/>
    <x v="15"/>
    <x v="1"/>
    <n v="350"/>
    <n v="30.973451327433626"/>
    <n v="1.0324483775811208"/>
    <x v="2"/>
    <x v="1"/>
  </r>
  <r>
    <x v="360"/>
    <x v="3"/>
    <x v="39"/>
    <x v="15"/>
    <x v="0"/>
    <n v="350"/>
    <n v="30.973451327433626"/>
    <n v="1.0324483775811208"/>
    <x v="2"/>
    <x v="1"/>
  </r>
  <r>
    <x v="361"/>
    <x v="3"/>
    <x v="114"/>
    <x v="15"/>
    <x v="0"/>
    <n v="1100"/>
    <n v="97.345132743362825"/>
    <n v="3.244837758112094"/>
    <x v="3"/>
    <x v="1"/>
  </r>
  <r>
    <x v="362"/>
    <x v="2"/>
    <x v="169"/>
    <x v="15"/>
    <x v="0"/>
    <n v="830"/>
    <n v="73.451327433628308"/>
    <n v="2.4483775811209441"/>
    <x v="1"/>
    <x v="1"/>
  </r>
  <r>
    <x v="363"/>
    <x v="2"/>
    <x v="42"/>
    <x v="15"/>
    <x v="1"/>
    <n v="1000"/>
    <n v="88.495575221238937"/>
    <n v="2.9498525073746311"/>
    <x v="3"/>
    <x v="1"/>
  </r>
  <r>
    <x v="364"/>
    <x v="2"/>
    <x v="19"/>
    <x v="15"/>
    <x v="1"/>
    <n v="375"/>
    <n v="33.185840707964601"/>
    <n v="1.1061946902654867"/>
    <x v="2"/>
    <x v="1"/>
  </r>
  <r>
    <x v="365"/>
    <x v="3"/>
    <x v="19"/>
    <x v="15"/>
    <x v="1"/>
    <n v="375"/>
    <n v="33.185840707964601"/>
    <n v="1.1061946902654867"/>
    <x v="2"/>
    <x v="1"/>
  </r>
  <r>
    <x v="366"/>
    <x v="3"/>
    <x v="19"/>
    <x v="15"/>
    <x v="0"/>
    <n v="375"/>
    <n v="33.185840707964601"/>
    <n v="1.1061946902654867"/>
    <x v="2"/>
    <x v="1"/>
  </r>
  <r>
    <x v="367"/>
    <x v="3"/>
    <x v="110"/>
    <x v="15"/>
    <x v="1"/>
    <n v="450"/>
    <n v="39.823008849557517"/>
    <n v="1.3274336283185839"/>
    <x v="2"/>
    <x v="1"/>
  </r>
  <r>
    <x v="368"/>
    <x v="3"/>
    <x v="19"/>
    <x v="15"/>
    <x v="0"/>
    <n v="375"/>
    <n v="33.185840707964601"/>
    <n v="1.1061946902654867"/>
    <x v="2"/>
    <x v="1"/>
  </r>
  <r>
    <x v="369"/>
    <x v="3"/>
    <x v="19"/>
    <x v="15"/>
    <x v="1"/>
    <n v="375"/>
    <n v="33.185840707964601"/>
    <n v="1.1061946902654867"/>
    <x v="2"/>
    <x v="1"/>
  </r>
  <r>
    <x v="370"/>
    <x v="3"/>
    <x v="31"/>
    <x v="15"/>
    <x v="0"/>
    <n v="675"/>
    <n v="59.73451327433628"/>
    <n v="1.9911504424778759"/>
    <x v="1"/>
    <x v="1"/>
  </r>
  <r>
    <x v="371"/>
    <x v="2"/>
    <x v="4"/>
    <x v="15"/>
    <x v="0"/>
    <n v="525"/>
    <n v="46.460176991150441"/>
    <n v="1.5486725663716814"/>
    <x v="1"/>
    <x v="1"/>
  </r>
  <r>
    <x v="372"/>
    <x v="5"/>
    <x v="125"/>
    <x v="15"/>
    <x v="0"/>
    <n v="975"/>
    <n v="86.283185840707958"/>
    <n v="2.8761061946902653"/>
    <x v="3"/>
    <x v="1"/>
  </r>
  <r>
    <x v="373"/>
    <x v="3"/>
    <x v="170"/>
    <x v="15"/>
    <x v="1"/>
    <n v="615"/>
    <n v="54.424778761061944"/>
    <n v="1.8141592920353982"/>
    <x v="1"/>
    <x v="1"/>
  </r>
  <r>
    <x v="374"/>
    <x v="2"/>
    <x v="110"/>
    <x v="15"/>
    <x v="1"/>
    <n v="450"/>
    <n v="39.823008849557517"/>
    <n v="1.3274336283185839"/>
    <x v="2"/>
    <x v="1"/>
  </r>
  <r>
    <x v="375"/>
    <x v="3"/>
    <x v="2"/>
    <x v="15"/>
    <x v="0"/>
    <n v="1050"/>
    <n v="92.920353982300881"/>
    <n v="3.0973451327433628"/>
    <x v="3"/>
    <x v="1"/>
  </r>
  <r>
    <x v="376"/>
    <x v="0"/>
    <x v="171"/>
    <x v="15"/>
    <x v="0"/>
    <n v="1183"/>
    <n v="104.69026548672565"/>
    <n v="3.4896755162241884"/>
    <x v="3"/>
    <x v="1"/>
  </r>
  <r>
    <x v="377"/>
    <x v="5"/>
    <x v="9"/>
    <x v="15"/>
    <x v="0"/>
    <n v="500"/>
    <n v="44.247787610619469"/>
    <n v="1.4749262536873156"/>
    <x v="1"/>
    <x v="1"/>
  </r>
  <r>
    <x v="378"/>
    <x v="2"/>
    <x v="129"/>
    <x v="15"/>
    <x v="0"/>
    <n v="800"/>
    <n v="70.796460176991147"/>
    <n v="2.359882005899705"/>
    <x v="1"/>
    <x v="1"/>
  </r>
  <r>
    <x v="379"/>
    <x v="2"/>
    <x v="172"/>
    <x v="15"/>
    <x v="1"/>
    <n v="1068.75"/>
    <n v="94.579646017699105"/>
    <n v="3.1526548672566368"/>
    <x v="3"/>
    <x v="1"/>
  </r>
  <r>
    <x v="380"/>
    <x v="3"/>
    <x v="47"/>
    <x v="15"/>
    <x v="1"/>
    <n v="875"/>
    <n v="77.43362831858407"/>
    <n v="2.5811209439528024"/>
    <x v="3"/>
    <x v="1"/>
  </r>
  <r>
    <x v="381"/>
    <x v="3"/>
    <x v="41"/>
    <x v="15"/>
    <x v="1"/>
    <n v="575"/>
    <n v="50.884955752212385"/>
    <n v="1.696165191740413"/>
    <x v="1"/>
    <x v="1"/>
  </r>
  <r>
    <x v="382"/>
    <x v="3"/>
    <x v="85"/>
    <x v="15"/>
    <x v="0"/>
    <n v="712.5"/>
    <n v="63.053097345132741"/>
    <n v="2.1017699115044248"/>
    <x v="1"/>
    <x v="1"/>
  </r>
  <r>
    <x v="383"/>
    <x v="0"/>
    <x v="82"/>
    <x v="15"/>
    <x v="0"/>
    <n v="600"/>
    <n v="53.097345132743357"/>
    <n v="1.7699115044247786"/>
    <x v="1"/>
    <x v="1"/>
  </r>
  <r>
    <x v="384"/>
    <x v="0"/>
    <x v="8"/>
    <x v="15"/>
    <x v="0"/>
    <n v="1625"/>
    <n v="143.80530973451326"/>
    <n v="4.7935103244837753"/>
    <x v="4"/>
    <x v="1"/>
  </r>
  <r>
    <x v="385"/>
    <x v="0"/>
    <x v="112"/>
    <x v="15"/>
    <x v="1"/>
    <n v="825"/>
    <n v="73.008849557522126"/>
    <n v="2.4336283185840708"/>
    <x v="1"/>
    <x v="1"/>
  </r>
  <r>
    <x v="386"/>
    <x v="0"/>
    <x v="139"/>
    <x v="15"/>
    <x v="0"/>
    <n v="1875"/>
    <n v="165.92920353982299"/>
    <n v="5.5309734513274336"/>
    <x v="4"/>
    <x v="1"/>
  </r>
  <r>
    <x v="387"/>
    <x v="3"/>
    <x v="173"/>
    <x v="15"/>
    <x v="1"/>
    <n v="837.5"/>
    <n v="74.115044247787608"/>
    <n v="2.4705014749262535"/>
    <x v="1"/>
    <x v="1"/>
  </r>
  <r>
    <x v="388"/>
    <x v="3"/>
    <x v="174"/>
    <x v="15"/>
    <x v="1"/>
    <n v="935"/>
    <n v="82.743362831858406"/>
    <n v="2.7581120943952802"/>
    <x v="3"/>
    <x v="1"/>
  </r>
  <r>
    <x v="389"/>
    <x v="3"/>
    <x v="137"/>
    <x v="15"/>
    <x v="1"/>
    <n v="2000"/>
    <n v="176.99115044247787"/>
    <n v="5.8997050147492622"/>
    <x v="4"/>
    <x v="1"/>
  </r>
  <r>
    <x v="390"/>
    <x v="3"/>
    <x v="7"/>
    <x v="15"/>
    <x v="0"/>
    <n v="1500"/>
    <n v="132.74336283185841"/>
    <n v="4.4247787610619467"/>
    <x v="4"/>
    <x v="1"/>
  </r>
  <r>
    <x v="391"/>
    <x v="0"/>
    <x v="175"/>
    <x v="15"/>
    <x v="0"/>
    <n v="925"/>
    <n v="81.858407079646014"/>
    <n v="2.7286135693215336"/>
    <x v="3"/>
    <x v="1"/>
  </r>
  <r>
    <x v="392"/>
    <x v="5"/>
    <x v="176"/>
    <x v="15"/>
    <x v="0"/>
    <n v="1070"/>
    <n v="94.690265486725664"/>
    <n v="3.1563421828908549"/>
    <x v="3"/>
    <x v="1"/>
  </r>
  <r>
    <x v="393"/>
    <x v="5"/>
    <x v="91"/>
    <x v="15"/>
    <x v="0"/>
    <n v="2125"/>
    <n v="188.05309734513273"/>
    <n v="6.2684365781710909"/>
    <x v="4"/>
    <x v="1"/>
  </r>
  <r>
    <x v="394"/>
    <x v="3"/>
    <x v="137"/>
    <x v="15"/>
    <x v="0"/>
    <n v="2000"/>
    <n v="176.99115044247787"/>
    <n v="5.8997050147492622"/>
    <x v="4"/>
    <x v="1"/>
  </r>
  <r>
    <x v="395"/>
    <x v="1"/>
    <x v="47"/>
    <x v="15"/>
    <x v="1"/>
    <n v="875"/>
    <n v="77.43362831858407"/>
    <n v="2.5811209439528024"/>
    <x v="3"/>
    <x v="0"/>
  </r>
  <r>
    <x v="396"/>
    <x v="3"/>
    <x v="177"/>
    <x v="15"/>
    <x v="0"/>
    <n v="1597.5"/>
    <n v="141.3716814159292"/>
    <n v="4.7123893805309729"/>
    <x v="4"/>
    <x v="1"/>
  </r>
  <r>
    <x v="397"/>
    <x v="1"/>
    <x v="175"/>
    <x v="15"/>
    <x v="0"/>
    <n v="925"/>
    <n v="81.858407079646014"/>
    <n v="2.7286135693215336"/>
    <x v="3"/>
    <x v="0"/>
  </r>
  <r>
    <x v="398"/>
    <x v="3"/>
    <x v="91"/>
    <x v="15"/>
    <x v="0"/>
    <n v="2125"/>
    <n v="188.05309734513273"/>
    <n v="6.2684365781710909"/>
    <x v="4"/>
    <x v="1"/>
  </r>
  <r>
    <x v="399"/>
    <x v="5"/>
    <x v="89"/>
    <x v="15"/>
    <x v="0"/>
    <n v="1575"/>
    <n v="139.38053097345133"/>
    <n v="4.6460176991150437"/>
    <x v="4"/>
    <x v="1"/>
  </r>
  <r>
    <x v="400"/>
    <x v="3"/>
    <x v="119"/>
    <x v="15"/>
    <x v="0"/>
    <n v="1250"/>
    <n v="110.61946902654867"/>
    <n v="3.6873156342182885"/>
    <x v="3"/>
    <x v="0"/>
  </r>
  <r>
    <x v="401"/>
    <x v="5"/>
    <x v="178"/>
    <x v="15"/>
    <x v="0"/>
    <n v="3601.5"/>
    <n v="318.71681415929203"/>
    <n v="10.623893805309734"/>
    <x v="4"/>
    <x v="0"/>
  </r>
  <r>
    <x v="402"/>
    <x v="2"/>
    <x v="179"/>
    <x v="15"/>
    <x v="1"/>
    <n v="3750"/>
    <n v="331.85840707964599"/>
    <n v="11.061946902654867"/>
    <x v="4"/>
    <x v="1"/>
  </r>
  <r>
    <x v="403"/>
    <x v="4"/>
    <x v="180"/>
    <x v="15"/>
    <x v="0"/>
    <n v="4500"/>
    <n v="398.23008849557522"/>
    <n v="13.274336283185839"/>
    <x v="4"/>
    <x v="1"/>
  </r>
  <r>
    <x v="404"/>
    <x v="2"/>
    <x v="181"/>
    <x v="16"/>
    <x v="1"/>
    <n v="25"/>
    <n v="2.2123893805309733"/>
    <n v="7.3746312684365781E-2"/>
    <x v="0"/>
    <x v="1"/>
  </r>
  <r>
    <x v="405"/>
    <x v="3"/>
    <x v="182"/>
    <x v="16"/>
    <x v="0"/>
    <n v="210"/>
    <n v="18.584070796460175"/>
    <n v="0.61946902654867253"/>
    <x v="0"/>
    <x v="1"/>
  </r>
  <r>
    <x v="406"/>
    <x v="0"/>
    <x v="183"/>
    <x v="16"/>
    <x v="1"/>
    <n v="61.666666666666664"/>
    <n v="5.4572271386430673"/>
    <n v="0.18190757128810223"/>
    <x v="0"/>
    <x v="0"/>
  </r>
  <r>
    <x v="407"/>
    <x v="3"/>
    <x v="26"/>
    <x v="16"/>
    <x v="0"/>
    <n v="33.333333333333336"/>
    <n v="2.9498525073746311"/>
    <n v="9.8328416912487712E-2"/>
    <x v="0"/>
    <x v="1"/>
  </r>
  <r>
    <x v="408"/>
    <x v="3"/>
    <x v="26"/>
    <x v="16"/>
    <x v="0"/>
    <n v="33.333333333333336"/>
    <n v="2.9498525073746311"/>
    <n v="9.8328416912487712E-2"/>
    <x v="0"/>
    <x v="0"/>
  </r>
  <r>
    <x v="409"/>
    <x v="1"/>
    <x v="26"/>
    <x v="16"/>
    <x v="1"/>
    <n v="33.333333333333336"/>
    <n v="2.9498525073746311"/>
    <n v="9.8328416912487712E-2"/>
    <x v="0"/>
    <x v="1"/>
  </r>
  <r>
    <x v="410"/>
    <x v="1"/>
    <x v="184"/>
    <x v="16"/>
    <x v="1"/>
    <n v="123.33333333333333"/>
    <n v="10.914454277286135"/>
    <n v="0.36381514257620445"/>
    <x v="0"/>
    <x v="0"/>
  </r>
  <r>
    <x v="411"/>
    <x v="1"/>
    <x v="185"/>
    <x v="16"/>
    <x v="0"/>
    <n v="706.66666666666663"/>
    <n v="62.536873156342175"/>
    <n v="2.0845624385447392"/>
    <x v="1"/>
    <x v="1"/>
  </r>
  <r>
    <x v="412"/>
    <x v="3"/>
    <x v="186"/>
    <x v="16"/>
    <x v="0"/>
    <n v="50"/>
    <n v="4.4247787610619467"/>
    <n v="0.14749262536873156"/>
    <x v="0"/>
    <x v="1"/>
  </r>
  <r>
    <x v="413"/>
    <x v="3"/>
    <x v="186"/>
    <x v="16"/>
    <x v="0"/>
    <n v="50"/>
    <n v="4.4247787610619467"/>
    <n v="0.14749262536873156"/>
    <x v="0"/>
    <x v="1"/>
  </r>
  <r>
    <x v="414"/>
    <x v="1"/>
    <x v="186"/>
    <x v="16"/>
    <x v="0"/>
    <n v="50"/>
    <n v="4.4247787610619467"/>
    <n v="0.14749262536873156"/>
    <x v="0"/>
    <x v="1"/>
  </r>
  <r>
    <x v="415"/>
    <x v="1"/>
    <x v="187"/>
    <x v="16"/>
    <x v="1"/>
    <n v="126.66666666666667"/>
    <n v="11.209439528023598"/>
    <n v="0.37364798426745327"/>
    <x v="0"/>
    <x v="1"/>
  </r>
  <r>
    <x v="416"/>
    <x v="3"/>
    <x v="188"/>
    <x v="16"/>
    <x v="0"/>
    <n v="190"/>
    <n v="16.814159292035399"/>
    <n v="0.56047197640117985"/>
    <x v="0"/>
    <x v="1"/>
  </r>
  <r>
    <x v="417"/>
    <x v="1"/>
    <x v="51"/>
    <x v="16"/>
    <x v="1"/>
    <n v="66.666666666666671"/>
    <n v="5.8997050147492622"/>
    <n v="0.19665683382497542"/>
    <x v="0"/>
    <x v="0"/>
  </r>
  <r>
    <x v="418"/>
    <x v="1"/>
    <x v="51"/>
    <x v="16"/>
    <x v="0"/>
    <n v="66.666666666666671"/>
    <n v="5.8997050147492622"/>
    <n v="0.19665683382497542"/>
    <x v="0"/>
    <x v="0"/>
  </r>
  <r>
    <x v="419"/>
    <x v="1"/>
    <x v="51"/>
    <x v="16"/>
    <x v="1"/>
    <n v="66.666666666666671"/>
    <n v="5.8997050147492622"/>
    <n v="0.19665683382497542"/>
    <x v="0"/>
    <x v="1"/>
  </r>
  <r>
    <x v="420"/>
    <x v="1"/>
    <x v="51"/>
    <x v="16"/>
    <x v="0"/>
    <n v="66.666666666666671"/>
    <n v="5.8997050147492622"/>
    <n v="0.19665683382497542"/>
    <x v="0"/>
    <x v="1"/>
  </r>
  <r>
    <x v="421"/>
    <x v="0"/>
    <x v="56"/>
    <x v="16"/>
    <x v="0"/>
    <n v="233.33333333333334"/>
    <n v="20.64896755162242"/>
    <n v="0.68829891838741386"/>
    <x v="0"/>
    <x v="1"/>
  </r>
  <r>
    <x v="422"/>
    <x v="0"/>
    <x v="124"/>
    <x v="16"/>
    <x v="0"/>
    <n v="133.33333333333334"/>
    <n v="11.799410029498524"/>
    <n v="0.39331366764995085"/>
    <x v="0"/>
    <x v="1"/>
  </r>
  <r>
    <x v="423"/>
    <x v="2"/>
    <x v="189"/>
    <x v="16"/>
    <x v="1"/>
    <n v="480"/>
    <n v="42.477876106194685"/>
    <n v="1.415929203539823"/>
    <x v="1"/>
    <x v="0"/>
  </r>
  <r>
    <x v="424"/>
    <x v="3"/>
    <x v="145"/>
    <x v="16"/>
    <x v="0"/>
    <n v="83.333333333333329"/>
    <n v="7.3746312684365769"/>
    <n v="0.24582104228121926"/>
    <x v="0"/>
    <x v="1"/>
  </r>
  <r>
    <x v="425"/>
    <x v="3"/>
    <x v="190"/>
    <x v="16"/>
    <x v="1"/>
    <n v="1083.3333333333333"/>
    <n v="95.87020648967551"/>
    <n v="3.1956735496558499"/>
    <x v="3"/>
    <x v="1"/>
  </r>
  <r>
    <x v="426"/>
    <x v="1"/>
    <x v="108"/>
    <x v="16"/>
    <x v="1"/>
    <n v="300"/>
    <n v="26.548672566371678"/>
    <n v="0.88495575221238931"/>
    <x v="0"/>
    <x v="1"/>
  </r>
  <r>
    <x v="427"/>
    <x v="3"/>
    <x v="49"/>
    <x v="16"/>
    <x v="1"/>
    <n v="100"/>
    <n v="8.8495575221238933"/>
    <n v="0.29498525073746312"/>
    <x v="0"/>
    <x v="1"/>
  </r>
  <r>
    <x v="428"/>
    <x v="3"/>
    <x v="67"/>
    <x v="16"/>
    <x v="1"/>
    <n v="933.33333333333337"/>
    <n v="82.595870206489678"/>
    <n v="2.7531956735496554"/>
    <x v="3"/>
    <x v="1"/>
  </r>
  <r>
    <x v="429"/>
    <x v="1"/>
    <x v="191"/>
    <x v="16"/>
    <x v="0"/>
    <n v="406.66666666666669"/>
    <n v="35.988200589970504"/>
    <n v="1.19960668633235"/>
    <x v="2"/>
    <x v="0"/>
  </r>
  <r>
    <x v="430"/>
    <x v="2"/>
    <x v="49"/>
    <x v="16"/>
    <x v="0"/>
    <n v="100"/>
    <n v="8.8495575221238933"/>
    <n v="0.29498525073746312"/>
    <x v="0"/>
    <x v="1"/>
  </r>
  <r>
    <x v="431"/>
    <x v="2"/>
    <x v="34"/>
    <x v="16"/>
    <x v="0"/>
    <n v="266.66666666666669"/>
    <n v="23.598820058997049"/>
    <n v="0.7866273352999017"/>
    <x v="0"/>
    <x v="1"/>
  </r>
  <r>
    <x v="432"/>
    <x v="2"/>
    <x v="49"/>
    <x v="16"/>
    <x v="1"/>
    <n v="100"/>
    <n v="8.8495575221238933"/>
    <n v="0.29498525073746312"/>
    <x v="0"/>
    <x v="1"/>
  </r>
  <r>
    <x v="433"/>
    <x v="2"/>
    <x v="49"/>
    <x v="16"/>
    <x v="0"/>
    <n v="100"/>
    <n v="8.8495575221238933"/>
    <n v="0.29498525073746312"/>
    <x v="0"/>
    <x v="1"/>
  </r>
  <r>
    <x v="434"/>
    <x v="0"/>
    <x v="192"/>
    <x v="16"/>
    <x v="0"/>
    <n v="1118.3333333333333"/>
    <n v="98.967551622418867"/>
    <n v="3.2989183874139627"/>
    <x v="3"/>
    <x v="0"/>
  </r>
  <r>
    <x v="435"/>
    <x v="3"/>
    <x v="78"/>
    <x v="16"/>
    <x v="0"/>
    <n v="166.66666666666666"/>
    <n v="14.749262536873154"/>
    <n v="0.49164208456243852"/>
    <x v="0"/>
    <x v="1"/>
  </r>
  <r>
    <x v="436"/>
    <x v="3"/>
    <x v="193"/>
    <x v="16"/>
    <x v="0"/>
    <n v="170"/>
    <n v="15.044247787610619"/>
    <n v="0.50147492625368728"/>
    <x v="0"/>
    <x v="1"/>
  </r>
  <r>
    <x v="437"/>
    <x v="3"/>
    <x v="74"/>
    <x v="16"/>
    <x v="0"/>
    <n v="116.66666666666667"/>
    <n v="10.32448377581121"/>
    <n v="0.34414945919370693"/>
    <x v="0"/>
    <x v="1"/>
  </r>
  <r>
    <x v="438"/>
    <x v="4"/>
    <x v="74"/>
    <x v="16"/>
    <x v="1"/>
    <n v="116.66666666666667"/>
    <n v="10.32448377581121"/>
    <n v="0.34414945919370693"/>
    <x v="0"/>
    <x v="1"/>
  </r>
  <r>
    <x v="439"/>
    <x v="3"/>
    <x v="74"/>
    <x v="16"/>
    <x v="0"/>
    <n v="116.66666666666667"/>
    <n v="10.32448377581121"/>
    <n v="0.34414945919370693"/>
    <x v="0"/>
    <x v="0"/>
  </r>
  <r>
    <x v="440"/>
    <x v="1"/>
    <x v="74"/>
    <x v="16"/>
    <x v="0"/>
    <n v="116.66666666666667"/>
    <n v="10.32448377581121"/>
    <n v="0.34414945919370693"/>
    <x v="0"/>
    <x v="1"/>
  </r>
  <r>
    <x v="441"/>
    <x v="1"/>
    <x v="56"/>
    <x v="16"/>
    <x v="0"/>
    <n v="233.33333333333334"/>
    <n v="20.64896755162242"/>
    <n v="0.68829891838741386"/>
    <x v="0"/>
    <x v="1"/>
  </r>
  <r>
    <x v="442"/>
    <x v="4"/>
    <x v="194"/>
    <x v="16"/>
    <x v="0"/>
    <n v="130"/>
    <n v="11.504424778761061"/>
    <n v="0.38348082595870203"/>
    <x v="0"/>
    <x v="1"/>
  </r>
  <r>
    <x v="443"/>
    <x v="5"/>
    <x v="124"/>
    <x v="16"/>
    <x v="1"/>
    <n v="133.33333333333334"/>
    <n v="11.799410029498524"/>
    <n v="0.39331366764995085"/>
    <x v="0"/>
    <x v="1"/>
  </r>
  <r>
    <x v="444"/>
    <x v="3"/>
    <x v="124"/>
    <x v="16"/>
    <x v="0"/>
    <n v="133.33333333333334"/>
    <n v="11.799410029498524"/>
    <n v="0.39331366764995085"/>
    <x v="0"/>
    <x v="1"/>
  </r>
  <r>
    <x v="445"/>
    <x v="4"/>
    <x v="57"/>
    <x v="16"/>
    <x v="1"/>
    <n v="583.33333333333337"/>
    <n v="51.622418879056049"/>
    <n v="1.720747295968535"/>
    <x v="1"/>
    <x v="0"/>
  </r>
  <r>
    <x v="446"/>
    <x v="3"/>
    <x v="39"/>
    <x v="16"/>
    <x v="0"/>
    <n v="466.66666666666669"/>
    <n v="41.297935103244839"/>
    <n v="1.3765978367748277"/>
    <x v="1"/>
    <x v="1"/>
  </r>
  <r>
    <x v="447"/>
    <x v="2"/>
    <x v="108"/>
    <x v="16"/>
    <x v="0"/>
    <n v="300"/>
    <n v="26.548672566371678"/>
    <n v="0.88495575221238931"/>
    <x v="0"/>
    <x v="1"/>
  </r>
  <r>
    <x v="448"/>
    <x v="0"/>
    <x v="124"/>
    <x v="16"/>
    <x v="1"/>
    <n v="133.33333333333334"/>
    <n v="11.799410029498524"/>
    <n v="0.39331366764995085"/>
    <x v="0"/>
    <x v="1"/>
  </r>
  <r>
    <x v="449"/>
    <x v="3"/>
    <x v="108"/>
    <x v="16"/>
    <x v="0"/>
    <n v="300"/>
    <n v="26.548672566371678"/>
    <n v="0.88495575221238931"/>
    <x v="0"/>
    <x v="1"/>
  </r>
  <r>
    <x v="450"/>
    <x v="0"/>
    <x v="195"/>
    <x v="16"/>
    <x v="0"/>
    <n v="137.33333333333334"/>
    <n v="12.153392330383481"/>
    <n v="0.40511307767944937"/>
    <x v="0"/>
    <x v="1"/>
  </r>
  <r>
    <x v="451"/>
    <x v="0"/>
    <x v="196"/>
    <x v="16"/>
    <x v="0"/>
    <n v="140"/>
    <n v="12.389380530973451"/>
    <n v="0.41297935103244837"/>
    <x v="0"/>
    <x v="0"/>
  </r>
  <r>
    <x v="452"/>
    <x v="4"/>
    <x v="197"/>
    <x v="16"/>
    <x v="0"/>
    <n v="143.33333333333334"/>
    <n v="12.684365781710914"/>
    <n v="0.42281219272369713"/>
    <x v="0"/>
    <x v="1"/>
  </r>
  <r>
    <x v="453"/>
    <x v="3"/>
    <x v="108"/>
    <x v="16"/>
    <x v="0"/>
    <n v="300"/>
    <n v="26.548672566371678"/>
    <n v="0.88495575221238931"/>
    <x v="0"/>
    <x v="1"/>
  </r>
  <r>
    <x v="454"/>
    <x v="1"/>
    <x v="38"/>
    <x v="16"/>
    <x v="1"/>
    <n v="150"/>
    <n v="13.274336283185839"/>
    <n v="0.44247787610619466"/>
    <x v="0"/>
    <x v="1"/>
  </r>
  <r>
    <x v="455"/>
    <x v="3"/>
    <x v="198"/>
    <x v="16"/>
    <x v="0"/>
    <n v="153.33333333333334"/>
    <n v="13.569321533923304"/>
    <n v="0.45231071779744347"/>
    <x v="0"/>
    <x v="1"/>
  </r>
  <r>
    <x v="456"/>
    <x v="3"/>
    <x v="56"/>
    <x v="16"/>
    <x v="0"/>
    <n v="233.33333333333334"/>
    <n v="20.64896755162242"/>
    <n v="0.68829891838741386"/>
    <x v="0"/>
    <x v="0"/>
  </r>
  <r>
    <x v="457"/>
    <x v="2"/>
    <x v="76"/>
    <x v="16"/>
    <x v="1"/>
    <n v="366.66666666666669"/>
    <n v="32.448377581120944"/>
    <n v="1.0816125860373649"/>
    <x v="2"/>
    <x v="1"/>
  </r>
  <r>
    <x v="458"/>
    <x v="5"/>
    <x v="78"/>
    <x v="16"/>
    <x v="0"/>
    <n v="166.66666666666666"/>
    <n v="14.749262536873154"/>
    <n v="0.49164208456243852"/>
    <x v="0"/>
    <x v="1"/>
  </r>
  <r>
    <x v="459"/>
    <x v="5"/>
    <x v="59"/>
    <x v="16"/>
    <x v="0"/>
    <n v="400"/>
    <n v="35.398230088495573"/>
    <n v="1.1799410029498525"/>
    <x v="2"/>
    <x v="1"/>
  </r>
  <r>
    <x v="460"/>
    <x v="3"/>
    <x v="78"/>
    <x v="16"/>
    <x v="1"/>
    <n v="166.66666666666666"/>
    <n v="14.749262536873154"/>
    <n v="0.49164208456243852"/>
    <x v="0"/>
    <x v="1"/>
  </r>
  <r>
    <x v="461"/>
    <x v="3"/>
    <x v="199"/>
    <x v="16"/>
    <x v="0"/>
    <n v="418.33333333333331"/>
    <n v="37.020648967551615"/>
    <n v="1.2340216322517208"/>
    <x v="2"/>
    <x v="1"/>
  </r>
  <r>
    <x v="462"/>
    <x v="1"/>
    <x v="78"/>
    <x v="16"/>
    <x v="0"/>
    <n v="166.66666666666666"/>
    <n v="14.749262536873154"/>
    <n v="0.49164208456243852"/>
    <x v="0"/>
    <x v="1"/>
  </r>
  <r>
    <x v="463"/>
    <x v="2"/>
    <x v="78"/>
    <x v="16"/>
    <x v="0"/>
    <n v="166.66666666666666"/>
    <n v="14.749262536873154"/>
    <n v="0.49164208456243852"/>
    <x v="0"/>
    <x v="1"/>
  </r>
  <r>
    <x v="464"/>
    <x v="2"/>
    <x v="78"/>
    <x v="16"/>
    <x v="0"/>
    <n v="166.66666666666666"/>
    <n v="14.749262536873154"/>
    <n v="0.49164208456243852"/>
    <x v="0"/>
    <x v="1"/>
  </r>
  <r>
    <x v="465"/>
    <x v="2"/>
    <x v="78"/>
    <x v="16"/>
    <x v="1"/>
    <n v="166.66666666666666"/>
    <n v="14.749262536873154"/>
    <n v="0.49164208456243852"/>
    <x v="0"/>
    <x v="1"/>
  </r>
  <r>
    <x v="466"/>
    <x v="2"/>
    <x v="78"/>
    <x v="16"/>
    <x v="0"/>
    <n v="166.66666666666666"/>
    <n v="14.749262536873154"/>
    <n v="0.49164208456243852"/>
    <x v="0"/>
    <x v="1"/>
  </r>
  <r>
    <x v="467"/>
    <x v="0"/>
    <x v="19"/>
    <x v="16"/>
    <x v="1"/>
    <n v="500"/>
    <n v="44.247787610619469"/>
    <n v="1.4749262536873156"/>
    <x v="1"/>
    <x v="1"/>
  </r>
  <r>
    <x v="468"/>
    <x v="0"/>
    <x v="78"/>
    <x v="16"/>
    <x v="0"/>
    <n v="166.66666666666666"/>
    <n v="14.749262536873154"/>
    <n v="0.49164208456243852"/>
    <x v="0"/>
    <x v="1"/>
  </r>
  <r>
    <x v="469"/>
    <x v="4"/>
    <x v="78"/>
    <x v="16"/>
    <x v="0"/>
    <n v="166.66666666666666"/>
    <n v="14.749262536873154"/>
    <n v="0.49164208456243852"/>
    <x v="0"/>
    <x v="1"/>
  </r>
  <r>
    <x v="470"/>
    <x v="3"/>
    <x v="200"/>
    <x v="16"/>
    <x v="0"/>
    <n v="183.33333333333334"/>
    <n v="16.224188790560472"/>
    <n v="0.54080629301868244"/>
    <x v="0"/>
    <x v="1"/>
  </r>
  <r>
    <x v="471"/>
    <x v="1"/>
    <x v="29"/>
    <x v="16"/>
    <x v="1"/>
    <n v="716.66666666666663"/>
    <n v="63.421828908554566"/>
    <n v="2.1140609636184857"/>
    <x v="1"/>
    <x v="1"/>
  </r>
  <r>
    <x v="472"/>
    <x v="4"/>
    <x v="201"/>
    <x v="16"/>
    <x v="0"/>
    <n v="186.66666666666666"/>
    <n v="16.519174041297934"/>
    <n v="0.5506391347099312"/>
    <x v="0"/>
    <x v="1"/>
  </r>
  <r>
    <x v="473"/>
    <x v="0"/>
    <x v="202"/>
    <x v="16"/>
    <x v="1"/>
    <n v="730.66666666666663"/>
    <n v="64.660766961651916"/>
    <n v="2.1553588987217305"/>
    <x v="1"/>
    <x v="1"/>
  </r>
  <r>
    <x v="474"/>
    <x v="1"/>
    <x v="188"/>
    <x v="16"/>
    <x v="0"/>
    <n v="190"/>
    <n v="16.814159292035399"/>
    <n v="0.56047197640117985"/>
    <x v="0"/>
    <x v="1"/>
  </r>
  <r>
    <x v="475"/>
    <x v="3"/>
    <x v="59"/>
    <x v="16"/>
    <x v="0"/>
    <n v="400"/>
    <n v="35.398230088495573"/>
    <n v="1.1799410029498525"/>
    <x v="2"/>
    <x v="1"/>
  </r>
  <r>
    <x v="476"/>
    <x v="3"/>
    <x v="18"/>
    <x v="16"/>
    <x v="0"/>
    <n v="200"/>
    <n v="17.699115044247787"/>
    <n v="0.58997050147492625"/>
    <x v="0"/>
    <x v="1"/>
  </r>
  <r>
    <x v="477"/>
    <x v="0"/>
    <x v="88"/>
    <x v="16"/>
    <x v="0"/>
    <n v="866.66666666666663"/>
    <n v="76.696165191740405"/>
    <n v="2.5565388397246802"/>
    <x v="3"/>
    <x v="0"/>
  </r>
  <r>
    <x v="478"/>
    <x v="2"/>
    <x v="136"/>
    <x v="16"/>
    <x v="0"/>
    <n v="433.33333333333331"/>
    <n v="38.348082595870203"/>
    <n v="1.2782694198623401"/>
    <x v="2"/>
    <x v="1"/>
  </r>
  <r>
    <x v="479"/>
    <x v="3"/>
    <x v="18"/>
    <x v="16"/>
    <x v="0"/>
    <n v="200"/>
    <n v="17.699115044247787"/>
    <n v="0.58997050147492625"/>
    <x v="0"/>
    <x v="1"/>
  </r>
  <r>
    <x v="480"/>
    <x v="3"/>
    <x v="34"/>
    <x v="16"/>
    <x v="0"/>
    <n v="266.66666666666669"/>
    <n v="23.598820058997049"/>
    <n v="0.7866273352999017"/>
    <x v="0"/>
    <x v="0"/>
  </r>
  <r>
    <x v="481"/>
    <x v="1"/>
    <x v="19"/>
    <x v="16"/>
    <x v="0"/>
    <n v="500"/>
    <n v="44.247787610619469"/>
    <n v="1.4749262536873156"/>
    <x v="1"/>
    <x v="0"/>
  </r>
  <r>
    <x v="482"/>
    <x v="2"/>
    <x v="18"/>
    <x v="16"/>
    <x v="0"/>
    <n v="200"/>
    <n v="17.699115044247787"/>
    <n v="0.58997050147492625"/>
    <x v="0"/>
    <x v="1"/>
  </r>
  <r>
    <x v="483"/>
    <x v="2"/>
    <x v="39"/>
    <x v="16"/>
    <x v="0"/>
    <n v="466.66666666666669"/>
    <n v="41.297935103244839"/>
    <n v="1.3765978367748277"/>
    <x v="1"/>
    <x v="1"/>
  </r>
  <r>
    <x v="484"/>
    <x v="0"/>
    <x v="4"/>
    <x v="16"/>
    <x v="1"/>
    <n v="700"/>
    <n v="61.946902654867252"/>
    <n v="2.0648967551622417"/>
    <x v="1"/>
    <x v="1"/>
  </r>
  <r>
    <x v="485"/>
    <x v="0"/>
    <x v="56"/>
    <x v="16"/>
    <x v="0"/>
    <n v="233.33333333333334"/>
    <n v="20.64896755162242"/>
    <n v="0.68829891838741386"/>
    <x v="0"/>
    <x v="1"/>
  </r>
  <r>
    <x v="486"/>
    <x v="0"/>
    <x v="18"/>
    <x v="16"/>
    <x v="1"/>
    <n v="200"/>
    <n v="17.699115044247787"/>
    <n v="0.58997050147492625"/>
    <x v="0"/>
    <x v="1"/>
  </r>
  <r>
    <x v="487"/>
    <x v="1"/>
    <x v="18"/>
    <x v="16"/>
    <x v="0"/>
    <n v="200"/>
    <n v="17.699115044247787"/>
    <n v="0.58997050147492625"/>
    <x v="0"/>
    <x v="1"/>
  </r>
  <r>
    <x v="488"/>
    <x v="0"/>
    <x v="18"/>
    <x v="16"/>
    <x v="0"/>
    <n v="200"/>
    <n v="17.699115044247787"/>
    <n v="0.58997050147492625"/>
    <x v="0"/>
    <x v="1"/>
  </r>
  <r>
    <x v="489"/>
    <x v="0"/>
    <x v="12"/>
    <x v="16"/>
    <x v="1"/>
    <n v="216.66666666666666"/>
    <n v="19.174041297935101"/>
    <n v="0.63913470993117005"/>
    <x v="0"/>
    <x v="1"/>
  </r>
  <r>
    <x v="490"/>
    <x v="1"/>
    <x v="56"/>
    <x v="16"/>
    <x v="1"/>
    <n v="233.33333333333334"/>
    <n v="20.64896755162242"/>
    <n v="0.68829891838741386"/>
    <x v="0"/>
    <x v="0"/>
  </r>
  <r>
    <x v="491"/>
    <x v="3"/>
    <x v="56"/>
    <x v="16"/>
    <x v="0"/>
    <n v="233.33333333333334"/>
    <n v="20.64896755162242"/>
    <n v="0.68829891838741386"/>
    <x v="0"/>
    <x v="1"/>
  </r>
  <r>
    <x v="492"/>
    <x v="5"/>
    <x v="56"/>
    <x v="16"/>
    <x v="0"/>
    <n v="233.33333333333334"/>
    <n v="20.64896755162242"/>
    <n v="0.68829891838741386"/>
    <x v="0"/>
    <x v="1"/>
  </r>
  <r>
    <x v="493"/>
    <x v="5"/>
    <x v="56"/>
    <x v="16"/>
    <x v="0"/>
    <n v="233.33333333333334"/>
    <n v="20.64896755162242"/>
    <n v="0.68829891838741386"/>
    <x v="0"/>
    <x v="1"/>
  </r>
  <r>
    <x v="494"/>
    <x v="3"/>
    <x v="88"/>
    <x v="16"/>
    <x v="1"/>
    <n v="866.66666666666663"/>
    <n v="76.696165191740405"/>
    <n v="2.5565388397246802"/>
    <x v="3"/>
    <x v="0"/>
  </r>
  <r>
    <x v="495"/>
    <x v="1"/>
    <x v="116"/>
    <x v="16"/>
    <x v="1"/>
    <n v="733.33333333333337"/>
    <n v="64.896755162241888"/>
    <n v="2.1632251720747298"/>
    <x v="1"/>
    <x v="1"/>
  </r>
  <r>
    <x v="496"/>
    <x v="4"/>
    <x v="76"/>
    <x v="16"/>
    <x v="0"/>
    <n v="366.66666666666669"/>
    <n v="32.448377581120944"/>
    <n v="1.0816125860373649"/>
    <x v="2"/>
    <x v="1"/>
  </r>
  <r>
    <x v="497"/>
    <x v="4"/>
    <x v="31"/>
    <x v="16"/>
    <x v="0"/>
    <n v="900"/>
    <n v="79.646017699115035"/>
    <n v="2.6548672566371678"/>
    <x v="3"/>
    <x v="1"/>
  </r>
  <r>
    <x v="498"/>
    <x v="1"/>
    <x v="83"/>
    <x v="16"/>
    <x v="0"/>
    <n v="250"/>
    <n v="22.123893805309734"/>
    <n v="0.73746312684365778"/>
    <x v="0"/>
    <x v="1"/>
  </r>
  <r>
    <x v="499"/>
    <x v="3"/>
    <x v="83"/>
    <x v="16"/>
    <x v="1"/>
    <n v="250"/>
    <n v="22.123893805309734"/>
    <n v="0.73746312684365778"/>
    <x v="0"/>
    <x v="1"/>
  </r>
  <r>
    <x v="500"/>
    <x v="3"/>
    <x v="203"/>
    <x v="16"/>
    <x v="1"/>
    <n v="550"/>
    <n v="48.672566371681413"/>
    <n v="1.622418879056047"/>
    <x v="1"/>
    <x v="1"/>
  </r>
  <r>
    <x v="501"/>
    <x v="2"/>
    <x v="135"/>
    <x v="16"/>
    <x v="1"/>
    <n v="1016.6666666666666"/>
    <n v="89.970501474926252"/>
    <n v="2.9990167158308747"/>
    <x v="3"/>
    <x v="1"/>
  </r>
  <r>
    <x v="502"/>
    <x v="0"/>
    <x v="83"/>
    <x v="16"/>
    <x v="0"/>
    <n v="250"/>
    <n v="22.123893805309734"/>
    <n v="0.73746312684365778"/>
    <x v="0"/>
    <x v="1"/>
  </r>
  <r>
    <x v="503"/>
    <x v="0"/>
    <x v="83"/>
    <x v="16"/>
    <x v="1"/>
    <n v="250"/>
    <n v="22.123893805309734"/>
    <n v="0.73746312684365778"/>
    <x v="0"/>
    <x v="1"/>
  </r>
  <r>
    <x v="504"/>
    <x v="4"/>
    <x v="204"/>
    <x v="16"/>
    <x v="0"/>
    <n v="653.33333333333337"/>
    <n v="57.817109144542769"/>
    <n v="1.927236971484759"/>
    <x v="1"/>
    <x v="1"/>
  </r>
  <r>
    <x v="505"/>
    <x v="3"/>
    <x v="205"/>
    <x v="16"/>
    <x v="0"/>
    <n v="1253.3333333333333"/>
    <n v="110.91445427728613"/>
    <n v="3.6971484759095379"/>
    <x v="3"/>
    <x v="0"/>
  </r>
  <r>
    <x v="506"/>
    <x v="3"/>
    <x v="4"/>
    <x v="16"/>
    <x v="0"/>
    <n v="700"/>
    <n v="61.946902654867252"/>
    <n v="2.0648967551622417"/>
    <x v="1"/>
    <x v="1"/>
  </r>
  <r>
    <x v="507"/>
    <x v="3"/>
    <x v="34"/>
    <x v="16"/>
    <x v="0"/>
    <n v="266.66666666666669"/>
    <n v="23.598820058997049"/>
    <n v="0.7866273352999017"/>
    <x v="0"/>
    <x v="1"/>
  </r>
  <r>
    <x v="508"/>
    <x v="3"/>
    <x v="34"/>
    <x v="16"/>
    <x v="0"/>
    <n v="266.66666666666669"/>
    <n v="23.598820058997049"/>
    <n v="0.7866273352999017"/>
    <x v="0"/>
    <x v="0"/>
  </r>
  <r>
    <x v="509"/>
    <x v="3"/>
    <x v="110"/>
    <x v="16"/>
    <x v="1"/>
    <n v="600"/>
    <n v="53.097345132743357"/>
    <n v="1.7699115044247786"/>
    <x v="1"/>
    <x v="1"/>
  </r>
  <r>
    <x v="510"/>
    <x v="1"/>
    <x v="206"/>
    <x v="16"/>
    <x v="0"/>
    <n v="1933.3333333333333"/>
    <n v="171.09144542772859"/>
    <n v="5.703048180924287"/>
    <x v="4"/>
    <x v="1"/>
  </r>
  <r>
    <x v="511"/>
    <x v="2"/>
    <x v="34"/>
    <x v="16"/>
    <x v="0"/>
    <n v="266.66666666666669"/>
    <n v="23.598820058997049"/>
    <n v="0.7866273352999017"/>
    <x v="0"/>
    <x v="1"/>
  </r>
  <r>
    <x v="512"/>
    <x v="0"/>
    <x v="34"/>
    <x v="16"/>
    <x v="0"/>
    <n v="266.66666666666669"/>
    <n v="23.598820058997049"/>
    <n v="0.7866273352999017"/>
    <x v="0"/>
    <x v="1"/>
  </r>
  <r>
    <x v="513"/>
    <x v="0"/>
    <x v="87"/>
    <x v="16"/>
    <x v="1"/>
    <n v="1266.6666666666667"/>
    <n v="112.09439528023599"/>
    <n v="3.7364798426745325"/>
    <x v="3"/>
    <x v="1"/>
  </r>
  <r>
    <x v="514"/>
    <x v="0"/>
    <x v="34"/>
    <x v="16"/>
    <x v="1"/>
    <n v="266.66666666666669"/>
    <n v="23.598820058997049"/>
    <n v="0.7866273352999017"/>
    <x v="0"/>
    <x v="1"/>
  </r>
  <r>
    <x v="515"/>
    <x v="1"/>
    <x v="64"/>
    <x v="16"/>
    <x v="0"/>
    <n v="1433.3333333333333"/>
    <n v="126.84365781710913"/>
    <n v="4.2281219272369714"/>
    <x v="4"/>
    <x v="1"/>
  </r>
  <r>
    <x v="516"/>
    <x v="3"/>
    <x v="128"/>
    <x v="16"/>
    <x v="0"/>
    <n v="340"/>
    <n v="30.088495575221238"/>
    <n v="1.0029498525073746"/>
    <x v="2"/>
    <x v="1"/>
  </r>
  <r>
    <x v="517"/>
    <x v="3"/>
    <x v="14"/>
    <x v="16"/>
    <x v="1"/>
    <n v="280"/>
    <n v="24.778761061946902"/>
    <n v="0.82595870206489674"/>
    <x v="0"/>
    <x v="1"/>
  </r>
  <r>
    <x v="518"/>
    <x v="3"/>
    <x v="100"/>
    <x v="16"/>
    <x v="0"/>
    <n v="283.33333333333331"/>
    <n v="25.073746312684364"/>
    <n v="0.83579154375614551"/>
    <x v="0"/>
    <x v="1"/>
  </r>
  <r>
    <x v="519"/>
    <x v="3"/>
    <x v="207"/>
    <x v="16"/>
    <x v="0"/>
    <n v="876.66666666666663"/>
    <n v="77.581120943952797"/>
    <n v="2.5860373647984267"/>
    <x v="3"/>
    <x v="1"/>
  </r>
  <r>
    <x v="520"/>
    <x v="0"/>
    <x v="27"/>
    <x v="16"/>
    <x v="0"/>
    <n v="633.33333333333337"/>
    <n v="56.047197640117993"/>
    <n v="1.8682399213372662"/>
    <x v="1"/>
    <x v="1"/>
  </r>
  <r>
    <x v="521"/>
    <x v="3"/>
    <x v="30"/>
    <x v="16"/>
    <x v="0"/>
    <n v="333.33333333333331"/>
    <n v="29.498525073746308"/>
    <n v="0.98328416912487704"/>
    <x v="2"/>
    <x v="1"/>
  </r>
  <r>
    <x v="522"/>
    <x v="3"/>
    <x v="55"/>
    <x v="16"/>
    <x v="0"/>
    <n v="566.66666666666663"/>
    <n v="50.147492625368727"/>
    <n v="1.671583087512291"/>
    <x v="1"/>
    <x v="1"/>
  </r>
  <r>
    <x v="523"/>
    <x v="4"/>
    <x v="30"/>
    <x v="16"/>
    <x v="1"/>
    <n v="333.33333333333331"/>
    <n v="29.498525073746308"/>
    <n v="0.98328416912487704"/>
    <x v="2"/>
    <x v="1"/>
  </r>
  <r>
    <x v="524"/>
    <x v="4"/>
    <x v="59"/>
    <x v="16"/>
    <x v="1"/>
    <n v="400"/>
    <n v="35.398230088495573"/>
    <n v="1.1799410029498525"/>
    <x v="2"/>
    <x v="1"/>
  </r>
  <r>
    <x v="525"/>
    <x v="5"/>
    <x v="41"/>
    <x v="16"/>
    <x v="1"/>
    <n v="766.66666666666663"/>
    <n v="67.846607669616517"/>
    <n v="2.2615535889872169"/>
    <x v="1"/>
    <x v="1"/>
  </r>
  <r>
    <x v="526"/>
    <x v="5"/>
    <x v="39"/>
    <x v="16"/>
    <x v="0"/>
    <n v="466.66666666666669"/>
    <n v="41.297935103244839"/>
    <n v="1.3765978367748277"/>
    <x v="1"/>
    <x v="1"/>
  </r>
  <r>
    <x v="527"/>
    <x v="3"/>
    <x v="30"/>
    <x v="16"/>
    <x v="1"/>
    <n v="333.33333333333331"/>
    <n v="29.498525073746308"/>
    <n v="0.98328416912487704"/>
    <x v="2"/>
    <x v="1"/>
  </r>
  <r>
    <x v="528"/>
    <x v="3"/>
    <x v="30"/>
    <x v="16"/>
    <x v="0"/>
    <n v="333.33333333333331"/>
    <n v="29.498525073746308"/>
    <n v="0.98328416912487704"/>
    <x v="2"/>
    <x v="1"/>
  </r>
  <r>
    <x v="529"/>
    <x v="3"/>
    <x v="30"/>
    <x v="16"/>
    <x v="0"/>
    <n v="333.33333333333331"/>
    <n v="29.498525073746308"/>
    <n v="0.98328416912487704"/>
    <x v="2"/>
    <x v="1"/>
  </r>
  <r>
    <x v="530"/>
    <x v="3"/>
    <x v="208"/>
    <x v="16"/>
    <x v="1"/>
    <n v="1724"/>
    <n v="152.56637168141592"/>
    <n v="5.0855457227138645"/>
    <x v="4"/>
    <x v="1"/>
  </r>
  <r>
    <x v="531"/>
    <x v="3"/>
    <x v="9"/>
    <x v="16"/>
    <x v="0"/>
    <n v="666.66666666666663"/>
    <n v="58.997050147492615"/>
    <n v="1.9665683382497541"/>
    <x v="1"/>
    <x v="1"/>
  </r>
  <r>
    <x v="532"/>
    <x v="1"/>
    <x v="30"/>
    <x v="16"/>
    <x v="0"/>
    <n v="333.33333333333331"/>
    <n v="29.498525073746308"/>
    <n v="0.98328416912487704"/>
    <x v="2"/>
    <x v="1"/>
  </r>
  <r>
    <x v="533"/>
    <x v="2"/>
    <x v="9"/>
    <x v="16"/>
    <x v="1"/>
    <n v="666.66666666666663"/>
    <n v="58.997050147492615"/>
    <n v="1.9665683382497541"/>
    <x v="1"/>
    <x v="1"/>
  </r>
  <r>
    <x v="534"/>
    <x v="2"/>
    <x v="30"/>
    <x v="16"/>
    <x v="1"/>
    <n v="333.33333333333331"/>
    <n v="29.498525073746308"/>
    <n v="0.98328416912487704"/>
    <x v="2"/>
    <x v="1"/>
  </r>
  <r>
    <x v="535"/>
    <x v="2"/>
    <x v="47"/>
    <x v="16"/>
    <x v="0"/>
    <n v="1166.6666666666667"/>
    <n v="103.2448377581121"/>
    <n v="3.4414945919370701"/>
    <x v="3"/>
    <x v="1"/>
  </r>
  <r>
    <x v="536"/>
    <x v="0"/>
    <x v="136"/>
    <x v="16"/>
    <x v="0"/>
    <n v="433.33333333333331"/>
    <n v="38.348082595870203"/>
    <n v="1.2782694198623401"/>
    <x v="2"/>
    <x v="1"/>
  </r>
  <r>
    <x v="537"/>
    <x v="0"/>
    <x v="209"/>
    <x v="16"/>
    <x v="0"/>
    <n v="350"/>
    <n v="30.973451327433626"/>
    <n v="1.0324483775811208"/>
    <x v="2"/>
    <x v="1"/>
  </r>
  <r>
    <x v="538"/>
    <x v="4"/>
    <x v="159"/>
    <x v="16"/>
    <x v="0"/>
    <n v="353.33333333333331"/>
    <n v="31.268436578171087"/>
    <n v="1.0422812192723696"/>
    <x v="2"/>
    <x v="1"/>
  </r>
  <r>
    <x v="539"/>
    <x v="3"/>
    <x v="9"/>
    <x v="16"/>
    <x v="0"/>
    <n v="666.66666666666663"/>
    <n v="58.997050147492615"/>
    <n v="1.9665683382497541"/>
    <x v="1"/>
    <x v="1"/>
  </r>
  <r>
    <x v="540"/>
    <x v="0"/>
    <x v="76"/>
    <x v="16"/>
    <x v="0"/>
    <n v="366.66666666666669"/>
    <n v="32.448377581120944"/>
    <n v="1.0816125860373649"/>
    <x v="2"/>
    <x v="1"/>
  </r>
  <r>
    <x v="541"/>
    <x v="0"/>
    <x v="210"/>
    <x v="16"/>
    <x v="0"/>
    <n v="390"/>
    <n v="34.513274336283182"/>
    <n v="1.1504424778761062"/>
    <x v="2"/>
    <x v="1"/>
  </r>
  <r>
    <x v="542"/>
    <x v="5"/>
    <x v="211"/>
    <x v="16"/>
    <x v="1"/>
    <n v="1632.6666666666667"/>
    <n v="144.48377581120943"/>
    <n v="4.8161258603736474"/>
    <x v="4"/>
    <x v="1"/>
  </r>
  <r>
    <x v="543"/>
    <x v="5"/>
    <x v="59"/>
    <x v="16"/>
    <x v="1"/>
    <n v="400"/>
    <n v="35.398230088495573"/>
    <n v="1.1799410029498525"/>
    <x v="2"/>
    <x v="1"/>
  </r>
  <r>
    <x v="544"/>
    <x v="3"/>
    <x v="59"/>
    <x v="16"/>
    <x v="1"/>
    <n v="400"/>
    <n v="35.398230088495573"/>
    <n v="1.1799410029498525"/>
    <x v="2"/>
    <x v="1"/>
  </r>
  <r>
    <x v="545"/>
    <x v="3"/>
    <x v="59"/>
    <x v="16"/>
    <x v="0"/>
    <n v="400"/>
    <n v="35.398230088495573"/>
    <n v="1.1799410029498525"/>
    <x v="2"/>
    <x v="1"/>
  </r>
  <r>
    <x v="546"/>
    <x v="3"/>
    <x v="82"/>
    <x v="16"/>
    <x v="0"/>
    <n v="800"/>
    <n v="70.796460176991147"/>
    <n v="2.359882005899705"/>
    <x v="1"/>
    <x v="1"/>
  </r>
  <r>
    <x v="547"/>
    <x v="0"/>
    <x v="59"/>
    <x v="16"/>
    <x v="0"/>
    <n v="400"/>
    <n v="35.398230088495573"/>
    <n v="1.1799410029498525"/>
    <x v="2"/>
    <x v="1"/>
  </r>
  <r>
    <x v="548"/>
    <x v="0"/>
    <x v="59"/>
    <x v="16"/>
    <x v="1"/>
    <n v="400"/>
    <n v="35.398230088495573"/>
    <n v="1.1799410029498525"/>
    <x v="2"/>
    <x v="1"/>
  </r>
  <r>
    <x v="549"/>
    <x v="0"/>
    <x v="9"/>
    <x v="16"/>
    <x v="1"/>
    <n v="666.66666666666663"/>
    <n v="58.997050147492615"/>
    <n v="1.9665683382497541"/>
    <x v="1"/>
    <x v="1"/>
  </r>
  <r>
    <x v="550"/>
    <x v="4"/>
    <x v="59"/>
    <x v="16"/>
    <x v="1"/>
    <n v="400"/>
    <n v="35.398230088495573"/>
    <n v="1.1799410029498525"/>
    <x v="2"/>
    <x v="1"/>
  </r>
  <r>
    <x v="551"/>
    <x v="0"/>
    <x v="105"/>
    <x v="16"/>
    <x v="0"/>
    <n v="533.33333333333337"/>
    <n v="47.197640117994098"/>
    <n v="1.5732546705998034"/>
    <x v="1"/>
    <x v="1"/>
  </r>
  <r>
    <x v="552"/>
    <x v="1"/>
    <x v="136"/>
    <x v="16"/>
    <x v="1"/>
    <n v="433.33333333333331"/>
    <n v="38.348082595870203"/>
    <n v="1.2782694198623401"/>
    <x v="2"/>
    <x v="1"/>
  </r>
  <r>
    <x v="553"/>
    <x v="3"/>
    <x v="212"/>
    <x v="16"/>
    <x v="0"/>
    <n v="576.66666666666663"/>
    <n v="51.032448377581112"/>
    <n v="1.7010816125860373"/>
    <x v="1"/>
    <x v="1"/>
  </r>
  <r>
    <x v="554"/>
    <x v="0"/>
    <x v="213"/>
    <x v="16"/>
    <x v="1"/>
    <n v="450"/>
    <n v="39.823008849557517"/>
    <n v="1.3274336283185839"/>
    <x v="2"/>
    <x v="1"/>
  </r>
  <r>
    <x v="555"/>
    <x v="0"/>
    <x v="214"/>
    <x v="16"/>
    <x v="0"/>
    <n v="1813.3333333333333"/>
    <n v="160.47197640117992"/>
    <n v="5.3490658800393307"/>
    <x v="4"/>
    <x v="1"/>
  </r>
  <r>
    <x v="556"/>
    <x v="3"/>
    <x v="94"/>
    <x v="16"/>
    <x v="1"/>
    <n v="773.33333333333337"/>
    <n v="68.43657817109144"/>
    <n v="2.2812192723697149"/>
    <x v="1"/>
    <x v="1"/>
  </r>
  <r>
    <x v="557"/>
    <x v="3"/>
    <x v="215"/>
    <x v="16"/>
    <x v="0"/>
    <n v="6066.666666666667"/>
    <n v="536.87315634218294"/>
    <n v="17.895771878072761"/>
    <x v="4"/>
    <x v="1"/>
  </r>
  <r>
    <x v="558"/>
    <x v="3"/>
    <x v="216"/>
    <x v="16"/>
    <x v="0"/>
    <n v="496.66666666666669"/>
    <n v="43.952802359882007"/>
    <n v="1.465093411996067"/>
    <x v="1"/>
    <x v="1"/>
  </r>
  <r>
    <x v="559"/>
    <x v="0"/>
    <x v="19"/>
    <x v="16"/>
    <x v="0"/>
    <n v="500"/>
    <n v="44.247787610619469"/>
    <n v="1.4749262536873156"/>
    <x v="1"/>
    <x v="1"/>
  </r>
  <r>
    <x v="560"/>
    <x v="3"/>
    <x v="19"/>
    <x v="16"/>
    <x v="0"/>
    <n v="500"/>
    <n v="44.247787610619469"/>
    <n v="1.4749262536873156"/>
    <x v="1"/>
    <x v="1"/>
  </r>
  <r>
    <x v="561"/>
    <x v="5"/>
    <x v="19"/>
    <x v="16"/>
    <x v="0"/>
    <n v="500"/>
    <n v="44.247787610619469"/>
    <n v="1.4749262536873156"/>
    <x v="1"/>
    <x v="1"/>
  </r>
  <r>
    <x v="562"/>
    <x v="4"/>
    <x v="217"/>
    <x v="16"/>
    <x v="1"/>
    <n v="718"/>
    <n v="63.539823008849552"/>
    <n v="2.1179941002949851"/>
    <x v="1"/>
    <x v="1"/>
  </r>
  <r>
    <x v="563"/>
    <x v="4"/>
    <x v="6"/>
    <x v="16"/>
    <x v="1"/>
    <n v="1000"/>
    <n v="88.495575221238937"/>
    <n v="2.9498525073746311"/>
    <x v="3"/>
    <x v="1"/>
  </r>
  <r>
    <x v="564"/>
    <x v="3"/>
    <x v="19"/>
    <x v="16"/>
    <x v="0"/>
    <n v="500"/>
    <n v="44.247787610619469"/>
    <n v="1.4749262536873156"/>
    <x v="1"/>
    <x v="1"/>
  </r>
  <r>
    <x v="565"/>
    <x v="3"/>
    <x v="9"/>
    <x v="16"/>
    <x v="1"/>
    <n v="666.66666666666663"/>
    <n v="58.997050147492615"/>
    <n v="1.9665683382497541"/>
    <x v="1"/>
    <x v="1"/>
  </r>
  <r>
    <x v="566"/>
    <x v="3"/>
    <x v="19"/>
    <x v="16"/>
    <x v="0"/>
    <n v="500"/>
    <n v="44.247787610619469"/>
    <n v="1.4749262536873156"/>
    <x v="1"/>
    <x v="1"/>
  </r>
  <r>
    <x v="567"/>
    <x v="3"/>
    <x v="4"/>
    <x v="16"/>
    <x v="0"/>
    <n v="700"/>
    <n v="61.946902654867252"/>
    <n v="2.0648967551622417"/>
    <x v="1"/>
    <x v="1"/>
  </r>
  <r>
    <x v="568"/>
    <x v="3"/>
    <x v="47"/>
    <x v="16"/>
    <x v="0"/>
    <n v="1166.6666666666667"/>
    <n v="103.2448377581121"/>
    <n v="3.4414945919370701"/>
    <x v="3"/>
    <x v="1"/>
  </r>
  <r>
    <x v="569"/>
    <x v="3"/>
    <x v="79"/>
    <x v="16"/>
    <x v="0"/>
    <n v="833.33333333333337"/>
    <n v="73.746312684365776"/>
    <n v="2.4582104228121926"/>
    <x v="1"/>
    <x v="1"/>
  </r>
  <r>
    <x v="570"/>
    <x v="1"/>
    <x v="9"/>
    <x v="16"/>
    <x v="1"/>
    <n v="666.66666666666663"/>
    <n v="58.997050147492615"/>
    <n v="1.9665683382497541"/>
    <x v="1"/>
    <x v="1"/>
  </r>
  <r>
    <x v="571"/>
    <x v="1"/>
    <x v="19"/>
    <x v="16"/>
    <x v="1"/>
    <n v="500"/>
    <n v="44.247787610619469"/>
    <n v="1.4749262536873156"/>
    <x v="1"/>
    <x v="1"/>
  </r>
  <r>
    <x v="572"/>
    <x v="1"/>
    <x v="19"/>
    <x v="16"/>
    <x v="0"/>
    <n v="500"/>
    <n v="44.247787610619469"/>
    <n v="1.4749262536873156"/>
    <x v="1"/>
    <x v="1"/>
  </r>
  <r>
    <x v="573"/>
    <x v="1"/>
    <x v="20"/>
    <x v="16"/>
    <x v="0"/>
    <n v="1500"/>
    <n v="132.74336283185841"/>
    <n v="4.4247787610619467"/>
    <x v="4"/>
    <x v="1"/>
  </r>
  <r>
    <x v="574"/>
    <x v="1"/>
    <x v="6"/>
    <x v="16"/>
    <x v="0"/>
    <n v="1000"/>
    <n v="88.495575221238937"/>
    <n v="2.9498525073746311"/>
    <x v="3"/>
    <x v="1"/>
  </r>
  <r>
    <x v="575"/>
    <x v="2"/>
    <x v="9"/>
    <x v="16"/>
    <x v="0"/>
    <n v="666.66666666666663"/>
    <n v="58.997050147492615"/>
    <n v="1.9665683382497541"/>
    <x v="1"/>
    <x v="1"/>
  </r>
  <r>
    <x v="576"/>
    <x v="0"/>
    <x v="19"/>
    <x v="16"/>
    <x v="1"/>
    <n v="500"/>
    <n v="44.247787610619469"/>
    <n v="1.4749262536873156"/>
    <x v="1"/>
    <x v="1"/>
  </r>
  <r>
    <x v="577"/>
    <x v="0"/>
    <x v="47"/>
    <x v="16"/>
    <x v="0"/>
    <n v="1166.6666666666667"/>
    <n v="103.2448377581121"/>
    <n v="3.4414945919370701"/>
    <x v="3"/>
    <x v="1"/>
  </r>
  <r>
    <x v="578"/>
    <x v="0"/>
    <x v="19"/>
    <x v="16"/>
    <x v="0"/>
    <n v="500"/>
    <n v="44.247787610619469"/>
    <n v="1.4749262536873156"/>
    <x v="1"/>
    <x v="1"/>
  </r>
  <r>
    <x v="579"/>
    <x v="2"/>
    <x v="47"/>
    <x v="16"/>
    <x v="1"/>
    <n v="1166.6666666666667"/>
    <n v="103.2448377581121"/>
    <n v="3.4414945919370701"/>
    <x v="3"/>
    <x v="1"/>
  </r>
  <r>
    <x v="580"/>
    <x v="4"/>
    <x v="55"/>
    <x v="16"/>
    <x v="1"/>
    <n v="566.66666666666663"/>
    <n v="50.147492625368727"/>
    <n v="1.671583087512291"/>
    <x v="1"/>
    <x v="1"/>
  </r>
  <r>
    <x v="581"/>
    <x v="1"/>
    <x v="42"/>
    <x v="16"/>
    <x v="0"/>
    <n v="1333.3333333333333"/>
    <n v="117.99410029498523"/>
    <n v="3.9331366764995082"/>
    <x v="3"/>
    <x v="1"/>
  </r>
  <r>
    <x v="582"/>
    <x v="3"/>
    <x v="110"/>
    <x v="16"/>
    <x v="1"/>
    <n v="600"/>
    <n v="53.097345132743357"/>
    <n v="1.7699115044247786"/>
    <x v="1"/>
    <x v="1"/>
  </r>
  <r>
    <x v="583"/>
    <x v="3"/>
    <x v="67"/>
    <x v="16"/>
    <x v="0"/>
    <n v="933.33333333333337"/>
    <n v="82.595870206489678"/>
    <n v="2.7531956735496554"/>
    <x v="3"/>
    <x v="1"/>
  </r>
  <r>
    <x v="584"/>
    <x v="3"/>
    <x v="206"/>
    <x v="16"/>
    <x v="0"/>
    <n v="1933.3333333333333"/>
    <n v="171.09144542772859"/>
    <n v="5.703048180924287"/>
    <x v="4"/>
    <x v="1"/>
  </r>
  <r>
    <x v="585"/>
    <x v="2"/>
    <x v="110"/>
    <x v="16"/>
    <x v="0"/>
    <n v="600"/>
    <n v="53.097345132743357"/>
    <n v="1.7699115044247786"/>
    <x v="1"/>
    <x v="1"/>
  </r>
  <r>
    <x v="586"/>
    <x v="2"/>
    <x v="9"/>
    <x v="16"/>
    <x v="0"/>
    <n v="666.66666666666663"/>
    <n v="58.997050147492615"/>
    <n v="1.9665683382497541"/>
    <x v="1"/>
    <x v="1"/>
  </r>
  <r>
    <x v="587"/>
    <x v="3"/>
    <x v="9"/>
    <x v="16"/>
    <x v="0"/>
    <n v="666.66666666666663"/>
    <n v="58.997050147492615"/>
    <n v="1.9665683382497541"/>
    <x v="1"/>
    <x v="1"/>
  </r>
  <r>
    <x v="588"/>
    <x v="3"/>
    <x v="9"/>
    <x v="16"/>
    <x v="1"/>
    <n v="666.66666666666663"/>
    <n v="58.997050147492615"/>
    <n v="1.9665683382497541"/>
    <x v="1"/>
    <x v="1"/>
  </r>
  <r>
    <x v="589"/>
    <x v="3"/>
    <x v="7"/>
    <x v="16"/>
    <x v="1"/>
    <n v="2000"/>
    <n v="176.99115044247787"/>
    <n v="5.8997050147492622"/>
    <x v="4"/>
    <x v="1"/>
  </r>
  <r>
    <x v="590"/>
    <x v="3"/>
    <x v="9"/>
    <x v="16"/>
    <x v="1"/>
    <n v="666.66666666666663"/>
    <n v="58.997050147492615"/>
    <n v="1.9665683382497541"/>
    <x v="1"/>
    <x v="1"/>
  </r>
  <r>
    <x v="591"/>
    <x v="3"/>
    <x v="9"/>
    <x v="16"/>
    <x v="0"/>
    <n v="666.66666666666663"/>
    <n v="58.997050147492615"/>
    <n v="1.9665683382497541"/>
    <x v="1"/>
    <x v="1"/>
  </r>
  <r>
    <x v="592"/>
    <x v="3"/>
    <x v="9"/>
    <x v="16"/>
    <x v="0"/>
    <n v="666.66666666666663"/>
    <n v="58.997050147492615"/>
    <n v="1.9665683382497541"/>
    <x v="1"/>
    <x v="1"/>
  </r>
  <r>
    <x v="593"/>
    <x v="3"/>
    <x v="218"/>
    <x v="16"/>
    <x v="0"/>
    <n v="1523.3333333333333"/>
    <n v="134.80825958702064"/>
    <n v="4.4936086529006882"/>
    <x v="4"/>
    <x v="1"/>
  </r>
  <r>
    <x v="594"/>
    <x v="1"/>
    <x v="9"/>
    <x v="16"/>
    <x v="1"/>
    <n v="666.66666666666663"/>
    <n v="58.997050147492615"/>
    <n v="1.9665683382497541"/>
    <x v="1"/>
    <x v="1"/>
  </r>
  <r>
    <x v="595"/>
    <x v="1"/>
    <x v="119"/>
    <x v="16"/>
    <x v="1"/>
    <n v="1666.6666666666667"/>
    <n v="147.49262536873155"/>
    <n v="4.9164208456243852"/>
    <x v="4"/>
    <x v="1"/>
  </r>
  <r>
    <x v="596"/>
    <x v="1"/>
    <x v="129"/>
    <x v="16"/>
    <x v="1"/>
    <n v="1066.6666666666667"/>
    <n v="94.395280235988196"/>
    <n v="3.1465093411996068"/>
    <x v="3"/>
    <x v="1"/>
  </r>
  <r>
    <x v="597"/>
    <x v="2"/>
    <x v="9"/>
    <x v="16"/>
    <x v="1"/>
    <n v="666.66666666666663"/>
    <n v="58.997050147492615"/>
    <n v="1.9665683382497541"/>
    <x v="1"/>
    <x v="1"/>
  </r>
  <r>
    <x v="598"/>
    <x v="0"/>
    <x v="6"/>
    <x v="16"/>
    <x v="0"/>
    <n v="1000"/>
    <n v="88.495575221238937"/>
    <n v="2.9498525073746311"/>
    <x v="3"/>
    <x v="1"/>
  </r>
  <r>
    <x v="599"/>
    <x v="2"/>
    <x v="115"/>
    <x v="16"/>
    <x v="0"/>
    <n v="1133.3333333333333"/>
    <n v="100.29498525073745"/>
    <n v="3.343166175024582"/>
    <x v="3"/>
    <x v="1"/>
  </r>
  <r>
    <x v="600"/>
    <x v="3"/>
    <x v="115"/>
    <x v="16"/>
    <x v="0"/>
    <n v="1133.3333333333333"/>
    <n v="100.29498525073745"/>
    <n v="3.343166175024582"/>
    <x v="3"/>
    <x v="1"/>
  </r>
  <r>
    <x v="601"/>
    <x v="1"/>
    <x v="116"/>
    <x v="16"/>
    <x v="1"/>
    <n v="733.33333333333337"/>
    <n v="64.896755162241888"/>
    <n v="2.1632251720747298"/>
    <x v="1"/>
    <x v="1"/>
  </r>
  <r>
    <x v="602"/>
    <x v="3"/>
    <x v="79"/>
    <x v="16"/>
    <x v="1"/>
    <n v="833.33333333333337"/>
    <n v="73.746312684365776"/>
    <n v="2.4582104228121926"/>
    <x v="1"/>
    <x v="1"/>
  </r>
  <r>
    <x v="603"/>
    <x v="1"/>
    <x v="79"/>
    <x v="16"/>
    <x v="0"/>
    <n v="833.33333333333337"/>
    <n v="73.746312684365776"/>
    <n v="2.4582104228121926"/>
    <x v="1"/>
    <x v="1"/>
  </r>
  <r>
    <x v="604"/>
    <x v="3"/>
    <x v="219"/>
    <x v="16"/>
    <x v="0"/>
    <n v="980"/>
    <n v="86.725663716814154"/>
    <n v="2.8908554572271381"/>
    <x v="3"/>
    <x v="1"/>
  </r>
  <r>
    <x v="605"/>
    <x v="3"/>
    <x v="42"/>
    <x v="16"/>
    <x v="1"/>
    <n v="1333.3333333333333"/>
    <n v="117.99410029498523"/>
    <n v="3.9331366764995082"/>
    <x v="3"/>
    <x v="1"/>
  </r>
  <r>
    <x v="606"/>
    <x v="3"/>
    <x v="166"/>
    <x v="16"/>
    <x v="0"/>
    <n v="1376.6666666666667"/>
    <n v="121.82890855457227"/>
    <n v="4.0609636184857427"/>
    <x v="4"/>
    <x v="1"/>
  </r>
  <r>
    <x v="607"/>
    <x v="3"/>
    <x v="129"/>
    <x v="16"/>
    <x v="0"/>
    <n v="1066.6666666666667"/>
    <n v="94.395280235988196"/>
    <n v="3.1465093411996068"/>
    <x v="3"/>
    <x v="1"/>
  </r>
  <r>
    <x v="608"/>
    <x v="3"/>
    <x v="112"/>
    <x v="16"/>
    <x v="0"/>
    <n v="1100"/>
    <n v="97.345132743362825"/>
    <n v="3.244837758112094"/>
    <x v="3"/>
    <x v="1"/>
  </r>
  <r>
    <x v="609"/>
    <x v="1"/>
    <x v="220"/>
    <x v="16"/>
    <x v="0"/>
    <n v="960"/>
    <n v="84.95575221238937"/>
    <n v="2.831858407079646"/>
    <x v="3"/>
    <x v="1"/>
  </r>
  <r>
    <x v="610"/>
    <x v="1"/>
    <x v="112"/>
    <x v="16"/>
    <x v="1"/>
    <n v="1100"/>
    <n v="97.345132743362825"/>
    <n v="3.244837758112094"/>
    <x v="3"/>
    <x v="1"/>
  </r>
  <r>
    <x v="611"/>
    <x v="2"/>
    <x v="88"/>
    <x v="16"/>
    <x v="1"/>
    <n v="866.66666666666663"/>
    <n v="76.696165191740405"/>
    <n v="2.5565388397246802"/>
    <x v="3"/>
    <x v="1"/>
  </r>
  <r>
    <x v="612"/>
    <x v="3"/>
    <x v="67"/>
    <x v="16"/>
    <x v="0"/>
    <n v="933.33333333333337"/>
    <n v="82.595870206489678"/>
    <n v="2.7531956735496554"/>
    <x v="3"/>
    <x v="1"/>
  </r>
  <r>
    <x v="613"/>
    <x v="3"/>
    <x v="67"/>
    <x v="16"/>
    <x v="0"/>
    <n v="933.33333333333337"/>
    <n v="82.595870206489678"/>
    <n v="2.7531956735496554"/>
    <x v="3"/>
    <x v="1"/>
  </r>
  <r>
    <x v="614"/>
    <x v="3"/>
    <x v="67"/>
    <x v="16"/>
    <x v="1"/>
    <n v="933.33333333333337"/>
    <n v="82.595870206489678"/>
    <n v="2.7531956735496554"/>
    <x v="3"/>
    <x v="1"/>
  </r>
  <r>
    <x v="615"/>
    <x v="0"/>
    <x v="219"/>
    <x v="16"/>
    <x v="0"/>
    <n v="980"/>
    <n v="86.725663716814154"/>
    <n v="2.8908554572271381"/>
    <x v="3"/>
    <x v="1"/>
  </r>
  <r>
    <x v="616"/>
    <x v="3"/>
    <x v="6"/>
    <x v="16"/>
    <x v="1"/>
    <n v="1000"/>
    <n v="88.495575221238937"/>
    <n v="2.9498525073746311"/>
    <x v="3"/>
    <x v="1"/>
  </r>
  <r>
    <x v="617"/>
    <x v="3"/>
    <x v="6"/>
    <x v="16"/>
    <x v="0"/>
    <n v="1000"/>
    <n v="88.495575221238937"/>
    <n v="2.9498525073746311"/>
    <x v="3"/>
    <x v="1"/>
  </r>
  <r>
    <x v="618"/>
    <x v="3"/>
    <x v="6"/>
    <x v="16"/>
    <x v="1"/>
    <n v="1000"/>
    <n v="88.495575221238937"/>
    <n v="2.9498525073746311"/>
    <x v="3"/>
    <x v="1"/>
  </r>
  <r>
    <x v="619"/>
    <x v="4"/>
    <x v="137"/>
    <x v="16"/>
    <x v="0"/>
    <n v="2666.6666666666665"/>
    <n v="235.98820058997046"/>
    <n v="7.8662733529990163"/>
    <x v="4"/>
    <x v="1"/>
  </r>
  <r>
    <x v="620"/>
    <x v="5"/>
    <x v="6"/>
    <x v="16"/>
    <x v="0"/>
    <n v="1000"/>
    <n v="88.495575221238937"/>
    <n v="2.9498525073746311"/>
    <x v="3"/>
    <x v="1"/>
  </r>
  <r>
    <x v="621"/>
    <x v="3"/>
    <x v="6"/>
    <x v="16"/>
    <x v="1"/>
    <n v="1000"/>
    <n v="88.495575221238937"/>
    <n v="2.9498525073746311"/>
    <x v="3"/>
    <x v="1"/>
  </r>
  <r>
    <x v="622"/>
    <x v="3"/>
    <x v="7"/>
    <x v="16"/>
    <x v="1"/>
    <n v="2000"/>
    <n v="176.99115044247787"/>
    <n v="5.8997050147492622"/>
    <x v="4"/>
    <x v="1"/>
  </r>
  <r>
    <x v="623"/>
    <x v="3"/>
    <x v="7"/>
    <x v="16"/>
    <x v="1"/>
    <n v="2000"/>
    <n v="176.99115044247787"/>
    <n v="5.8997050147492622"/>
    <x v="4"/>
    <x v="1"/>
  </r>
  <r>
    <x v="624"/>
    <x v="1"/>
    <x v="6"/>
    <x v="16"/>
    <x v="0"/>
    <n v="1000"/>
    <n v="88.495575221238937"/>
    <n v="2.9498525073746311"/>
    <x v="3"/>
    <x v="1"/>
  </r>
  <r>
    <x v="625"/>
    <x v="1"/>
    <x v="6"/>
    <x v="16"/>
    <x v="1"/>
    <n v="1000"/>
    <n v="88.495575221238937"/>
    <n v="2.9498525073746311"/>
    <x v="3"/>
    <x v="1"/>
  </r>
  <r>
    <x v="626"/>
    <x v="1"/>
    <x v="6"/>
    <x v="16"/>
    <x v="1"/>
    <n v="1000"/>
    <n v="88.495575221238937"/>
    <n v="2.9498525073746311"/>
    <x v="3"/>
    <x v="1"/>
  </r>
  <r>
    <x v="627"/>
    <x v="1"/>
    <x v="8"/>
    <x v="16"/>
    <x v="0"/>
    <n v="2166.6666666666665"/>
    <n v="191.74041297935102"/>
    <n v="6.3913470993116999"/>
    <x v="4"/>
    <x v="1"/>
  </r>
  <r>
    <x v="628"/>
    <x v="2"/>
    <x v="221"/>
    <x v="16"/>
    <x v="0"/>
    <n v="1966.6666666666667"/>
    <n v="174.04129793510324"/>
    <n v="5.8013765978367742"/>
    <x v="4"/>
    <x v="1"/>
  </r>
  <r>
    <x v="629"/>
    <x v="0"/>
    <x v="65"/>
    <x v="16"/>
    <x v="1"/>
    <n v="2333.3333333333335"/>
    <n v="206.4896755162242"/>
    <n v="6.8829891838741402"/>
    <x v="4"/>
    <x v="1"/>
  </r>
  <r>
    <x v="630"/>
    <x v="2"/>
    <x v="87"/>
    <x v="16"/>
    <x v="0"/>
    <n v="1266.6666666666667"/>
    <n v="112.09439528023599"/>
    <n v="3.7364798426745325"/>
    <x v="3"/>
    <x v="1"/>
  </r>
  <r>
    <x v="631"/>
    <x v="0"/>
    <x v="47"/>
    <x v="16"/>
    <x v="1"/>
    <n v="1166.6666666666667"/>
    <n v="103.2448377581121"/>
    <n v="3.4414945919370701"/>
    <x v="3"/>
    <x v="1"/>
  </r>
  <r>
    <x v="632"/>
    <x v="3"/>
    <x v="58"/>
    <x v="16"/>
    <x v="0"/>
    <n v="2233.3333333333335"/>
    <n v="197.64011799410031"/>
    <n v="6.588003933136676"/>
    <x v="4"/>
    <x v="1"/>
  </r>
  <r>
    <x v="633"/>
    <x v="3"/>
    <x v="129"/>
    <x v="16"/>
    <x v="0"/>
    <n v="1066.6666666666667"/>
    <n v="94.395280235988196"/>
    <n v="3.1465093411996068"/>
    <x v="3"/>
    <x v="1"/>
  </r>
  <r>
    <x v="634"/>
    <x v="3"/>
    <x v="222"/>
    <x v="16"/>
    <x v="1"/>
    <n v="1245"/>
    <n v="110.17699115044248"/>
    <n v="3.6725663716814156"/>
    <x v="3"/>
    <x v="1"/>
  </r>
  <r>
    <x v="635"/>
    <x v="3"/>
    <x v="47"/>
    <x v="16"/>
    <x v="0"/>
    <n v="1166.6666666666667"/>
    <n v="103.2448377581121"/>
    <n v="3.4414945919370701"/>
    <x v="3"/>
    <x v="1"/>
  </r>
  <r>
    <x v="636"/>
    <x v="1"/>
    <x v="47"/>
    <x v="16"/>
    <x v="1"/>
    <n v="1166.6666666666667"/>
    <n v="103.2448377581121"/>
    <n v="3.4414945919370701"/>
    <x v="3"/>
    <x v="1"/>
  </r>
  <r>
    <x v="637"/>
    <x v="1"/>
    <x v="8"/>
    <x v="16"/>
    <x v="1"/>
    <n v="2166.6666666666665"/>
    <n v="191.74041297935102"/>
    <n v="6.3913470993116999"/>
    <x v="4"/>
    <x v="1"/>
  </r>
  <r>
    <x v="638"/>
    <x v="1"/>
    <x v="47"/>
    <x v="16"/>
    <x v="0"/>
    <n v="1166.6666666666667"/>
    <n v="103.2448377581121"/>
    <n v="3.4414945919370701"/>
    <x v="3"/>
    <x v="1"/>
  </r>
  <r>
    <x v="639"/>
    <x v="1"/>
    <x v="47"/>
    <x v="16"/>
    <x v="1"/>
    <n v="1166.6666666666667"/>
    <n v="103.2448377581121"/>
    <n v="3.4414945919370701"/>
    <x v="3"/>
    <x v="1"/>
  </r>
  <r>
    <x v="640"/>
    <x v="2"/>
    <x v="223"/>
    <x v="16"/>
    <x v="1"/>
    <n v="1342.3333333333333"/>
    <n v="118.79056047197639"/>
    <n v="3.9596853490658792"/>
    <x v="3"/>
    <x v="1"/>
  </r>
  <r>
    <x v="641"/>
    <x v="3"/>
    <x v="224"/>
    <x v="16"/>
    <x v="1"/>
    <n v="1183.3333333333333"/>
    <n v="104.7197640117994"/>
    <n v="3.4906588003933132"/>
    <x v="3"/>
    <x v="1"/>
  </r>
  <r>
    <x v="642"/>
    <x v="3"/>
    <x v="225"/>
    <x v="16"/>
    <x v="1"/>
    <n v="1208.3333333333333"/>
    <n v="106.93215339233036"/>
    <n v="3.5644051130776795"/>
    <x v="3"/>
    <x v="1"/>
  </r>
  <r>
    <x v="643"/>
    <x v="3"/>
    <x v="226"/>
    <x v="16"/>
    <x v="0"/>
    <n v="1365"/>
    <n v="120.79646017699115"/>
    <n v="4.0265486725663715"/>
    <x v="4"/>
    <x v="1"/>
  </r>
  <r>
    <x v="644"/>
    <x v="2"/>
    <x v="133"/>
    <x v="16"/>
    <x v="0"/>
    <n v="1250"/>
    <n v="110.61946902654867"/>
    <n v="3.6873156342182885"/>
    <x v="3"/>
    <x v="1"/>
  </r>
  <r>
    <x v="645"/>
    <x v="3"/>
    <x v="42"/>
    <x v="16"/>
    <x v="0"/>
    <n v="1333.3333333333333"/>
    <n v="117.99410029498523"/>
    <n v="3.9331366764995082"/>
    <x v="3"/>
    <x v="1"/>
  </r>
  <r>
    <x v="646"/>
    <x v="3"/>
    <x v="114"/>
    <x v="16"/>
    <x v="1"/>
    <n v="1466.6666666666667"/>
    <n v="129.79351032448378"/>
    <n v="4.3264503441494595"/>
    <x v="4"/>
    <x v="1"/>
  </r>
  <r>
    <x v="647"/>
    <x v="3"/>
    <x v="42"/>
    <x v="16"/>
    <x v="1"/>
    <n v="1333.3333333333333"/>
    <n v="117.99410029498523"/>
    <n v="3.9331366764995082"/>
    <x v="3"/>
    <x v="1"/>
  </r>
  <r>
    <x v="648"/>
    <x v="0"/>
    <x v="114"/>
    <x v="16"/>
    <x v="1"/>
    <n v="1466.6666666666667"/>
    <n v="129.79351032448378"/>
    <n v="4.3264503441494595"/>
    <x v="4"/>
    <x v="1"/>
  </r>
  <r>
    <x v="649"/>
    <x v="5"/>
    <x v="36"/>
    <x v="16"/>
    <x v="1"/>
    <n v="1360"/>
    <n v="120.35398230088495"/>
    <n v="4.0117994100294982"/>
    <x v="4"/>
    <x v="1"/>
  </r>
  <r>
    <x v="650"/>
    <x v="5"/>
    <x v="114"/>
    <x v="16"/>
    <x v="0"/>
    <n v="1466.6666666666667"/>
    <n v="129.79351032448378"/>
    <n v="4.3264503441494595"/>
    <x v="4"/>
    <x v="1"/>
  </r>
  <r>
    <x v="651"/>
    <x v="3"/>
    <x v="20"/>
    <x v="16"/>
    <x v="0"/>
    <n v="1500"/>
    <n v="132.74336283185841"/>
    <n v="4.4247787610619467"/>
    <x v="4"/>
    <x v="1"/>
  </r>
  <r>
    <x v="652"/>
    <x v="0"/>
    <x v="1"/>
    <x v="16"/>
    <x v="1"/>
    <n v="1900"/>
    <n v="168.14159292035396"/>
    <n v="5.6047197640117989"/>
    <x v="4"/>
    <x v="0"/>
  </r>
  <r>
    <x v="653"/>
    <x v="3"/>
    <x v="227"/>
    <x v="16"/>
    <x v="0"/>
    <n v="1716.6666666666667"/>
    <n v="151.91740412979351"/>
    <n v="5.0639134709931168"/>
    <x v="4"/>
    <x v="1"/>
  </r>
  <r>
    <x v="654"/>
    <x v="3"/>
    <x v="228"/>
    <x v="16"/>
    <x v="0"/>
    <n v="1826.6666666666667"/>
    <n v="161.65191740412979"/>
    <n v="5.3883972468043266"/>
    <x v="4"/>
    <x v="0"/>
  </r>
  <r>
    <x v="655"/>
    <x v="1"/>
    <x v="7"/>
    <x v="16"/>
    <x v="0"/>
    <n v="2000"/>
    <n v="176.99115044247787"/>
    <n v="5.8997050147492622"/>
    <x v="4"/>
    <x v="1"/>
  </r>
  <r>
    <x v="656"/>
    <x v="2"/>
    <x v="7"/>
    <x v="16"/>
    <x v="0"/>
    <n v="2000"/>
    <n v="176.99115044247787"/>
    <n v="5.8997050147492622"/>
    <x v="4"/>
    <x v="1"/>
  </r>
  <r>
    <x v="657"/>
    <x v="0"/>
    <x v="7"/>
    <x v="16"/>
    <x v="0"/>
    <n v="2000"/>
    <n v="176.99115044247787"/>
    <n v="5.8997050147492622"/>
    <x v="4"/>
    <x v="1"/>
  </r>
  <r>
    <x v="658"/>
    <x v="3"/>
    <x v="229"/>
    <x v="16"/>
    <x v="1"/>
    <n v="3750"/>
    <n v="331.85840707964599"/>
    <n v="11.061946902654867"/>
    <x v="4"/>
    <x v="0"/>
  </r>
  <r>
    <x v="659"/>
    <x v="5"/>
    <x v="230"/>
    <x v="16"/>
    <x v="0"/>
    <n v="2800"/>
    <n v="247.78761061946901"/>
    <n v="8.2595870206489668"/>
    <x v="4"/>
    <x v="0"/>
  </r>
  <r>
    <x v="660"/>
    <x v="3"/>
    <x v="231"/>
    <x v="16"/>
    <x v="0"/>
    <n v="3333.3333333333335"/>
    <n v="294.9852507374631"/>
    <n v="9.8328416912487704"/>
    <x v="4"/>
    <x v="1"/>
  </r>
  <r>
    <x v="661"/>
    <x v="0"/>
    <x v="232"/>
    <x v="17"/>
    <x v="1"/>
    <n v="20"/>
    <n v="1.7699115044247786"/>
    <n v="5.8997050147492618E-2"/>
    <x v="0"/>
    <x v="0"/>
  </r>
  <r>
    <x v="662"/>
    <x v="2"/>
    <x v="233"/>
    <x v="17"/>
    <x v="0"/>
    <n v="324"/>
    <n v="28.672566371681413"/>
    <n v="0.95575221238938057"/>
    <x v="2"/>
    <x v="0"/>
  </r>
  <r>
    <x v="663"/>
    <x v="3"/>
    <x v="234"/>
    <x v="17"/>
    <x v="1"/>
    <n v="25"/>
    <n v="2.2123893805309733"/>
    <n v="7.3746312684365781E-2"/>
    <x v="0"/>
    <x v="1"/>
  </r>
  <r>
    <x v="664"/>
    <x v="4"/>
    <x v="209"/>
    <x v="17"/>
    <x v="1"/>
    <n v="525"/>
    <n v="46.460176991150441"/>
    <n v="1.5486725663716814"/>
    <x v="1"/>
    <x v="1"/>
  </r>
  <r>
    <x v="665"/>
    <x v="1"/>
    <x v="235"/>
    <x v="17"/>
    <x v="1"/>
    <n v="445"/>
    <n v="39.380530973451322"/>
    <n v="1.3126843657817109"/>
    <x v="2"/>
    <x v="1"/>
  </r>
  <r>
    <x v="666"/>
    <x v="3"/>
    <x v="236"/>
    <x v="17"/>
    <x v="0"/>
    <n v="47"/>
    <n v="4.1592920353982299"/>
    <n v="0.13864306784660765"/>
    <x v="0"/>
    <x v="1"/>
  </r>
  <r>
    <x v="667"/>
    <x v="3"/>
    <x v="26"/>
    <x v="17"/>
    <x v="1"/>
    <n v="50"/>
    <n v="4.4247787610619467"/>
    <n v="0.14749262536873156"/>
    <x v="0"/>
    <x v="0"/>
  </r>
  <r>
    <x v="668"/>
    <x v="3"/>
    <x v="26"/>
    <x v="17"/>
    <x v="1"/>
    <n v="50"/>
    <n v="4.4247787610619467"/>
    <n v="0.14749262536873156"/>
    <x v="0"/>
    <x v="0"/>
  </r>
  <r>
    <x v="669"/>
    <x v="1"/>
    <x v="76"/>
    <x v="17"/>
    <x v="0"/>
    <n v="550"/>
    <n v="48.672566371681413"/>
    <n v="1.622418879056047"/>
    <x v="1"/>
    <x v="1"/>
  </r>
  <r>
    <x v="670"/>
    <x v="5"/>
    <x v="186"/>
    <x v="17"/>
    <x v="1"/>
    <n v="75"/>
    <n v="6.6371681415929196"/>
    <n v="0.22123893805309733"/>
    <x v="0"/>
    <x v="1"/>
  </r>
  <r>
    <x v="671"/>
    <x v="3"/>
    <x v="186"/>
    <x v="17"/>
    <x v="1"/>
    <n v="75"/>
    <n v="6.6371681415929196"/>
    <n v="0.22123893805309733"/>
    <x v="0"/>
    <x v="1"/>
  </r>
  <r>
    <x v="672"/>
    <x v="3"/>
    <x v="186"/>
    <x v="17"/>
    <x v="0"/>
    <n v="75"/>
    <n v="6.6371681415929196"/>
    <n v="0.22123893805309733"/>
    <x v="0"/>
    <x v="1"/>
  </r>
  <r>
    <x v="673"/>
    <x v="1"/>
    <x v="186"/>
    <x v="17"/>
    <x v="0"/>
    <n v="75"/>
    <n v="6.6371681415929196"/>
    <n v="0.22123893805309733"/>
    <x v="0"/>
    <x v="0"/>
  </r>
  <r>
    <x v="674"/>
    <x v="1"/>
    <x v="74"/>
    <x v="17"/>
    <x v="0"/>
    <n v="175"/>
    <n v="15.486725663716813"/>
    <n v="0.51622418879056042"/>
    <x v="0"/>
    <x v="0"/>
  </r>
  <r>
    <x v="675"/>
    <x v="1"/>
    <x v="186"/>
    <x v="17"/>
    <x v="0"/>
    <n v="75"/>
    <n v="6.6371681415929196"/>
    <n v="0.22123893805309733"/>
    <x v="0"/>
    <x v="1"/>
  </r>
  <r>
    <x v="676"/>
    <x v="0"/>
    <x v="237"/>
    <x v="17"/>
    <x v="1"/>
    <n v="262"/>
    <n v="23.185840707964601"/>
    <n v="0.7728613569321533"/>
    <x v="0"/>
    <x v="1"/>
  </r>
  <r>
    <x v="677"/>
    <x v="3"/>
    <x v="17"/>
    <x v="17"/>
    <x v="1"/>
    <n v="90"/>
    <n v="7.9646017699115035"/>
    <n v="0.26548672566371678"/>
    <x v="0"/>
    <x v="1"/>
  </r>
  <r>
    <x v="678"/>
    <x v="3"/>
    <x v="238"/>
    <x v="17"/>
    <x v="0"/>
    <n v="93.5"/>
    <n v="8.2743362831858409"/>
    <n v="0.27581120943952803"/>
    <x v="0"/>
    <x v="1"/>
  </r>
  <r>
    <x v="679"/>
    <x v="2"/>
    <x v="51"/>
    <x v="17"/>
    <x v="0"/>
    <n v="100"/>
    <n v="8.8495575221238933"/>
    <n v="0.29498525073746312"/>
    <x v="0"/>
    <x v="0"/>
  </r>
  <r>
    <x v="680"/>
    <x v="4"/>
    <x v="51"/>
    <x v="17"/>
    <x v="0"/>
    <n v="100"/>
    <n v="8.8495575221238933"/>
    <n v="0.29498525073746312"/>
    <x v="0"/>
    <x v="0"/>
  </r>
  <r>
    <x v="681"/>
    <x v="1"/>
    <x v="51"/>
    <x v="17"/>
    <x v="0"/>
    <n v="100"/>
    <n v="8.8495575221238933"/>
    <n v="0.29498525073746312"/>
    <x v="0"/>
    <x v="0"/>
  </r>
  <r>
    <x v="682"/>
    <x v="1"/>
    <x v="51"/>
    <x v="17"/>
    <x v="1"/>
    <n v="100"/>
    <n v="8.8495575221238933"/>
    <n v="0.29498525073746312"/>
    <x v="0"/>
    <x v="0"/>
  </r>
  <r>
    <x v="683"/>
    <x v="2"/>
    <x v="51"/>
    <x v="17"/>
    <x v="1"/>
    <n v="100"/>
    <n v="8.8495575221238933"/>
    <n v="0.29498525073746312"/>
    <x v="0"/>
    <x v="1"/>
  </r>
  <r>
    <x v="684"/>
    <x v="0"/>
    <x v="18"/>
    <x v="17"/>
    <x v="0"/>
    <n v="300"/>
    <n v="26.548672566371678"/>
    <n v="0.88495575221238931"/>
    <x v="0"/>
    <x v="1"/>
  </r>
  <r>
    <x v="685"/>
    <x v="0"/>
    <x v="239"/>
    <x v="17"/>
    <x v="0"/>
    <n v="104"/>
    <n v="9.2035398230088497"/>
    <n v="0.30678466076696165"/>
    <x v="0"/>
    <x v="1"/>
  </r>
  <r>
    <x v="686"/>
    <x v="0"/>
    <x v="240"/>
    <x v="17"/>
    <x v="1"/>
    <n v="365"/>
    <n v="32.30088495575221"/>
    <n v="1.0766961651917404"/>
    <x v="2"/>
    <x v="1"/>
  </r>
  <r>
    <x v="687"/>
    <x v="0"/>
    <x v="97"/>
    <x v="17"/>
    <x v="0"/>
    <n v="625"/>
    <n v="55.309734513274336"/>
    <n v="1.8436578171091442"/>
    <x v="1"/>
    <x v="1"/>
  </r>
  <r>
    <x v="688"/>
    <x v="3"/>
    <x v="49"/>
    <x v="17"/>
    <x v="1"/>
    <n v="150"/>
    <n v="13.274336283185839"/>
    <n v="0.44247787610619466"/>
    <x v="0"/>
    <x v="1"/>
  </r>
  <r>
    <x v="689"/>
    <x v="4"/>
    <x v="49"/>
    <x v="17"/>
    <x v="1"/>
    <n v="150"/>
    <n v="13.274336283185839"/>
    <n v="0.44247787610619466"/>
    <x v="0"/>
    <x v="1"/>
  </r>
  <r>
    <x v="690"/>
    <x v="3"/>
    <x v="18"/>
    <x v="17"/>
    <x v="1"/>
    <n v="300"/>
    <n v="26.548672566371678"/>
    <n v="0.88495575221238931"/>
    <x v="0"/>
    <x v="0"/>
  </r>
  <r>
    <x v="691"/>
    <x v="1"/>
    <x v="49"/>
    <x v="17"/>
    <x v="1"/>
    <n v="150"/>
    <n v="13.274336283185839"/>
    <n v="0.44247787610619466"/>
    <x v="0"/>
    <x v="1"/>
  </r>
  <r>
    <x v="692"/>
    <x v="1"/>
    <x v="49"/>
    <x v="17"/>
    <x v="0"/>
    <n v="150"/>
    <n v="13.274336283185839"/>
    <n v="0.44247787610619466"/>
    <x v="0"/>
    <x v="1"/>
  </r>
  <r>
    <x v="693"/>
    <x v="2"/>
    <x v="136"/>
    <x v="17"/>
    <x v="0"/>
    <n v="650"/>
    <n v="57.522123893805308"/>
    <n v="1.9174041297935103"/>
    <x v="1"/>
    <x v="1"/>
  </r>
  <r>
    <x v="694"/>
    <x v="0"/>
    <x v="108"/>
    <x v="17"/>
    <x v="0"/>
    <n v="450"/>
    <n v="39.823008849557517"/>
    <n v="1.3274336283185839"/>
    <x v="2"/>
    <x v="1"/>
  </r>
  <r>
    <x v="695"/>
    <x v="0"/>
    <x v="241"/>
    <x v="17"/>
    <x v="0"/>
    <n v="157.5"/>
    <n v="13.938053097345131"/>
    <n v="0.46460176991150437"/>
    <x v="0"/>
    <x v="1"/>
  </r>
  <r>
    <x v="696"/>
    <x v="4"/>
    <x v="242"/>
    <x v="17"/>
    <x v="0"/>
    <n v="340"/>
    <n v="30.088495575221238"/>
    <n v="1.0029498525073746"/>
    <x v="2"/>
    <x v="0"/>
  </r>
  <r>
    <x v="697"/>
    <x v="0"/>
    <x v="243"/>
    <x v="17"/>
    <x v="0"/>
    <n v="160"/>
    <n v="14.159292035398229"/>
    <n v="0.47197640117994094"/>
    <x v="0"/>
    <x v="1"/>
  </r>
  <r>
    <x v="698"/>
    <x v="0"/>
    <x v="244"/>
    <x v="17"/>
    <x v="0"/>
    <n v="172.5"/>
    <n v="15.265486725663715"/>
    <n v="0.50884955752212391"/>
    <x v="0"/>
    <x v="1"/>
  </r>
  <r>
    <x v="699"/>
    <x v="1"/>
    <x v="74"/>
    <x v="17"/>
    <x v="1"/>
    <n v="175"/>
    <n v="15.486725663716813"/>
    <n v="0.51622418879056042"/>
    <x v="0"/>
    <x v="1"/>
  </r>
  <r>
    <x v="700"/>
    <x v="0"/>
    <x v="18"/>
    <x v="17"/>
    <x v="0"/>
    <n v="300"/>
    <n v="26.548672566371678"/>
    <n v="0.88495575221238931"/>
    <x v="0"/>
    <x v="1"/>
  </r>
  <r>
    <x v="701"/>
    <x v="3"/>
    <x v="164"/>
    <x v="17"/>
    <x v="1"/>
    <n v="725"/>
    <n v="64.159292035398224"/>
    <n v="2.1386430678466075"/>
    <x v="1"/>
    <x v="0"/>
  </r>
  <r>
    <x v="702"/>
    <x v="1"/>
    <x v="245"/>
    <x v="17"/>
    <x v="0"/>
    <n v="405"/>
    <n v="35.840707964601769"/>
    <n v="1.1946902654867255"/>
    <x v="2"/>
    <x v="1"/>
  </r>
  <r>
    <x v="703"/>
    <x v="3"/>
    <x v="0"/>
    <x v="17"/>
    <x v="1"/>
    <n v="595"/>
    <n v="52.654867256637168"/>
    <n v="1.7551622418879054"/>
    <x v="1"/>
    <x v="1"/>
  </r>
  <r>
    <x v="704"/>
    <x v="3"/>
    <x v="246"/>
    <x v="17"/>
    <x v="1"/>
    <n v="430"/>
    <n v="38.053097345132741"/>
    <n v="1.2684365781710913"/>
    <x v="2"/>
    <x v="1"/>
  </r>
  <r>
    <x v="705"/>
    <x v="5"/>
    <x v="184"/>
    <x v="17"/>
    <x v="1"/>
    <n v="185"/>
    <n v="16.371681415929203"/>
    <n v="0.54572271386430682"/>
    <x v="0"/>
    <x v="1"/>
  </r>
  <r>
    <x v="706"/>
    <x v="5"/>
    <x v="247"/>
    <x v="17"/>
    <x v="0"/>
    <n v="384"/>
    <n v="33.982300884955748"/>
    <n v="1.1327433628318584"/>
    <x v="2"/>
    <x v="0"/>
  </r>
  <r>
    <x v="707"/>
    <x v="3"/>
    <x v="56"/>
    <x v="17"/>
    <x v="1"/>
    <n v="350"/>
    <n v="30.973451327433626"/>
    <n v="1.0324483775811208"/>
    <x v="2"/>
    <x v="1"/>
  </r>
  <r>
    <x v="708"/>
    <x v="3"/>
    <x v="124"/>
    <x v="17"/>
    <x v="0"/>
    <n v="200"/>
    <n v="17.699115044247787"/>
    <n v="0.58997050147492625"/>
    <x v="0"/>
    <x v="1"/>
  </r>
  <r>
    <x v="709"/>
    <x v="2"/>
    <x v="124"/>
    <x v="17"/>
    <x v="0"/>
    <n v="200"/>
    <n v="17.699115044247787"/>
    <n v="0.58997050147492625"/>
    <x v="0"/>
    <x v="1"/>
  </r>
  <r>
    <x v="710"/>
    <x v="3"/>
    <x v="124"/>
    <x v="17"/>
    <x v="1"/>
    <n v="200"/>
    <n v="17.699115044247787"/>
    <n v="0.58997050147492625"/>
    <x v="0"/>
    <x v="1"/>
  </r>
  <r>
    <x v="711"/>
    <x v="3"/>
    <x v="34"/>
    <x v="17"/>
    <x v="0"/>
    <n v="400"/>
    <n v="35.398230088495573"/>
    <n v="1.1799410029498525"/>
    <x v="2"/>
    <x v="1"/>
  </r>
  <r>
    <x v="712"/>
    <x v="5"/>
    <x v="124"/>
    <x v="17"/>
    <x v="0"/>
    <n v="200"/>
    <n v="17.699115044247787"/>
    <n v="0.58997050147492625"/>
    <x v="0"/>
    <x v="1"/>
  </r>
  <r>
    <x v="713"/>
    <x v="5"/>
    <x v="124"/>
    <x v="17"/>
    <x v="0"/>
    <n v="200"/>
    <n v="17.699115044247787"/>
    <n v="0.58997050147492625"/>
    <x v="0"/>
    <x v="1"/>
  </r>
  <r>
    <x v="714"/>
    <x v="3"/>
    <x v="39"/>
    <x v="17"/>
    <x v="0"/>
    <n v="700"/>
    <n v="61.946902654867252"/>
    <n v="2.0648967551622417"/>
    <x v="1"/>
    <x v="1"/>
  </r>
  <r>
    <x v="715"/>
    <x v="3"/>
    <x v="124"/>
    <x v="17"/>
    <x v="1"/>
    <n v="200"/>
    <n v="17.699115044247787"/>
    <n v="0.58997050147492625"/>
    <x v="0"/>
    <x v="0"/>
  </r>
  <r>
    <x v="716"/>
    <x v="1"/>
    <x v="124"/>
    <x v="17"/>
    <x v="0"/>
    <n v="200"/>
    <n v="17.699115044247787"/>
    <n v="0.58997050147492625"/>
    <x v="0"/>
    <x v="0"/>
  </r>
  <r>
    <x v="717"/>
    <x v="1"/>
    <x v="124"/>
    <x v="17"/>
    <x v="0"/>
    <n v="200"/>
    <n v="17.699115044247787"/>
    <n v="0.58997050147492625"/>
    <x v="0"/>
    <x v="1"/>
  </r>
  <r>
    <x v="718"/>
    <x v="1"/>
    <x v="76"/>
    <x v="17"/>
    <x v="0"/>
    <n v="550"/>
    <n v="48.672566371681413"/>
    <n v="1.622418879056047"/>
    <x v="1"/>
    <x v="1"/>
  </r>
  <r>
    <x v="719"/>
    <x v="1"/>
    <x v="82"/>
    <x v="17"/>
    <x v="0"/>
    <n v="1200"/>
    <n v="106.19469026548671"/>
    <n v="3.5398230088495573"/>
    <x v="3"/>
    <x v="0"/>
  </r>
  <r>
    <x v="720"/>
    <x v="1"/>
    <x v="248"/>
    <x v="17"/>
    <x v="0"/>
    <n v="207.5"/>
    <n v="18.362831858407077"/>
    <n v="0.61209439528023601"/>
    <x v="0"/>
    <x v="1"/>
  </r>
  <r>
    <x v="721"/>
    <x v="2"/>
    <x v="249"/>
    <x v="17"/>
    <x v="1"/>
    <n v="515"/>
    <n v="45.575221238938049"/>
    <n v="1.5191740412979351"/>
    <x v="1"/>
    <x v="1"/>
  </r>
  <r>
    <x v="722"/>
    <x v="4"/>
    <x v="250"/>
    <x v="17"/>
    <x v="0"/>
    <n v="218"/>
    <n v="19.292035398230087"/>
    <n v="0.64306784660766958"/>
    <x v="0"/>
    <x v="1"/>
  </r>
  <r>
    <x v="723"/>
    <x v="3"/>
    <x v="251"/>
    <x v="17"/>
    <x v="1"/>
    <n v="562"/>
    <n v="49.73451327433628"/>
    <n v="1.6578171091445428"/>
    <x v="1"/>
    <x v="1"/>
  </r>
  <r>
    <x v="724"/>
    <x v="0"/>
    <x v="38"/>
    <x v="17"/>
    <x v="1"/>
    <n v="225"/>
    <n v="19.911504424778759"/>
    <n v="0.66371681415929196"/>
    <x v="0"/>
    <x v="1"/>
  </r>
  <r>
    <x v="725"/>
    <x v="3"/>
    <x v="38"/>
    <x v="17"/>
    <x v="1"/>
    <n v="225"/>
    <n v="19.911504424778759"/>
    <n v="0.66371681415929196"/>
    <x v="0"/>
    <x v="1"/>
  </r>
  <r>
    <x v="726"/>
    <x v="4"/>
    <x v="203"/>
    <x v="17"/>
    <x v="0"/>
    <n v="825"/>
    <n v="73.008849557522126"/>
    <n v="2.4336283185840708"/>
    <x v="1"/>
    <x v="0"/>
  </r>
  <r>
    <x v="727"/>
    <x v="0"/>
    <x v="106"/>
    <x v="17"/>
    <x v="0"/>
    <n v="580"/>
    <n v="51.32743362831858"/>
    <n v="1.7109144542772858"/>
    <x v="1"/>
    <x v="1"/>
  </r>
  <r>
    <x v="728"/>
    <x v="4"/>
    <x v="198"/>
    <x v="17"/>
    <x v="1"/>
    <n v="230"/>
    <n v="20.353982300884955"/>
    <n v="0.67846607669616521"/>
    <x v="0"/>
    <x v="1"/>
  </r>
  <r>
    <x v="729"/>
    <x v="5"/>
    <x v="252"/>
    <x v="17"/>
    <x v="0"/>
    <n v="480"/>
    <n v="42.477876106194685"/>
    <n v="1.415929203539823"/>
    <x v="1"/>
    <x v="1"/>
  </r>
  <r>
    <x v="730"/>
    <x v="3"/>
    <x v="253"/>
    <x v="17"/>
    <x v="0"/>
    <n v="238.5"/>
    <n v="21.106194690265486"/>
    <n v="0.70353982300884954"/>
    <x v="0"/>
    <x v="1"/>
  </r>
  <r>
    <x v="731"/>
    <x v="3"/>
    <x v="254"/>
    <x v="17"/>
    <x v="0"/>
    <n v="240"/>
    <n v="21.238938053097343"/>
    <n v="0.70796460176991149"/>
    <x v="0"/>
    <x v="0"/>
  </r>
  <r>
    <x v="732"/>
    <x v="0"/>
    <x v="78"/>
    <x v="17"/>
    <x v="0"/>
    <n v="250"/>
    <n v="22.123893805309734"/>
    <n v="0.73746312684365778"/>
    <x v="0"/>
    <x v="1"/>
  </r>
  <r>
    <x v="733"/>
    <x v="5"/>
    <x v="78"/>
    <x v="17"/>
    <x v="0"/>
    <n v="250"/>
    <n v="22.123893805309734"/>
    <n v="0.73746312684365778"/>
    <x v="0"/>
    <x v="0"/>
  </r>
  <r>
    <x v="734"/>
    <x v="5"/>
    <x v="78"/>
    <x v="17"/>
    <x v="0"/>
    <n v="250"/>
    <n v="22.123893805309734"/>
    <n v="0.73746312684365778"/>
    <x v="0"/>
    <x v="1"/>
  </r>
  <r>
    <x v="735"/>
    <x v="5"/>
    <x v="78"/>
    <x v="17"/>
    <x v="1"/>
    <n v="250"/>
    <n v="22.123893805309734"/>
    <n v="0.73746312684365778"/>
    <x v="0"/>
    <x v="1"/>
  </r>
  <r>
    <x v="736"/>
    <x v="3"/>
    <x v="78"/>
    <x v="17"/>
    <x v="0"/>
    <n v="250"/>
    <n v="22.123893805309734"/>
    <n v="0.73746312684365778"/>
    <x v="0"/>
    <x v="1"/>
  </r>
  <r>
    <x v="737"/>
    <x v="3"/>
    <x v="255"/>
    <x v="17"/>
    <x v="0"/>
    <n v="290"/>
    <n v="25.66371681415929"/>
    <n v="0.85545722713864292"/>
    <x v="0"/>
    <x v="1"/>
  </r>
  <r>
    <x v="738"/>
    <x v="3"/>
    <x v="78"/>
    <x v="17"/>
    <x v="0"/>
    <n v="250"/>
    <n v="22.123893805309734"/>
    <n v="0.73746312684365778"/>
    <x v="0"/>
    <x v="1"/>
  </r>
  <r>
    <x v="739"/>
    <x v="3"/>
    <x v="78"/>
    <x v="17"/>
    <x v="0"/>
    <n v="250"/>
    <n v="22.123893805309734"/>
    <n v="0.73746312684365778"/>
    <x v="0"/>
    <x v="1"/>
  </r>
  <r>
    <x v="740"/>
    <x v="1"/>
    <x v="78"/>
    <x v="17"/>
    <x v="1"/>
    <n v="250"/>
    <n v="22.123893805309734"/>
    <n v="0.73746312684365778"/>
    <x v="0"/>
    <x v="1"/>
  </r>
  <r>
    <x v="741"/>
    <x v="2"/>
    <x v="78"/>
    <x v="17"/>
    <x v="0"/>
    <n v="250"/>
    <n v="22.123893805309734"/>
    <n v="0.73746312684365778"/>
    <x v="0"/>
    <x v="1"/>
  </r>
  <r>
    <x v="742"/>
    <x v="2"/>
    <x v="78"/>
    <x v="17"/>
    <x v="1"/>
    <n v="250"/>
    <n v="22.123893805309734"/>
    <n v="0.73746312684365778"/>
    <x v="0"/>
    <x v="1"/>
  </r>
  <r>
    <x v="743"/>
    <x v="0"/>
    <x v="34"/>
    <x v="17"/>
    <x v="1"/>
    <n v="400"/>
    <n v="35.398230088495573"/>
    <n v="1.1799410029498525"/>
    <x v="2"/>
    <x v="1"/>
  </r>
  <r>
    <x v="744"/>
    <x v="0"/>
    <x v="55"/>
    <x v="17"/>
    <x v="0"/>
    <n v="850"/>
    <n v="75.221238938053091"/>
    <n v="2.5073746312684362"/>
    <x v="3"/>
    <x v="1"/>
  </r>
  <r>
    <x v="745"/>
    <x v="4"/>
    <x v="97"/>
    <x v="17"/>
    <x v="1"/>
    <n v="625"/>
    <n v="55.309734513274336"/>
    <n v="1.8436578171091442"/>
    <x v="1"/>
    <x v="1"/>
  </r>
  <r>
    <x v="746"/>
    <x v="2"/>
    <x v="78"/>
    <x v="17"/>
    <x v="0"/>
    <n v="250"/>
    <n v="22.123893805309734"/>
    <n v="0.73746312684365778"/>
    <x v="0"/>
    <x v="1"/>
  </r>
  <r>
    <x v="747"/>
    <x v="0"/>
    <x v="9"/>
    <x v="17"/>
    <x v="1"/>
    <n v="1000"/>
    <n v="88.495575221238937"/>
    <n v="2.9498525073746311"/>
    <x v="3"/>
    <x v="1"/>
  </r>
  <r>
    <x v="748"/>
    <x v="2"/>
    <x v="14"/>
    <x v="17"/>
    <x v="0"/>
    <n v="420"/>
    <n v="37.16814159292035"/>
    <n v="1.2389380530973451"/>
    <x v="2"/>
    <x v="0"/>
  </r>
  <r>
    <x v="749"/>
    <x v="0"/>
    <x v="256"/>
    <x v="17"/>
    <x v="1"/>
    <n v="1260"/>
    <n v="111.50442477876105"/>
    <n v="3.716814159292035"/>
    <x v="3"/>
    <x v="1"/>
  </r>
  <r>
    <x v="750"/>
    <x v="0"/>
    <x v="257"/>
    <x v="17"/>
    <x v="0"/>
    <n v="260"/>
    <n v="23.008849557522122"/>
    <n v="0.76696165191740406"/>
    <x v="0"/>
    <x v="1"/>
  </r>
  <r>
    <x v="751"/>
    <x v="1"/>
    <x v="258"/>
    <x v="17"/>
    <x v="1"/>
    <n v="1267.5"/>
    <n v="112.16814159292035"/>
    <n v="3.7389380530973448"/>
    <x v="3"/>
    <x v="1"/>
  </r>
  <r>
    <x v="752"/>
    <x v="4"/>
    <x v="259"/>
    <x v="17"/>
    <x v="1"/>
    <n v="526.5"/>
    <n v="46.592920353982301"/>
    <n v="1.5530973451327432"/>
    <x v="1"/>
    <x v="1"/>
  </r>
  <r>
    <x v="753"/>
    <x v="3"/>
    <x v="260"/>
    <x v="17"/>
    <x v="1"/>
    <n v="1670"/>
    <n v="147.78761061946901"/>
    <n v="4.9262536873156337"/>
    <x v="4"/>
    <x v="1"/>
  </r>
  <r>
    <x v="754"/>
    <x v="2"/>
    <x v="200"/>
    <x v="17"/>
    <x v="0"/>
    <n v="275"/>
    <n v="24.336283185840706"/>
    <n v="0.81120943952802349"/>
    <x v="0"/>
    <x v="1"/>
  </r>
  <r>
    <x v="755"/>
    <x v="3"/>
    <x v="261"/>
    <x v="17"/>
    <x v="1"/>
    <n v="987.5"/>
    <n v="87.38938053097344"/>
    <n v="2.912979351032448"/>
    <x v="3"/>
    <x v="0"/>
  </r>
  <r>
    <x v="756"/>
    <x v="2"/>
    <x v="159"/>
    <x v="17"/>
    <x v="0"/>
    <n v="530"/>
    <n v="46.902654867256636"/>
    <n v="1.5634218289085546"/>
    <x v="1"/>
    <x v="1"/>
  </r>
  <r>
    <x v="757"/>
    <x v="3"/>
    <x v="188"/>
    <x v="17"/>
    <x v="1"/>
    <n v="285"/>
    <n v="25.221238938053094"/>
    <n v="0.84070796460176989"/>
    <x v="0"/>
    <x v="0"/>
  </r>
  <r>
    <x v="758"/>
    <x v="3"/>
    <x v="48"/>
    <x v="17"/>
    <x v="1"/>
    <n v="1800"/>
    <n v="159.29203539823007"/>
    <n v="5.3097345132743357"/>
    <x v="4"/>
    <x v="1"/>
  </r>
  <r>
    <x v="759"/>
    <x v="3"/>
    <x v="88"/>
    <x v="17"/>
    <x v="1"/>
    <n v="1300"/>
    <n v="115.04424778761062"/>
    <n v="3.8348082595870205"/>
    <x v="3"/>
    <x v="1"/>
  </r>
  <r>
    <x v="760"/>
    <x v="4"/>
    <x v="105"/>
    <x v="17"/>
    <x v="0"/>
    <n v="800"/>
    <n v="70.796460176991147"/>
    <n v="2.359882005899705"/>
    <x v="1"/>
    <x v="0"/>
  </r>
  <r>
    <x v="761"/>
    <x v="4"/>
    <x v="43"/>
    <x v="17"/>
    <x v="0"/>
    <n v="2800"/>
    <n v="247.78761061946901"/>
    <n v="8.2595870206489668"/>
    <x v="4"/>
    <x v="1"/>
  </r>
  <r>
    <x v="762"/>
    <x v="5"/>
    <x v="18"/>
    <x v="17"/>
    <x v="0"/>
    <n v="300"/>
    <n v="26.548672566371678"/>
    <n v="0.88495575221238931"/>
    <x v="0"/>
    <x v="1"/>
  </r>
  <r>
    <x v="763"/>
    <x v="1"/>
    <x v="262"/>
    <x v="17"/>
    <x v="0"/>
    <n v="575"/>
    <n v="50.884955752212385"/>
    <n v="1.696165191740413"/>
    <x v="1"/>
    <x v="1"/>
  </r>
  <r>
    <x v="764"/>
    <x v="1"/>
    <x v="18"/>
    <x v="17"/>
    <x v="1"/>
    <n v="300"/>
    <n v="26.548672566371678"/>
    <n v="0.88495575221238931"/>
    <x v="0"/>
    <x v="1"/>
  </r>
  <r>
    <x v="765"/>
    <x v="1"/>
    <x v="18"/>
    <x v="17"/>
    <x v="0"/>
    <n v="300"/>
    <n v="26.548672566371678"/>
    <n v="0.88495575221238931"/>
    <x v="0"/>
    <x v="1"/>
  </r>
  <r>
    <x v="766"/>
    <x v="1"/>
    <x v="18"/>
    <x v="17"/>
    <x v="1"/>
    <n v="300"/>
    <n v="26.548672566371678"/>
    <n v="0.88495575221238931"/>
    <x v="0"/>
    <x v="1"/>
  </r>
  <r>
    <x v="767"/>
    <x v="0"/>
    <x v="83"/>
    <x v="17"/>
    <x v="1"/>
    <n v="375"/>
    <n v="33.185840707964601"/>
    <n v="1.1061946902654867"/>
    <x v="2"/>
    <x v="1"/>
  </r>
  <r>
    <x v="768"/>
    <x v="0"/>
    <x v="18"/>
    <x v="17"/>
    <x v="0"/>
    <n v="300"/>
    <n v="26.548672566371678"/>
    <n v="0.88495575221238931"/>
    <x v="0"/>
    <x v="1"/>
  </r>
  <r>
    <x v="769"/>
    <x v="4"/>
    <x v="18"/>
    <x v="17"/>
    <x v="1"/>
    <n v="300"/>
    <n v="26.548672566371678"/>
    <n v="0.88495575221238931"/>
    <x v="0"/>
    <x v="1"/>
  </r>
  <r>
    <x v="770"/>
    <x v="4"/>
    <x v="18"/>
    <x v="17"/>
    <x v="0"/>
    <n v="300"/>
    <n v="26.548672566371678"/>
    <n v="0.88495575221238931"/>
    <x v="0"/>
    <x v="1"/>
  </r>
  <r>
    <x v="771"/>
    <x v="2"/>
    <x v="185"/>
    <x v="17"/>
    <x v="0"/>
    <n v="1060"/>
    <n v="93.805309734513273"/>
    <n v="3.1268436578171093"/>
    <x v="3"/>
    <x v="1"/>
  </r>
  <r>
    <x v="772"/>
    <x v="4"/>
    <x v="263"/>
    <x v="17"/>
    <x v="1"/>
    <n v="740"/>
    <n v="65.486725663716811"/>
    <n v="2.1828908554572273"/>
    <x v="1"/>
    <x v="1"/>
  </r>
  <r>
    <x v="773"/>
    <x v="3"/>
    <x v="12"/>
    <x v="17"/>
    <x v="0"/>
    <n v="325"/>
    <n v="28.761061946902654"/>
    <n v="0.95870206489675514"/>
    <x v="2"/>
    <x v="1"/>
  </r>
  <r>
    <x v="774"/>
    <x v="0"/>
    <x v="12"/>
    <x v="17"/>
    <x v="0"/>
    <n v="325"/>
    <n v="28.761061946902654"/>
    <n v="0.95870206489675514"/>
    <x v="2"/>
    <x v="1"/>
  </r>
  <r>
    <x v="775"/>
    <x v="4"/>
    <x v="12"/>
    <x v="17"/>
    <x v="0"/>
    <n v="325"/>
    <n v="28.761061946902654"/>
    <n v="0.95870206489675514"/>
    <x v="2"/>
    <x v="1"/>
  </r>
  <r>
    <x v="776"/>
    <x v="3"/>
    <x v="264"/>
    <x v="17"/>
    <x v="1"/>
    <n v="330"/>
    <n v="29.203539823008846"/>
    <n v="0.97345132743362828"/>
    <x v="2"/>
    <x v="1"/>
  </r>
  <r>
    <x v="777"/>
    <x v="0"/>
    <x v="264"/>
    <x v="17"/>
    <x v="1"/>
    <n v="330"/>
    <n v="29.203539823008846"/>
    <n v="0.97345132743362828"/>
    <x v="2"/>
    <x v="1"/>
  </r>
  <r>
    <x v="778"/>
    <x v="3"/>
    <x v="242"/>
    <x v="17"/>
    <x v="1"/>
    <n v="340"/>
    <n v="30.088495575221238"/>
    <n v="1.0029498525073746"/>
    <x v="2"/>
    <x v="1"/>
  </r>
  <r>
    <x v="779"/>
    <x v="2"/>
    <x v="265"/>
    <x v="17"/>
    <x v="0"/>
    <n v="344.5"/>
    <n v="30.486725663716811"/>
    <n v="1.0162241887905603"/>
    <x v="2"/>
    <x v="1"/>
  </r>
  <r>
    <x v="780"/>
    <x v="0"/>
    <x v="56"/>
    <x v="17"/>
    <x v="1"/>
    <n v="350"/>
    <n v="30.973451327433626"/>
    <n v="1.0324483775811208"/>
    <x v="2"/>
    <x v="1"/>
  </r>
  <r>
    <x v="781"/>
    <x v="1"/>
    <x v="129"/>
    <x v="17"/>
    <x v="0"/>
    <n v="1600"/>
    <n v="141.59292035398229"/>
    <n v="4.71976401179941"/>
    <x v="4"/>
    <x v="1"/>
  </r>
  <r>
    <x v="782"/>
    <x v="4"/>
    <x v="39"/>
    <x v="17"/>
    <x v="1"/>
    <n v="700"/>
    <n v="61.946902654867252"/>
    <n v="2.0648967551622417"/>
    <x v="1"/>
    <x v="1"/>
  </r>
  <r>
    <x v="783"/>
    <x v="5"/>
    <x v="39"/>
    <x v="17"/>
    <x v="0"/>
    <n v="700"/>
    <n v="61.946902654867252"/>
    <n v="2.0648967551622417"/>
    <x v="1"/>
    <x v="1"/>
  </r>
  <r>
    <x v="784"/>
    <x v="5"/>
    <x v="56"/>
    <x v="17"/>
    <x v="0"/>
    <n v="350"/>
    <n v="30.973451327433626"/>
    <n v="1.0324483775811208"/>
    <x v="2"/>
    <x v="1"/>
  </r>
  <r>
    <x v="785"/>
    <x v="3"/>
    <x v="56"/>
    <x v="17"/>
    <x v="0"/>
    <n v="350"/>
    <n v="30.973451327433626"/>
    <n v="1.0324483775811208"/>
    <x v="2"/>
    <x v="1"/>
  </r>
  <r>
    <x v="786"/>
    <x v="3"/>
    <x v="56"/>
    <x v="17"/>
    <x v="0"/>
    <n v="350"/>
    <n v="30.973451327433626"/>
    <n v="1.0324483775811208"/>
    <x v="2"/>
    <x v="1"/>
  </r>
  <r>
    <x v="787"/>
    <x v="3"/>
    <x v="30"/>
    <x v="17"/>
    <x v="0"/>
    <n v="500"/>
    <n v="44.247787610619469"/>
    <n v="1.4749262536873156"/>
    <x v="1"/>
    <x v="1"/>
  </r>
  <r>
    <x v="788"/>
    <x v="3"/>
    <x v="56"/>
    <x v="17"/>
    <x v="0"/>
    <n v="350"/>
    <n v="30.973451327433626"/>
    <n v="1.0324483775811208"/>
    <x v="2"/>
    <x v="1"/>
  </r>
  <r>
    <x v="789"/>
    <x v="3"/>
    <x v="56"/>
    <x v="17"/>
    <x v="0"/>
    <n v="350"/>
    <n v="30.973451327433626"/>
    <n v="1.0324483775811208"/>
    <x v="2"/>
    <x v="1"/>
  </r>
  <r>
    <x v="790"/>
    <x v="1"/>
    <x v="56"/>
    <x v="17"/>
    <x v="1"/>
    <n v="350"/>
    <n v="30.973451327433626"/>
    <n v="1.0324483775811208"/>
    <x v="2"/>
    <x v="1"/>
  </r>
  <r>
    <x v="791"/>
    <x v="4"/>
    <x v="55"/>
    <x v="17"/>
    <x v="1"/>
    <n v="850"/>
    <n v="75.221238938053091"/>
    <n v="2.5073746312684362"/>
    <x v="3"/>
    <x v="1"/>
  </r>
  <r>
    <x v="792"/>
    <x v="5"/>
    <x v="30"/>
    <x v="17"/>
    <x v="0"/>
    <n v="500"/>
    <n v="44.247787610619469"/>
    <n v="1.4749262536873156"/>
    <x v="1"/>
    <x v="1"/>
  </r>
  <r>
    <x v="793"/>
    <x v="1"/>
    <x v="97"/>
    <x v="17"/>
    <x v="0"/>
    <n v="625"/>
    <n v="55.309734513274336"/>
    <n v="1.8436578171091442"/>
    <x v="1"/>
    <x v="1"/>
  </r>
  <r>
    <x v="794"/>
    <x v="4"/>
    <x v="83"/>
    <x v="17"/>
    <x v="0"/>
    <n v="375"/>
    <n v="33.185840707964601"/>
    <n v="1.1061946902654867"/>
    <x v="2"/>
    <x v="1"/>
  </r>
  <r>
    <x v="795"/>
    <x v="2"/>
    <x v="245"/>
    <x v="17"/>
    <x v="0"/>
    <n v="405"/>
    <n v="35.840707964601769"/>
    <n v="1.1946902654867255"/>
    <x v="2"/>
    <x v="1"/>
  </r>
  <r>
    <x v="796"/>
    <x v="4"/>
    <x v="266"/>
    <x v="17"/>
    <x v="0"/>
    <n v="380"/>
    <n v="33.628318584070797"/>
    <n v="1.1209439528023597"/>
    <x v="2"/>
    <x v="1"/>
  </r>
  <r>
    <x v="797"/>
    <x v="3"/>
    <x v="267"/>
    <x v="17"/>
    <x v="0"/>
    <n v="1080"/>
    <n v="95.575221238938042"/>
    <n v="3.1858407079646014"/>
    <x v="3"/>
    <x v="1"/>
  </r>
  <r>
    <x v="798"/>
    <x v="3"/>
    <x v="34"/>
    <x v="17"/>
    <x v="1"/>
    <n v="400"/>
    <n v="35.398230088495573"/>
    <n v="1.1799410029498525"/>
    <x v="2"/>
    <x v="1"/>
  </r>
  <r>
    <x v="799"/>
    <x v="0"/>
    <x v="34"/>
    <x v="17"/>
    <x v="1"/>
    <n v="400"/>
    <n v="35.398230088495573"/>
    <n v="1.1799410029498525"/>
    <x v="2"/>
    <x v="1"/>
  </r>
  <r>
    <x v="800"/>
    <x v="4"/>
    <x v="34"/>
    <x v="17"/>
    <x v="0"/>
    <n v="400"/>
    <n v="35.398230088495573"/>
    <n v="1.1799410029498525"/>
    <x v="2"/>
    <x v="1"/>
  </r>
  <r>
    <x v="801"/>
    <x v="5"/>
    <x v="19"/>
    <x v="17"/>
    <x v="0"/>
    <n v="750"/>
    <n v="66.371681415929203"/>
    <n v="2.2123893805309733"/>
    <x v="1"/>
    <x v="1"/>
  </r>
  <r>
    <x v="802"/>
    <x v="3"/>
    <x v="110"/>
    <x v="17"/>
    <x v="1"/>
    <n v="900"/>
    <n v="79.646017699115035"/>
    <n v="2.6548672566371678"/>
    <x v="3"/>
    <x v="1"/>
  </r>
  <r>
    <x v="803"/>
    <x v="3"/>
    <x v="19"/>
    <x v="17"/>
    <x v="1"/>
    <n v="750"/>
    <n v="66.371681415929203"/>
    <n v="2.2123893805309733"/>
    <x v="1"/>
    <x v="1"/>
  </r>
  <r>
    <x v="804"/>
    <x v="1"/>
    <x v="34"/>
    <x v="17"/>
    <x v="1"/>
    <n v="400"/>
    <n v="35.398230088495573"/>
    <n v="1.1799410029498525"/>
    <x v="2"/>
    <x v="1"/>
  </r>
  <r>
    <x v="805"/>
    <x v="0"/>
    <x v="34"/>
    <x v="17"/>
    <x v="0"/>
    <n v="400"/>
    <n v="35.398230088495573"/>
    <n v="1.1799410029498525"/>
    <x v="2"/>
    <x v="1"/>
  </r>
  <r>
    <x v="806"/>
    <x v="4"/>
    <x v="64"/>
    <x v="17"/>
    <x v="1"/>
    <n v="2150"/>
    <n v="190.26548672566369"/>
    <n v="6.3421828908554572"/>
    <x v="4"/>
    <x v="1"/>
  </r>
  <r>
    <x v="807"/>
    <x v="3"/>
    <x v="268"/>
    <x v="17"/>
    <x v="1"/>
    <n v="435"/>
    <n v="38.495575221238937"/>
    <n v="1.2831858407079646"/>
    <x v="2"/>
    <x v="1"/>
  </r>
  <r>
    <x v="808"/>
    <x v="3"/>
    <x v="108"/>
    <x v="17"/>
    <x v="1"/>
    <n v="450"/>
    <n v="39.823008849557517"/>
    <n v="1.3274336283185839"/>
    <x v="2"/>
    <x v="1"/>
  </r>
  <r>
    <x v="809"/>
    <x v="4"/>
    <x v="108"/>
    <x v="17"/>
    <x v="1"/>
    <n v="450"/>
    <n v="39.823008849557517"/>
    <n v="1.3274336283185839"/>
    <x v="2"/>
    <x v="1"/>
  </r>
  <r>
    <x v="810"/>
    <x v="3"/>
    <x v="45"/>
    <x v="17"/>
    <x v="0"/>
    <n v="1450"/>
    <n v="128.31858407079645"/>
    <n v="4.277286135693215"/>
    <x v="4"/>
    <x v="1"/>
  </r>
  <r>
    <x v="811"/>
    <x v="3"/>
    <x v="108"/>
    <x v="17"/>
    <x v="0"/>
    <n v="450"/>
    <n v="39.823008849557517"/>
    <n v="1.3274336283185839"/>
    <x v="2"/>
    <x v="1"/>
  </r>
  <r>
    <x v="812"/>
    <x v="3"/>
    <x v="108"/>
    <x v="17"/>
    <x v="1"/>
    <n v="450"/>
    <n v="39.823008849557517"/>
    <n v="1.3274336283185839"/>
    <x v="2"/>
    <x v="1"/>
  </r>
  <r>
    <x v="813"/>
    <x v="4"/>
    <x v="108"/>
    <x v="17"/>
    <x v="0"/>
    <n v="450"/>
    <n v="39.823008849557517"/>
    <n v="1.3274336283185839"/>
    <x v="2"/>
    <x v="1"/>
  </r>
  <r>
    <x v="814"/>
    <x v="3"/>
    <x v="19"/>
    <x v="17"/>
    <x v="1"/>
    <n v="750"/>
    <n v="66.371681415929203"/>
    <n v="2.2123893805309733"/>
    <x v="1"/>
    <x v="1"/>
  </r>
  <r>
    <x v="815"/>
    <x v="1"/>
    <x v="30"/>
    <x v="17"/>
    <x v="0"/>
    <n v="500"/>
    <n v="44.247787610619469"/>
    <n v="1.4749262536873156"/>
    <x v="1"/>
    <x v="1"/>
  </r>
  <r>
    <x v="816"/>
    <x v="4"/>
    <x v="9"/>
    <x v="17"/>
    <x v="1"/>
    <n v="1000"/>
    <n v="88.495575221238937"/>
    <n v="2.9498525073746311"/>
    <x v="3"/>
    <x v="1"/>
  </r>
  <r>
    <x v="817"/>
    <x v="3"/>
    <x v="6"/>
    <x v="17"/>
    <x v="1"/>
    <n v="1500"/>
    <n v="132.74336283185841"/>
    <n v="4.4247787610619467"/>
    <x v="4"/>
    <x v="1"/>
  </r>
  <r>
    <x v="818"/>
    <x v="1"/>
    <x v="30"/>
    <x v="17"/>
    <x v="1"/>
    <n v="500"/>
    <n v="44.247787610619469"/>
    <n v="1.4749262536873156"/>
    <x v="1"/>
    <x v="1"/>
  </r>
  <r>
    <x v="819"/>
    <x v="1"/>
    <x v="30"/>
    <x v="17"/>
    <x v="0"/>
    <n v="500"/>
    <n v="44.247787610619469"/>
    <n v="1.4749262536873156"/>
    <x v="1"/>
    <x v="1"/>
  </r>
  <r>
    <x v="820"/>
    <x v="1"/>
    <x v="30"/>
    <x v="17"/>
    <x v="1"/>
    <n v="500"/>
    <n v="44.247787610619469"/>
    <n v="1.4749262536873156"/>
    <x v="1"/>
    <x v="1"/>
  </r>
  <r>
    <x v="821"/>
    <x v="2"/>
    <x v="30"/>
    <x v="17"/>
    <x v="1"/>
    <n v="500"/>
    <n v="44.247787610619469"/>
    <n v="1.4749262536873156"/>
    <x v="1"/>
    <x v="1"/>
  </r>
  <r>
    <x v="822"/>
    <x v="2"/>
    <x v="30"/>
    <x v="17"/>
    <x v="0"/>
    <n v="500"/>
    <n v="44.247787610619469"/>
    <n v="1.4749262536873156"/>
    <x v="1"/>
    <x v="1"/>
  </r>
  <r>
    <x v="823"/>
    <x v="0"/>
    <x v="30"/>
    <x v="17"/>
    <x v="1"/>
    <n v="500"/>
    <n v="44.247787610619469"/>
    <n v="1.4749262536873156"/>
    <x v="1"/>
    <x v="1"/>
  </r>
  <r>
    <x v="824"/>
    <x v="0"/>
    <x v="30"/>
    <x v="17"/>
    <x v="0"/>
    <n v="500"/>
    <n v="44.247787610619469"/>
    <n v="1.4749262536873156"/>
    <x v="1"/>
    <x v="1"/>
  </r>
  <r>
    <x v="825"/>
    <x v="0"/>
    <x v="30"/>
    <x v="17"/>
    <x v="0"/>
    <n v="500"/>
    <n v="44.247787610619469"/>
    <n v="1.4749262536873156"/>
    <x v="1"/>
    <x v="1"/>
  </r>
  <r>
    <x v="826"/>
    <x v="3"/>
    <x v="30"/>
    <x v="17"/>
    <x v="0"/>
    <n v="500"/>
    <n v="44.247787610619469"/>
    <n v="1.4749262536873156"/>
    <x v="1"/>
    <x v="1"/>
  </r>
  <r>
    <x v="827"/>
    <x v="5"/>
    <x v="269"/>
    <x v="17"/>
    <x v="0"/>
    <n v="507.5"/>
    <n v="44.911504424778755"/>
    <n v="1.4970501474926254"/>
    <x v="1"/>
    <x v="1"/>
  </r>
  <r>
    <x v="828"/>
    <x v="3"/>
    <x v="270"/>
    <x v="17"/>
    <x v="0"/>
    <n v="853.5"/>
    <n v="75.530973451327426"/>
    <n v="2.5176991150442474"/>
    <x v="3"/>
    <x v="1"/>
  </r>
  <r>
    <x v="829"/>
    <x v="2"/>
    <x v="271"/>
    <x v="17"/>
    <x v="1"/>
    <n v="547"/>
    <n v="48.407079646017699"/>
    <n v="1.6135693215339233"/>
    <x v="1"/>
    <x v="1"/>
  </r>
  <r>
    <x v="830"/>
    <x v="3"/>
    <x v="272"/>
    <x v="17"/>
    <x v="0"/>
    <n v="583.5"/>
    <n v="51.637168141592916"/>
    <n v="1.7212389380530972"/>
    <x v="1"/>
    <x v="1"/>
  </r>
  <r>
    <x v="831"/>
    <x v="1"/>
    <x v="9"/>
    <x v="17"/>
    <x v="0"/>
    <n v="1000"/>
    <n v="88.495575221238937"/>
    <n v="2.9498525073746311"/>
    <x v="3"/>
    <x v="1"/>
  </r>
  <r>
    <x v="832"/>
    <x v="1"/>
    <x v="59"/>
    <x v="17"/>
    <x v="1"/>
    <n v="600"/>
    <n v="53.097345132743357"/>
    <n v="1.7699115044247786"/>
    <x v="1"/>
    <x v="1"/>
  </r>
  <r>
    <x v="833"/>
    <x v="4"/>
    <x v="59"/>
    <x v="17"/>
    <x v="1"/>
    <n v="600"/>
    <n v="53.097345132743357"/>
    <n v="1.7699115044247786"/>
    <x v="1"/>
    <x v="1"/>
  </r>
  <r>
    <x v="834"/>
    <x v="1"/>
    <x v="70"/>
    <x v="17"/>
    <x v="1"/>
    <n v="3100"/>
    <n v="274.33628318584067"/>
    <n v="9.1445427728613566"/>
    <x v="4"/>
    <x v="1"/>
  </r>
  <r>
    <x v="835"/>
    <x v="0"/>
    <x v="273"/>
    <x v="17"/>
    <x v="1"/>
    <n v="615"/>
    <n v="54.424778761061944"/>
    <n v="1.8141592920353982"/>
    <x v="1"/>
    <x v="1"/>
  </r>
  <r>
    <x v="836"/>
    <x v="5"/>
    <x v="136"/>
    <x v="17"/>
    <x v="1"/>
    <n v="650"/>
    <n v="57.522123893805308"/>
    <n v="1.9174041297935103"/>
    <x v="1"/>
    <x v="1"/>
  </r>
  <r>
    <x v="837"/>
    <x v="5"/>
    <x v="213"/>
    <x v="17"/>
    <x v="0"/>
    <n v="675"/>
    <n v="59.73451327433628"/>
    <n v="1.9911504424778759"/>
    <x v="1"/>
    <x v="1"/>
  </r>
  <r>
    <x v="838"/>
    <x v="2"/>
    <x v="39"/>
    <x v="17"/>
    <x v="1"/>
    <n v="700"/>
    <n v="61.946902654867252"/>
    <n v="2.0648967551622417"/>
    <x v="1"/>
    <x v="1"/>
  </r>
  <r>
    <x v="839"/>
    <x v="1"/>
    <x v="274"/>
    <x v="17"/>
    <x v="0"/>
    <n v="1237.5"/>
    <n v="109.51327433628317"/>
    <n v="3.6504424778761058"/>
    <x v="3"/>
    <x v="1"/>
  </r>
  <r>
    <x v="840"/>
    <x v="0"/>
    <x v="19"/>
    <x v="17"/>
    <x v="0"/>
    <n v="750"/>
    <n v="66.371681415929203"/>
    <n v="2.2123893805309733"/>
    <x v="1"/>
    <x v="1"/>
  </r>
  <r>
    <x v="841"/>
    <x v="3"/>
    <x v="46"/>
    <x v="17"/>
    <x v="0"/>
    <n v="2750"/>
    <n v="243.36283185840708"/>
    <n v="8.112094395280236"/>
    <x v="4"/>
    <x v="1"/>
  </r>
  <r>
    <x v="842"/>
    <x v="5"/>
    <x v="19"/>
    <x v="17"/>
    <x v="0"/>
    <n v="750"/>
    <n v="66.371681415929203"/>
    <n v="2.2123893805309733"/>
    <x v="1"/>
    <x v="1"/>
  </r>
  <r>
    <x v="843"/>
    <x v="3"/>
    <x v="31"/>
    <x v="17"/>
    <x v="0"/>
    <n v="1350"/>
    <n v="119.46902654867256"/>
    <n v="3.9823008849557517"/>
    <x v="3"/>
    <x v="1"/>
  </r>
  <r>
    <x v="844"/>
    <x v="3"/>
    <x v="19"/>
    <x v="17"/>
    <x v="0"/>
    <n v="750"/>
    <n v="66.371681415929203"/>
    <n v="2.2123893805309733"/>
    <x v="1"/>
    <x v="1"/>
  </r>
  <r>
    <x v="845"/>
    <x v="1"/>
    <x v="19"/>
    <x v="17"/>
    <x v="0"/>
    <n v="750"/>
    <n v="66.371681415929203"/>
    <n v="2.2123893805309733"/>
    <x v="1"/>
    <x v="1"/>
  </r>
  <r>
    <x v="846"/>
    <x v="3"/>
    <x v="105"/>
    <x v="17"/>
    <x v="0"/>
    <n v="800"/>
    <n v="70.796460176991147"/>
    <n v="2.359882005899705"/>
    <x v="1"/>
    <x v="1"/>
  </r>
  <r>
    <x v="847"/>
    <x v="3"/>
    <x v="275"/>
    <x v="17"/>
    <x v="1"/>
    <n v="2260"/>
    <n v="200"/>
    <n v="6.6666666666666661"/>
    <x v="4"/>
    <x v="1"/>
  </r>
  <r>
    <x v="848"/>
    <x v="4"/>
    <x v="9"/>
    <x v="17"/>
    <x v="0"/>
    <n v="1000"/>
    <n v="88.495575221238937"/>
    <n v="2.9498525073746311"/>
    <x v="3"/>
    <x v="1"/>
  </r>
  <r>
    <x v="849"/>
    <x v="4"/>
    <x v="9"/>
    <x v="17"/>
    <x v="1"/>
    <n v="1000"/>
    <n v="88.495575221238937"/>
    <n v="2.9498525073746311"/>
    <x v="3"/>
    <x v="1"/>
  </r>
  <r>
    <x v="850"/>
    <x v="3"/>
    <x v="112"/>
    <x v="17"/>
    <x v="0"/>
    <n v="1650"/>
    <n v="146.01769911504425"/>
    <n v="4.8672566371681416"/>
    <x v="4"/>
    <x v="1"/>
  </r>
  <r>
    <x v="851"/>
    <x v="3"/>
    <x v="9"/>
    <x v="17"/>
    <x v="1"/>
    <n v="1000"/>
    <n v="88.495575221238937"/>
    <n v="2.9498525073746311"/>
    <x v="3"/>
    <x v="1"/>
  </r>
  <r>
    <x v="852"/>
    <x v="4"/>
    <x v="9"/>
    <x v="17"/>
    <x v="0"/>
    <n v="1000"/>
    <n v="88.495575221238937"/>
    <n v="2.9498525073746311"/>
    <x v="3"/>
    <x v="1"/>
  </r>
  <r>
    <x v="853"/>
    <x v="1"/>
    <x v="175"/>
    <x v="17"/>
    <x v="0"/>
    <n v="1850"/>
    <n v="163.71681415929203"/>
    <n v="5.4572271386430673"/>
    <x v="4"/>
    <x v="1"/>
  </r>
  <r>
    <x v="854"/>
    <x v="3"/>
    <x v="79"/>
    <x v="17"/>
    <x v="0"/>
    <n v="1250"/>
    <n v="110.61946902654867"/>
    <n v="3.6873156342182885"/>
    <x v="3"/>
    <x v="1"/>
  </r>
  <r>
    <x v="855"/>
    <x v="1"/>
    <x v="79"/>
    <x v="17"/>
    <x v="0"/>
    <n v="1250"/>
    <n v="110.61946902654867"/>
    <n v="3.6873156342182885"/>
    <x v="3"/>
    <x v="1"/>
  </r>
  <r>
    <x v="856"/>
    <x v="1"/>
    <x v="79"/>
    <x v="17"/>
    <x v="0"/>
    <n v="1250"/>
    <n v="110.61946902654867"/>
    <n v="3.6873156342182885"/>
    <x v="3"/>
    <x v="1"/>
  </r>
  <r>
    <x v="857"/>
    <x v="5"/>
    <x v="88"/>
    <x v="17"/>
    <x v="1"/>
    <n v="1300"/>
    <n v="115.04424778761062"/>
    <n v="3.8348082595870205"/>
    <x v="3"/>
    <x v="1"/>
  </r>
  <r>
    <x v="858"/>
    <x v="5"/>
    <x v="276"/>
    <x v="17"/>
    <x v="1"/>
    <n v="1575.5"/>
    <n v="139.42477876106193"/>
    <n v="4.6474926253687308"/>
    <x v="4"/>
    <x v="1"/>
  </r>
  <r>
    <x v="859"/>
    <x v="5"/>
    <x v="219"/>
    <x v="17"/>
    <x v="1"/>
    <n v="1470"/>
    <n v="130.08849557522123"/>
    <n v="4.336283185840708"/>
    <x v="4"/>
    <x v="0"/>
  </r>
  <r>
    <x v="860"/>
    <x v="0"/>
    <x v="6"/>
    <x v="17"/>
    <x v="0"/>
    <n v="1500"/>
    <n v="132.74336283185841"/>
    <n v="4.4247787610619467"/>
    <x v="4"/>
    <x v="1"/>
  </r>
  <r>
    <x v="861"/>
    <x v="1"/>
    <x v="119"/>
    <x v="17"/>
    <x v="0"/>
    <n v="2500"/>
    <n v="221.23893805309734"/>
    <n v="7.3746312684365769"/>
    <x v="4"/>
    <x v="1"/>
  </r>
  <r>
    <x v="862"/>
    <x v="2"/>
    <x v="6"/>
    <x v="17"/>
    <x v="1"/>
    <n v="1500"/>
    <n v="132.74336283185841"/>
    <n v="4.4247787610619467"/>
    <x v="4"/>
    <x v="1"/>
  </r>
  <r>
    <x v="863"/>
    <x v="3"/>
    <x v="6"/>
    <x v="17"/>
    <x v="1"/>
    <n v="1500"/>
    <n v="132.74336283185841"/>
    <n v="4.4247787610619467"/>
    <x v="4"/>
    <x v="1"/>
  </r>
  <r>
    <x v="864"/>
    <x v="3"/>
    <x v="1"/>
    <x v="17"/>
    <x v="0"/>
    <n v="2850"/>
    <n v="252.21238938053096"/>
    <n v="8.4070796460176993"/>
    <x v="4"/>
    <x v="0"/>
  </r>
  <r>
    <x v="865"/>
    <x v="1"/>
    <x v="20"/>
    <x v="17"/>
    <x v="0"/>
    <n v="2250"/>
    <n v="199.11504424778761"/>
    <n v="6.6371681415929196"/>
    <x v="4"/>
    <x v="0"/>
  </r>
  <r>
    <x v="866"/>
    <x v="3"/>
    <x v="119"/>
    <x v="17"/>
    <x v="0"/>
    <n v="2500"/>
    <n v="221.23893805309734"/>
    <n v="7.3746312684365769"/>
    <x v="4"/>
    <x v="0"/>
  </r>
  <r>
    <x v="867"/>
    <x v="3"/>
    <x v="5"/>
    <x v="17"/>
    <x v="0"/>
    <n v="4500"/>
    <n v="398.23008849557522"/>
    <n v="13.274336283185839"/>
    <x v="4"/>
    <x v="0"/>
  </r>
  <r>
    <x v="868"/>
    <x v="4"/>
    <x v="232"/>
    <x v="18"/>
    <x v="1"/>
    <n v="40"/>
    <n v="3.5398230088495573"/>
    <n v="0.11799410029498524"/>
    <x v="0"/>
    <x v="0"/>
  </r>
  <r>
    <x v="869"/>
    <x v="1"/>
    <x v="234"/>
    <x v="18"/>
    <x v="0"/>
    <n v="50"/>
    <n v="4.4247787610619467"/>
    <n v="0.14749262536873156"/>
    <x v="0"/>
    <x v="0"/>
  </r>
  <r>
    <x v="870"/>
    <x v="0"/>
    <x v="26"/>
    <x v="18"/>
    <x v="0"/>
    <n v="100"/>
    <n v="8.8495575221238933"/>
    <n v="0.29498525073746312"/>
    <x v="0"/>
    <x v="0"/>
  </r>
  <r>
    <x v="871"/>
    <x v="3"/>
    <x v="26"/>
    <x v="18"/>
    <x v="0"/>
    <n v="100"/>
    <n v="8.8495575221238933"/>
    <n v="0.29498525073746312"/>
    <x v="0"/>
    <x v="0"/>
  </r>
  <r>
    <x v="872"/>
    <x v="1"/>
    <x v="26"/>
    <x v="18"/>
    <x v="0"/>
    <n v="100"/>
    <n v="8.8495575221238933"/>
    <n v="0.29498525073746312"/>
    <x v="0"/>
    <x v="1"/>
  </r>
  <r>
    <x v="873"/>
    <x v="1"/>
    <x v="186"/>
    <x v="18"/>
    <x v="1"/>
    <n v="150"/>
    <n v="13.274336283185839"/>
    <n v="0.44247787610619466"/>
    <x v="0"/>
    <x v="0"/>
  </r>
  <r>
    <x v="874"/>
    <x v="2"/>
    <x v="186"/>
    <x v="18"/>
    <x v="1"/>
    <n v="150"/>
    <n v="13.274336283185839"/>
    <n v="0.44247787610619466"/>
    <x v="0"/>
    <x v="0"/>
  </r>
  <r>
    <x v="875"/>
    <x v="5"/>
    <x v="277"/>
    <x v="18"/>
    <x v="1"/>
    <n v="160"/>
    <n v="14.159292035398229"/>
    <n v="0.47197640117994094"/>
    <x v="0"/>
    <x v="0"/>
  </r>
  <r>
    <x v="876"/>
    <x v="0"/>
    <x v="17"/>
    <x v="18"/>
    <x v="1"/>
    <n v="180"/>
    <n v="15.929203539823007"/>
    <n v="0.53097345132743357"/>
    <x v="0"/>
    <x v="1"/>
  </r>
  <r>
    <x v="877"/>
    <x v="3"/>
    <x v="17"/>
    <x v="18"/>
    <x v="1"/>
    <n v="180"/>
    <n v="15.929203539823007"/>
    <n v="0.53097345132743357"/>
    <x v="0"/>
    <x v="1"/>
  </r>
  <r>
    <x v="878"/>
    <x v="1"/>
    <x v="51"/>
    <x v="18"/>
    <x v="1"/>
    <n v="200"/>
    <n v="17.699115044247787"/>
    <n v="0.58997050147492625"/>
    <x v="0"/>
    <x v="0"/>
  </r>
  <r>
    <x v="879"/>
    <x v="1"/>
    <x v="51"/>
    <x v="18"/>
    <x v="1"/>
    <n v="200"/>
    <n v="17.699115044247787"/>
    <n v="0.58997050147492625"/>
    <x v="0"/>
    <x v="1"/>
  </r>
  <r>
    <x v="880"/>
    <x v="1"/>
    <x v="51"/>
    <x v="18"/>
    <x v="1"/>
    <n v="200"/>
    <n v="17.699115044247787"/>
    <n v="0.58997050147492625"/>
    <x v="0"/>
    <x v="1"/>
  </r>
  <r>
    <x v="881"/>
    <x v="1"/>
    <x v="51"/>
    <x v="18"/>
    <x v="0"/>
    <n v="200"/>
    <n v="17.699115044247787"/>
    <n v="0.58997050147492625"/>
    <x v="0"/>
    <x v="1"/>
  </r>
  <r>
    <x v="882"/>
    <x v="1"/>
    <x v="51"/>
    <x v="18"/>
    <x v="1"/>
    <n v="200"/>
    <n v="17.699115044247787"/>
    <n v="0.58997050147492625"/>
    <x v="0"/>
    <x v="0"/>
  </r>
  <r>
    <x v="883"/>
    <x v="1"/>
    <x v="51"/>
    <x v="18"/>
    <x v="1"/>
    <n v="200"/>
    <n v="17.699115044247787"/>
    <n v="0.58997050147492625"/>
    <x v="0"/>
    <x v="1"/>
  </r>
  <r>
    <x v="884"/>
    <x v="0"/>
    <x v="51"/>
    <x v="18"/>
    <x v="1"/>
    <n v="200"/>
    <n v="17.699115044247787"/>
    <n v="0.58997050147492625"/>
    <x v="0"/>
    <x v="1"/>
  </r>
  <r>
    <x v="885"/>
    <x v="4"/>
    <x v="51"/>
    <x v="18"/>
    <x v="0"/>
    <n v="200"/>
    <n v="17.699115044247787"/>
    <n v="0.58997050147492625"/>
    <x v="0"/>
    <x v="0"/>
  </r>
  <r>
    <x v="886"/>
    <x v="0"/>
    <x v="51"/>
    <x v="18"/>
    <x v="0"/>
    <n v="200"/>
    <n v="17.699115044247787"/>
    <n v="0.58997050147492625"/>
    <x v="0"/>
    <x v="1"/>
  </r>
  <r>
    <x v="887"/>
    <x v="0"/>
    <x v="239"/>
    <x v="18"/>
    <x v="1"/>
    <n v="208"/>
    <n v="18.407079646017699"/>
    <n v="0.6135693215339233"/>
    <x v="0"/>
    <x v="1"/>
  </r>
  <r>
    <x v="888"/>
    <x v="3"/>
    <x v="145"/>
    <x v="18"/>
    <x v="0"/>
    <n v="250"/>
    <n v="22.123893805309734"/>
    <n v="0.73746312684365778"/>
    <x v="0"/>
    <x v="0"/>
  </r>
  <r>
    <x v="889"/>
    <x v="3"/>
    <x v="145"/>
    <x v="18"/>
    <x v="0"/>
    <n v="250"/>
    <n v="22.123893805309734"/>
    <n v="0.73746312684365778"/>
    <x v="0"/>
    <x v="0"/>
  </r>
  <r>
    <x v="890"/>
    <x v="3"/>
    <x v="278"/>
    <x v="18"/>
    <x v="0"/>
    <n v="270"/>
    <n v="23.89380530973451"/>
    <n v="0.79646017699115035"/>
    <x v="0"/>
    <x v="0"/>
  </r>
  <r>
    <x v="891"/>
    <x v="2"/>
    <x v="279"/>
    <x v="18"/>
    <x v="1"/>
    <n v="275"/>
    <n v="24.336283185840706"/>
    <n v="0.81120943952802349"/>
    <x v="0"/>
    <x v="1"/>
  </r>
  <r>
    <x v="892"/>
    <x v="1"/>
    <x v="53"/>
    <x v="18"/>
    <x v="0"/>
    <n v="280"/>
    <n v="24.778761061946902"/>
    <n v="0.82595870206489674"/>
    <x v="0"/>
    <x v="1"/>
  </r>
  <r>
    <x v="893"/>
    <x v="1"/>
    <x v="53"/>
    <x v="18"/>
    <x v="0"/>
    <n v="280"/>
    <n v="24.778761061946902"/>
    <n v="0.82595870206489674"/>
    <x v="0"/>
    <x v="1"/>
  </r>
  <r>
    <x v="894"/>
    <x v="1"/>
    <x v="49"/>
    <x v="18"/>
    <x v="1"/>
    <n v="300"/>
    <n v="26.548672566371678"/>
    <n v="0.88495575221238931"/>
    <x v="0"/>
    <x v="1"/>
  </r>
  <r>
    <x v="895"/>
    <x v="1"/>
    <x v="49"/>
    <x v="18"/>
    <x v="0"/>
    <n v="300"/>
    <n v="26.548672566371678"/>
    <n v="0.88495575221238931"/>
    <x v="0"/>
    <x v="1"/>
  </r>
  <r>
    <x v="896"/>
    <x v="1"/>
    <x v="49"/>
    <x v="18"/>
    <x v="0"/>
    <n v="300"/>
    <n v="26.548672566371678"/>
    <n v="0.88495575221238931"/>
    <x v="0"/>
    <x v="1"/>
  </r>
  <r>
    <x v="897"/>
    <x v="2"/>
    <x v="49"/>
    <x v="18"/>
    <x v="1"/>
    <n v="300"/>
    <n v="26.548672566371678"/>
    <n v="0.88495575221238931"/>
    <x v="0"/>
    <x v="1"/>
  </r>
  <r>
    <x v="898"/>
    <x v="2"/>
    <x v="49"/>
    <x v="18"/>
    <x v="1"/>
    <n v="300"/>
    <n v="26.548672566371678"/>
    <n v="0.88495575221238931"/>
    <x v="0"/>
    <x v="1"/>
  </r>
  <r>
    <x v="899"/>
    <x v="0"/>
    <x v="49"/>
    <x v="18"/>
    <x v="1"/>
    <n v="300"/>
    <n v="26.548672566371678"/>
    <n v="0.88495575221238931"/>
    <x v="0"/>
    <x v="1"/>
  </r>
  <r>
    <x v="900"/>
    <x v="0"/>
    <x v="49"/>
    <x v="18"/>
    <x v="0"/>
    <n v="300"/>
    <n v="26.548672566371678"/>
    <n v="0.88495575221238931"/>
    <x v="0"/>
    <x v="1"/>
  </r>
  <r>
    <x v="901"/>
    <x v="4"/>
    <x v="49"/>
    <x v="18"/>
    <x v="0"/>
    <n v="300"/>
    <n v="26.548672566371678"/>
    <n v="0.88495575221238931"/>
    <x v="0"/>
    <x v="1"/>
  </r>
  <r>
    <x v="902"/>
    <x v="4"/>
    <x v="49"/>
    <x v="18"/>
    <x v="0"/>
    <n v="300"/>
    <n v="26.548672566371678"/>
    <n v="0.88495575221238931"/>
    <x v="0"/>
    <x v="1"/>
  </r>
  <r>
    <x v="903"/>
    <x v="0"/>
    <x v="49"/>
    <x v="18"/>
    <x v="0"/>
    <n v="300"/>
    <n v="26.548672566371678"/>
    <n v="0.88495575221238931"/>
    <x v="0"/>
    <x v="1"/>
  </r>
  <r>
    <x v="904"/>
    <x v="0"/>
    <x v="49"/>
    <x v="18"/>
    <x v="0"/>
    <n v="300"/>
    <n v="26.548672566371678"/>
    <n v="0.88495575221238931"/>
    <x v="0"/>
    <x v="1"/>
  </r>
  <r>
    <x v="905"/>
    <x v="4"/>
    <x v="243"/>
    <x v="18"/>
    <x v="0"/>
    <n v="320"/>
    <n v="28.318584070796458"/>
    <n v="0.94395280235988188"/>
    <x v="2"/>
    <x v="1"/>
  </r>
  <r>
    <x v="906"/>
    <x v="0"/>
    <x v="280"/>
    <x v="18"/>
    <x v="1"/>
    <n v="333"/>
    <n v="29.469026548672563"/>
    <n v="0.98230088495575207"/>
    <x v="2"/>
    <x v="1"/>
  </r>
  <r>
    <x v="907"/>
    <x v="0"/>
    <x v="74"/>
    <x v="18"/>
    <x v="0"/>
    <n v="350"/>
    <n v="30.973451327433626"/>
    <n v="1.0324483775811208"/>
    <x v="2"/>
    <x v="1"/>
  </r>
  <r>
    <x v="908"/>
    <x v="3"/>
    <x v="74"/>
    <x v="18"/>
    <x v="1"/>
    <n v="350"/>
    <n v="30.973451327433626"/>
    <n v="1.0324483775811208"/>
    <x v="2"/>
    <x v="1"/>
  </r>
  <r>
    <x v="909"/>
    <x v="3"/>
    <x v="74"/>
    <x v="18"/>
    <x v="0"/>
    <n v="350"/>
    <n v="30.973451327433626"/>
    <n v="1.0324483775811208"/>
    <x v="2"/>
    <x v="1"/>
  </r>
  <r>
    <x v="910"/>
    <x v="0"/>
    <x v="74"/>
    <x v="18"/>
    <x v="1"/>
    <n v="350"/>
    <n v="30.973451327433626"/>
    <n v="1.0324483775811208"/>
    <x v="2"/>
    <x v="1"/>
  </r>
  <r>
    <x v="911"/>
    <x v="0"/>
    <x v="187"/>
    <x v="18"/>
    <x v="1"/>
    <n v="380"/>
    <n v="33.628318584070797"/>
    <n v="1.1209439528023597"/>
    <x v="2"/>
    <x v="1"/>
  </r>
  <r>
    <x v="912"/>
    <x v="3"/>
    <x v="281"/>
    <x v="18"/>
    <x v="0"/>
    <n v="397"/>
    <n v="35.132743362831853"/>
    <n v="1.1710914454277284"/>
    <x v="2"/>
    <x v="1"/>
  </r>
  <r>
    <x v="913"/>
    <x v="1"/>
    <x v="124"/>
    <x v="18"/>
    <x v="0"/>
    <n v="400"/>
    <n v="35.398230088495573"/>
    <n v="1.1799410029498525"/>
    <x v="2"/>
    <x v="1"/>
  </r>
  <r>
    <x v="914"/>
    <x v="1"/>
    <x v="124"/>
    <x v="18"/>
    <x v="0"/>
    <n v="400"/>
    <n v="35.398230088495573"/>
    <n v="1.1799410029498525"/>
    <x v="2"/>
    <x v="1"/>
  </r>
  <r>
    <x v="915"/>
    <x v="1"/>
    <x v="124"/>
    <x v="18"/>
    <x v="0"/>
    <n v="400"/>
    <n v="35.398230088495573"/>
    <n v="1.1799410029498525"/>
    <x v="2"/>
    <x v="1"/>
  </r>
  <r>
    <x v="916"/>
    <x v="2"/>
    <x v="124"/>
    <x v="18"/>
    <x v="1"/>
    <n v="400"/>
    <n v="35.398230088495573"/>
    <n v="1.1799410029498525"/>
    <x v="2"/>
    <x v="1"/>
  </r>
  <r>
    <x v="917"/>
    <x v="0"/>
    <x v="124"/>
    <x v="18"/>
    <x v="0"/>
    <n v="400"/>
    <n v="35.398230088495573"/>
    <n v="1.1799410029498525"/>
    <x v="2"/>
    <x v="1"/>
  </r>
  <r>
    <x v="918"/>
    <x v="0"/>
    <x v="124"/>
    <x v="18"/>
    <x v="0"/>
    <n v="400"/>
    <n v="35.398230088495573"/>
    <n v="1.1799410029498525"/>
    <x v="2"/>
    <x v="1"/>
  </r>
  <r>
    <x v="919"/>
    <x v="0"/>
    <x v="124"/>
    <x v="18"/>
    <x v="0"/>
    <n v="400"/>
    <n v="35.398230088495573"/>
    <n v="1.1799410029498525"/>
    <x v="2"/>
    <x v="1"/>
  </r>
  <r>
    <x v="920"/>
    <x v="3"/>
    <x v="282"/>
    <x v="18"/>
    <x v="1"/>
    <n v="421"/>
    <n v="37.256637168141587"/>
    <n v="1.2418879056047196"/>
    <x v="2"/>
    <x v="1"/>
  </r>
  <r>
    <x v="921"/>
    <x v="5"/>
    <x v="38"/>
    <x v="18"/>
    <x v="0"/>
    <n v="450"/>
    <n v="39.823008849557517"/>
    <n v="1.3274336283185839"/>
    <x v="2"/>
    <x v="1"/>
  </r>
  <r>
    <x v="922"/>
    <x v="1"/>
    <x v="38"/>
    <x v="18"/>
    <x v="1"/>
    <n v="450"/>
    <n v="39.823008849557517"/>
    <n v="1.3274336283185839"/>
    <x v="2"/>
    <x v="1"/>
  </r>
  <r>
    <x v="923"/>
    <x v="2"/>
    <x v="38"/>
    <x v="18"/>
    <x v="1"/>
    <n v="450"/>
    <n v="39.823008849557517"/>
    <n v="1.3274336283185839"/>
    <x v="2"/>
    <x v="1"/>
  </r>
  <r>
    <x v="924"/>
    <x v="2"/>
    <x v="38"/>
    <x v="18"/>
    <x v="0"/>
    <n v="450"/>
    <n v="39.823008849557517"/>
    <n v="1.3274336283185839"/>
    <x v="2"/>
    <x v="1"/>
  </r>
  <r>
    <x v="925"/>
    <x v="0"/>
    <x v="38"/>
    <x v="18"/>
    <x v="1"/>
    <n v="450"/>
    <n v="39.823008849557517"/>
    <n v="1.3274336283185839"/>
    <x v="2"/>
    <x v="1"/>
  </r>
  <r>
    <x v="926"/>
    <x v="3"/>
    <x v="38"/>
    <x v="18"/>
    <x v="1"/>
    <n v="450"/>
    <n v="39.823008849557517"/>
    <n v="1.3274336283185839"/>
    <x v="2"/>
    <x v="1"/>
  </r>
  <r>
    <x v="927"/>
    <x v="0"/>
    <x v="254"/>
    <x v="18"/>
    <x v="0"/>
    <n v="480"/>
    <n v="42.477876106194685"/>
    <n v="1.415929203539823"/>
    <x v="1"/>
    <x v="1"/>
  </r>
  <r>
    <x v="928"/>
    <x v="3"/>
    <x v="78"/>
    <x v="18"/>
    <x v="1"/>
    <n v="500"/>
    <n v="44.247787610619469"/>
    <n v="1.4749262536873156"/>
    <x v="1"/>
    <x v="1"/>
  </r>
  <r>
    <x v="929"/>
    <x v="3"/>
    <x v="78"/>
    <x v="18"/>
    <x v="0"/>
    <n v="500"/>
    <n v="44.247787610619469"/>
    <n v="1.4749262536873156"/>
    <x v="1"/>
    <x v="1"/>
  </r>
  <r>
    <x v="930"/>
    <x v="0"/>
    <x v="78"/>
    <x v="18"/>
    <x v="0"/>
    <n v="500"/>
    <n v="44.247787610619469"/>
    <n v="1.4749262536873156"/>
    <x v="1"/>
    <x v="1"/>
  </r>
  <r>
    <x v="931"/>
    <x v="4"/>
    <x v="78"/>
    <x v="18"/>
    <x v="1"/>
    <n v="500"/>
    <n v="44.247787610619469"/>
    <n v="1.4749262536873156"/>
    <x v="1"/>
    <x v="1"/>
  </r>
  <r>
    <x v="932"/>
    <x v="5"/>
    <x v="78"/>
    <x v="18"/>
    <x v="0"/>
    <n v="500"/>
    <n v="44.247787610619469"/>
    <n v="1.4749262536873156"/>
    <x v="1"/>
    <x v="1"/>
  </r>
  <r>
    <x v="933"/>
    <x v="5"/>
    <x v="78"/>
    <x v="18"/>
    <x v="1"/>
    <n v="500"/>
    <n v="44.247787610619469"/>
    <n v="1.4749262536873156"/>
    <x v="1"/>
    <x v="1"/>
  </r>
  <r>
    <x v="934"/>
    <x v="3"/>
    <x v="78"/>
    <x v="18"/>
    <x v="0"/>
    <n v="500"/>
    <n v="44.247787610619469"/>
    <n v="1.4749262536873156"/>
    <x v="1"/>
    <x v="1"/>
  </r>
  <r>
    <x v="935"/>
    <x v="3"/>
    <x v="78"/>
    <x v="18"/>
    <x v="1"/>
    <n v="500"/>
    <n v="44.247787610619469"/>
    <n v="1.4749262536873156"/>
    <x v="1"/>
    <x v="1"/>
  </r>
  <r>
    <x v="936"/>
    <x v="3"/>
    <x v="78"/>
    <x v="18"/>
    <x v="0"/>
    <n v="500"/>
    <n v="44.247787610619469"/>
    <n v="1.4749262536873156"/>
    <x v="1"/>
    <x v="1"/>
  </r>
  <r>
    <x v="937"/>
    <x v="3"/>
    <x v="78"/>
    <x v="18"/>
    <x v="0"/>
    <n v="500"/>
    <n v="44.247787610619469"/>
    <n v="1.4749262536873156"/>
    <x v="1"/>
    <x v="1"/>
  </r>
  <r>
    <x v="938"/>
    <x v="1"/>
    <x v="78"/>
    <x v="18"/>
    <x v="0"/>
    <n v="500"/>
    <n v="44.247787610619469"/>
    <n v="1.4749262536873156"/>
    <x v="1"/>
    <x v="1"/>
  </r>
  <r>
    <x v="939"/>
    <x v="1"/>
    <x v="78"/>
    <x v="18"/>
    <x v="0"/>
    <n v="500"/>
    <n v="44.247787610619469"/>
    <n v="1.4749262536873156"/>
    <x v="1"/>
    <x v="1"/>
  </r>
  <r>
    <x v="940"/>
    <x v="1"/>
    <x v="78"/>
    <x v="18"/>
    <x v="1"/>
    <n v="500"/>
    <n v="44.247787610619469"/>
    <n v="1.4749262536873156"/>
    <x v="1"/>
    <x v="1"/>
  </r>
  <r>
    <x v="941"/>
    <x v="1"/>
    <x v="78"/>
    <x v="18"/>
    <x v="0"/>
    <n v="500"/>
    <n v="44.247787610619469"/>
    <n v="1.4749262536873156"/>
    <x v="1"/>
    <x v="1"/>
  </r>
  <r>
    <x v="942"/>
    <x v="1"/>
    <x v="78"/>
    <x v="18"/>
    <x v="0"/>
    <n v="500"/>
    <n v="44.247787610619469"/>
    <n v="1.4749262536873156"/>
    <x v="1"/>
    <x v="1"/>
  </r>
  <r>
    <x v="943"/>
    <x v="2"/>
    <x v="78"/>
    <x v="18"/>
    <x v="0"/>
    <n v="500"/>
    <n v="44.247787610619469"/>
    <n v="1.4749262536873156"/>
    <x v="1"/>
    <x v="1"/>
  </r>
  <r>
    <x v="944"/>
    <x v="2"/>
    <x v="78"/>
    <x v="18"/>
    <x v="0"/>
    <n v="500"/>
    <n v="44.247787610619469"/>
    <n v="1.4749262536873156"/>
    <x v="1"/>
    <x v="1"/>
  </r>
  <r>
    <x v="945"/>
    <x v="0"/>
    <x v="78"/>
    <x v="18"/>
    <x v="0"/>
    <n v="500"/>
    <n v="44.247787610619469"/>
    <n v="1.4749262536873156"/>
    <x v="1"/>
    <x v="1"/>
  </r>
  <r>
    <x v="946"/>
    <x v="0"/>
    <x v="78"/>
    <x v="18"/>
    <x v="1"/>
    <n v="500"/>
    <n v="44.247787610619469"/>
    <n v="1.4749262536873156"/>
    <x v="1"/>
    <x v="1"/>
  </r>
  <r>
    <x v="947"/>
    <x v="0"/>
    <x v="78"/>
    <x v="18"/>
    <x v="0"/>
    <n v="500"/>
    <n v="44.247787610619469"/>
    <n v="1.4749262536873156"/>
    <x v="1"/>
    <x v="1"/>
  </r>
  <r>
    <x v="948"/>
    <x v="0"/>
    <x v="78"/>
    <x v="18"/>
    <x v="0"/>
    <n v="500"/>
    <n v="44.247787610619469"/>
    <n v="1.4749262536873156"/>
    <x v="1"/>
    <x v="1"/>
  </r>
  <r>
    <x v="949"/>
    <x v="0"/>
    <x v="78"/>
    <x v="18"/>
    <x v="0"/>
    <n v="500"/>
    <n v="44.247787610619469"/>
    <n v="1.4749262536873156"/>
    <x v="1"/>
    <x v="1"/>
  </r>
  <r>
    <x v="950"/>
    <x v="0"/>
    <x v="78"/>
    <x v="18"/>
    <x v="0"/>
    <n v="500"/>
    <n v="44.247787610619469"/>
    <n v="1.4749262536873156"/>
    <x v="1"/>
    <x v="1"/>
  </r>
  <r>
    <x v="951"/>
    <x v="0"/>
    <x v="78"/>
    <x v="18"/>
    <x v="1"/>
    <n v="500"/>
    <n v="44.247787610619469"/>
    <n v="1.4749262536873156"/>
    <x v="1"/>
    <x v="1"/>
  </r>
  <r>
    <x v="952"/>
    <x v="0"/>
    <x v="78"/>
    <x v="18"/>
    <x v="1"/>
    <n v="500"/>
    <n v="44.247787610619469"/>
    <n v="1.4749262536873156"/>
    <x v="1"/>
    <x v="1"/>
  </r>
  <r>
    <x v="953"/>
    <x v="0"/>
    <x v="78"/>
    <x v="18"/>
    <x v="0"/>
    <n v="500"/>
    <n v="44.247787610619469"/>
    <n v="1.4749262536873156"/>
    <x v="1"/>
    <x v="1"/>
  </r>
  <r>
    <x v="954"/>
    <x v="4"/>
    <x v="78"/>
    <x v="18"/>
    <x v="1"/>
    <n v="500"/>
    <n v="44.247787610619469"/>
    <n v="1.4749262536873156"/>
    <x v="1"/>
    <x v="1"/>
  </r>
  <r>
    <x v="955"/>
    <x v="1"/>
    <x v="283"/>
    <x v="18"/>
    <x v="1"/>
    <n v="540"/>
    <n v="47.787610619469021"/>
    <n v="1.5929203539823007"/>
    <x v="1"/>
    <x v="1"/>
  </r>
  <r>
    <x v="956"/>
    <x v="4"/>
    <x v="200"/>
    <x v="18"/>
    <x v="0"/>
    <n v="550"/>
    <n v="48.672566371681413"/>
    <n v="1.622418879056047"/>
    <x v="1"/>
    <x v="1"/>
  </r>
  <r>
    <x v="957"/>
    <x v="2"/>
    <x v="200"/>
    <x v="18"/>
    <x v="1"/>
    <n v="550"/>
    <n v="48.672566371681413"/>
    <n v="1.622418879056047"/>
    <x v="1"/>
    <x v="1"/>
  </r>
  <r>
    <x v="958"/>
    <x v="0"/>
    <x v="18"/>
    <x v="18"/>
    <x v="1"/>
    <n v="600"/>
    <n v="53.097345132743357"/>
    <n v="1.7699115044247786"/>
    <x v="1"/>
    <x v="1"/>
  </r>
  <r>
    <x v="959"/>
    <x v="1"/>
    <x v="18"/>
    <x v="18"/>
    <x v="0"/>
    <n v="600"/>
    <n v="53.097345132743357"/>
    <n v="1.7699115044247786"/>
    <x v="1"/>
    <x v="1"/>
  </r>
  <r>
    <x v="960"/>
    <x v="4"/>
    <x v="18"/>
    <x v="18"/>
    <x v="0"/>
    <n v="600"/>
    <n v="53.097345132743357"/>
    <n v="1.7699115044247786"/>
    <x v="1"/>
    <x v="1"/>
  </r>
  <r>
    <x v="961"/>
    <x v="4"/>
    <x v="18"/>
    <x v="18"/>
    <x v="0"/>
    <n v="600"/>
    <n v="53.097345132743357"/>
    <n v="1.7699115044247786"/>
    <x v="1"/>
    <x v="1"/>
  </r>
  <r>
    <x v="962"/>
    <x v="5"/>
    <x v="18"/>
    <x v="18"/>
    <x v="0"/>
    <n v="600"/>
    <n v="53.097345132743357"/>
    <n v="1.7699115044247786"/>
    <x v="1"/>
    <x v="1"/>
  </r>
  <r>
    <x v="963"/>
    <x v="5"/>
    <x v="18"/>
    <x v="18"/>
    <x v="0"/>
    <n v="600"/>
    <n v="53.097345132743357"/>
    <n v="1.7699115044247786"/>
    <x v="1"/>
    <x v="1"/>
  </r>
  <r>
    <x v="964"/>
    <x v="3"/>
    <x v="18"/>
    <x v="18"/>
    <x v="0"/>
    <n v="600"/>
    <n v="53.097345132743357"/>
    <n v="1.7699115044247786"/>
    <x v="1"/>
    <x v="1"/>
  </r>
  <r>
    <x v="965"/>
    <x v="3"/>
    <x v="18"/>
    <x v="18"/>
    <x v="1"/>
    <n v="600"/>
    <n v="53.097345132743357"/>
    <n v="1.7699115044247786"/>
    <x v="1"/>
    <x v="1"/>
  </r>
  <r>
    <x v="966"/>
    <x v="1"/>
    <x v="18"/>
    <x v="18"/>
    <x v="1"/>
    <n v="600"/>
    <n v="53.097345132743357"/>
    <n v="1.7699115044247786"/>
    <x v="1"/>
    <x v="1"/>
  </r>
  <r>
    <x v="967"/>
    <x v="1"/>
    <x v="18"/>
    <x v="18"/>
    <x v="0"/>
    <n v="600"/>
    <n v="53.097345132743357"/>
    <n v="1.7699115044247786"/>
    <x v="1"/>
    <x v="1"/>
  </r>
  <r>
    <x v="968"/>
    <x v="1"/>
    <x v="18"/>
    <x v="18"/>
    <x v="1"/>
    <n v="600"/>
    <n v="53.097345132743357"/>
    <n v="1.7699115044247786"/>
    <x v="1"/>
    <x v="1"/>
  </r>
  <r>
    <x v="969"/>
    <x v="1"/>
    <x v="18"/>
    <x v="18"/>
    <x v="0"/>
    <n v="600"/>
    <n v="53.097345132743357"/>
    <n v="1.7699115044247786"/>
    <x v="1"/>
    <x v="1"/>
  </r>
  <r>
    <x v="970"/>
    <x v="2"/>
    <x v="18"/>
    <x v="18"/>
    <x v="0"/>
    <n v="600"/>
    <n v="53.097345132743357"/>
    <n v="1.7699115044247786"/>
    <x v="1"/>
    <x v="1"/>
  </r>
  <r>
    <x v="971"/>
    <x v="0"/>
    <x v="18"/>
    <x v="18"/>
    <x v="0"/>
    <n v="600"/>
    <n v="53.097345132743357"/>
    <n v="1.7699115044247786"/>
    <x v="1"/>
    <x v="1"/>
  </r>
  <r>
    <x v="972"/>
    <x v="0"/>
    <x v="18"/>
    <x v="18"/>
    <x v="0"/>
    <n v="600"/>
    <n v="53.097345132743357"/>
    <n v="1.7699115044247786"/>
    <x v="1"/>
    <x v="1"/>
  </r>
  <r>
    <x v="973"/>
    <x v="0"/>
    <x v="18"/>
    <x v="18"/>
    <x v="1"/>
    <n v="600"/>
    <n v="53.097345132743357"/>
    <n v="1.7699115044247786"/>
    <x v="1"/>
    <x v="1"/>
  </r>
  <r>
    <x v="974"/>
    <x v="2"/>
    <x v="157"/>
    <x v="18"/>
    <x v="1"/>
    <n v="620"/>
    <n v="54.86725663716814"/>
    <n v="1.8289085545722714"/>
    <x v="1"/>
    <x v="1"/>
  </r>
  <r>
    <x v="975"/>
    <x v="1"/>
    <x v="12"/>
    <x v="18"/>
    <x v="1"/>
    <n v="650"/>
    <n v="57.522123893805308"/>
    <n v="1.9174041297935103"/>
    <x v="1"/>
    <x v="1"/>
  </r>
  <r>
    <x v="976"/>
    <x v="0"/>
    <x v="12"/>
    <x v="18"/>
    <x v="0"/>
    <n v="650"/>
    <n v="57.522123893805308"/>
    <n v="1.9174041297935103"/>
    <x v="1"/>
    <x v="1"/>
  </r>
  <r>
    <x v="977"/>
    <x v="4"/>
    <x v="284"/>
    <x v="18"/>
    <x v="0"/>
    <n v="690"/>
    <n v="61.06194690265486"/>
    <n v="2.0353982300884956"/>
    <x v="1"/>
    <x v="1"/>
  </r>
  <r>
    <x v="978"/>
    <x v="3"/>
    <x v="56"/>
    <x v="18"/>
    <x v="1"/>
    <n v="700"/>
    <n v="61.946902654867252"/>
    <n v="2.0648967551622417"/>
    <x v="1"/>
    <x v="1"/>
  </r>
  <r>
    <x v="979"/>
    <x v="3"/>
    <x v="56"/>
    <x v="18"/>
    <x v="1"/>
    <n v="700"/>
    <n v="61.946902654867252"/>
    <n v="2.0648967551622417"/>
    <x v="1"/>
    <x v="1"/>
  </r>
  <r>
    <x v="980"/>
    <x v="3"/>
    <x v="56"/>
    <x v="18"/>
    <x v="0"/>
    <n v="700"/>
    <n v="61.946902654867252"/>
    <n v="2.0648967551622417"/>
    <x v="1"/>
    <x v="1"/>
  </r>
  <r>
    <x v="981"/>
    <x v="3"/>
    <x v="56"/>
    <x v="18"/>
    <x v="0"/>
    <n v="700"/>
    <n v="61.946902654867252"/>
    <n v="2.0648967551622417"/>
    <x v="1"/>
    <x v="1"/>
  </r>
  <r>
    <x v="982"/>
    <x v="3"/>
    <x v="56"/>
    <x v="18"/>
    <x v="0"/>
    <n v="700"/>
    <n v="61.946902654867252"/>
    <n v="2.0648967551622417"/>
    <x v="1"/>
    <x v="1"/>
  </r>
  <r>
    <x v="983"/>
    <x v="3"/>
    <x v="56"/>
    <x v="18"/>
    <x v="0"/>
    <n v="700"/>
    <n v="61.946902654867252"/>
    <n v="2.0648967551622417"/>
    <x v="1"/>
    <x v="1"/>
  </r>
  <r>
    <x v="984"/>
    <x v="3"/>
    <x v="56"/>
    <x v="18"/>
    <x v="0"/>
    <n v="700"/>
    <n v="61.946902654867252"/>
    <n v="2.0648967551622417"/>
    <x v="1"/>
    <x v="1"/>
  </r>
  <r>
    <x v="985"/>
    <x v="3"/>
    <x v="56"/>
    <x v="18"/>
    <x v="0"/>
    <n v="700"/>
    <n v="61.946902654867252"/>
    <n v="2.0648967551622417"/>
    <x v="1"/>
    <x v="1"/>
  </r>
  <r>
    <x v="986"/>
    <x v="3"/>
    <x v="56"/>
    <x v="18"/>
    <x v="1"/>
    <n v="700"/>
    <n v="61.946902654867252"/>
    <n v="2.0648967551622417"/>
    <x v="1"/>
    <x v="1"/>
  </r>
  <r>
    <x v="987"/>
    <x v="1"/>
    <x v="56"/>
    <x v="18"/>
    <x v="1"/>
    <n v="700"/>
    <n v="61.946902654867252"/>
    <n v="2.0648967551622417"/>
    <x v="1"/>
    <x v="1"/>
  </r>
  <r>
    <x v="988"/>
    <x v="2"/>
    <x v="56"/>
    <x v="18"/>
    <x v="1"/>
    <n v="700"/>
    <n v="61.946902654867252"/>
    <n v="2.0648967551622417"/>
    <x v="1"/>
    <x v="1"/>
  </r>
  <r>
    <x v="989"/>
    <x v="5"/>
    <x v="240"/>
    <x v="18"/>
    <x v="0"/>
    <n v="730"/>
    <n v="64.601769911504419"/>
    <n v="2.1533923303834808"/>
    <x v="1"/>
    <x v="1"/>
  </r>
  <r>
    <x v="990"/>
    <x v="3"/>
    <x v="83"/>
    <x v="18"/>
    <x v="0"/>
    <n v="750"/>
    <n v="66.371681415929203"/>
    <n v="2.2123893805309733"/>
    <x v="1"/>
    <x v="1"/>
  </r>
  <r>
    <x v="991"/>
    <x v="0"/>
    <x v="83"/>
    <x v="18"/>
    <x v="1"/>
    <n v="750"/>
    <n v="66.371681415929203"/>
    <n v="2.2123893805309733"/>
    <x v="1"/>
    <x v="1"/>
  </r>
  <r>
    <x v="992"/>
    <x v="3"/>
    <x v="83"/>
    <x v="18"/>
    <x v="1"/>
    <n v="750"/>
    <n v="66.371681415929203"/>
    <n v="2.2123893805309733"/>
    <x v="1"/>
    <x v="1"/>
  </r>
  <r>
    <x v="993"/>
    <x v="0"/>
    <x v="83"/>
    <x v="18"/>
    <x v="1"/>
    <n v="750"/>
    <n v="66.371681415929203"/>
    <n v="2.2123893805309733"/>
    <x v="1"/>
    <x v="1"/>
  </r>
  <r>
    <x v="994"/>
    <x v="0"/>
    <x v="83"/>
    <x v="18"/>
    <x v="0"/>
    <n v="750"/>
    <n v="66.371681415929203"/>
    <n v="2.2123893805309733"/>
    <x v="1"/>
    <x v="1"/>
  </r>
  <r>
    <x v="995"/>
    <x v="1"/>
    <x v="34"/>
    <x v="18"/>
    <x v="0"/>
    <n v="800"/>
    <n v="70.796460176991147"/>
    <n v="2.359882005899705"/>
    <x v="1"/>
    <x v="1"/>
  </r>
  <r>
    <x v="996"/>
    <x v="1"/>
    <x v="34"/>
    <x v="18"/>
    <x v="0"/>
    <n v="800"/>
    <n v="70.796460176991147"/>
    <n v="2.359882005899705"/>
    <x v="1"/>
    <x v="1"/>
  </r>
  <r>
    <x v="997"/>
    <x v="4"/>
    <x v="34"/>
    <x v="18"/>
    <x v="1"/>
    <n v="800"/>
    <n v="70.796460176991147"/>
    <n v="2.359882005899705"/>
    <x v="1"/>
    <x v="1"/>
  </r>
  <r>
    <x v="998"/>
    <x v="4"/>
    <x v="34"/>
    <x v="18"/>
    <x v="0"/>
    <n v="800"/>
    <n v="70.796460176991147"/>
    <n v="2.359882005899705"/>
    <x v="1"/>
    <x v="1"/>
  </r>
  <r>
    <x v="999"/>
    <x v="4"/>
    <x v="34"/>
    <x v="18"/>
    <x v="1"/>
    <n v="800"/>
    <n v="70.796460176991147"/>
    <n v="2.359882005899705"/>
    <x v="1"/>
    <x v="1"/>
  </r>
  <r>
    <x v="1000"/>
    <x v="5"/>
    <x v="34"/>
    <x v="18"/>
    <x v="0"/>
    <n v="800"/>
    <n v="70.796460176991147"/>
    <n v="2.359882005899705"/>
    <x v="1"/>
    <x v="1"/>
  </r>
  <r>
    <x v="1001"/>
    <x v="3"/>
    <x v="34"/>
    <x v="18"/>
    <x v="0"/>
    <n v="800"/>
    <n v="70.796460176991147"/>
    <n v="2.359882005899705"/>
    <x v="1"/>
    <x v="1"/>
  </r>
  <r>
    <x v="1002"/>
    <x v="3"/>
    <x v="34"/>
    <x v="18"/>
    <x v="0"/>
    <n v="800"/>
    <n v="70.796460176991147"/>
    <n v="2.359882005899705"/>
    <x v="1"/>
    <x v="1"/>
  </r>
  <r>
    <x v="1003"/>
    <x v="4"/>
    <x v="34"/>
    <x v="18"/>
    <x v="0"/>
    <n v="800"/>
    <n v="70.796460176991147"/>
    <n v="2.359882005899705"/>
    <x v="1"/>
    <x v="1"/>
  </r>
  <r>
    <x v="1004"/>
    <x v="2"/>
    <x v="34"/>
    <x v="18"/>
    <x v="0"/>
    <n v="800"/>
    <n v="70.796460176991147"/>
    <n v="2.359882005899705"/>
    <x v="1"/>
    <x v="1"/>
  </r>
  <r>
    <x v="1005"/>
    <x v="3"/>
    <x v="34"/>
    <x v="18"/>
    <x v="0"/>
    <n v="800"/>
    <n v="70.796460176991147"/>
    <n v="2.359882005899705"/>
    <x v="1"/>
    <x v="1"/>
  </r>
  <r>
    <x v="1006"/>
    <x v="3"/>
    <x v="34"/>
    <x v="18"/>
    <x v="1"/>
    <n v="800"/>
    <n v="70.796460176991147"/>
    <n v="2.359882005899705"/>
    <x v="1"/>
    <x v="1"/>
  </r>
  <r>
    <x v="1007"/>
    <x v="0"/>
    <x v="24"/>
    <x v="18"/>
    <x v="0"/>
    <n v="820"/>
    <n v="72.56637168141593"/>
    <n v="2.4188790560471976"/>
    <x v="1"/>
    <x v="1"/>
  </r>
  <r>
    <x v="1008"/>
    <x v="3"/>
    <x v="14"/>
    <x v="18"/>
    <x v="0"/>
    <n v="840"/>
    <n v="74.336283185840699"/>
    <n v="2.4778761061946901"/>
    <x v="1"/>
    <x v="1"/>
  </r>
  <r>
    <x v="1009"/>
    <x v="0"/>
    <x v="285"/>
    <x v="18"/>
    <x v="0"/>
    <n v="892"/>
    <n v="78.938053097345133"/>
    <n v="2.6312684365781709"/>
    <x v="3"/>
    <x v="1"/>
  </r>
  <r>
    <x v="1010"/>
    <x v="3"/>
    <x v="108"/>
    <x v="18"/>
    <x v="0"/>
    <n v="900"/>
    <n v="79.646017699115035"/>
    <n v="2.6548672566371678"/>
    <x v="3"/>
    <x v="1"/>
  </r>
  <r>
    <x v="1011"/>
    <x v="0"/>
    <x v="108"/>
    <x v="18"/>
    <x v="1"/>
    <n v="900"/>
    <n v="79.646017699115035"/>
    <n v="2.6548672566371678"/>
    <x v="3"/>
    <x v="1"/>
  </r>
  <r>
    <x v="1012"/>
    <x v="0"/>
    <x v="108"/>
    <x v="18"/>
    <x v="0"/>
    <n v="900"/>
    <n v="79.646017699115035"/>
    <n v="2.6548672566371678"/>
    <x v="3"/>
    <x v="1"/>
  </r>
  <r>
    <x v="1013"/>
    <x v="4"/>
    <x v="108"/>
    <x v="18"/>
    <x v="1"/>
    <n v="900"/>
    <n v="79.646017699115035"/>
    <n v="2.6548672566371678"/>
    <x v="3"/>
    <x v="1"/>
  </r>
  <r>
    <x v="1014"/>
    <x v="3"/>
    <x v="54"/>
    <x v="18"/>
    <x v="1"/>
    <n v="950"/>
    <n v="84.070796460176979"/>
    <n v="2.8023598820058995"/>
    <x v="3"/>
    <x v="1"/>
  </r>
  <r>
    <x v="1015"/>
    <x v="0"/>
    <x v="286"/>
    <x v="18"/>
    <x v="0"/>
    <n v="995"/>
    <n v="88.053097345132741"/>
    <n v="2.9351032448377579"/>
    <x v="3"/>
    <x v="1"/>
  </r>
  <r>
    <x v="1016"/>
    <x v="1"/>
    <x v="30"/>
    <x v="18"/>
    <x v="1"/>
    <n v="1000"/>
    <n v="88.495575221238937"/>
    <n v="2.9498525073746311"/>
    <x v="3"/>
    <x v="1"/>
  </r>
  <r>
    <x v="1017"/>
    <x v="2"/>
    <x v="30"/>
    <x v="18"/>
    <x v="0"/>
    <n v="1000"/>
    <n v="88.495575221238937"/>
    <n v="2.9498525073746311"/>
    <x v="3"/>
    <x v="1"/>
  </r>
  <r>
    <x v="1018"/>
    <x v="3"/>
    <x v="30"/>
    <x v="18"/>
    <x v="0"/>
    <n v="1000"/>
    <n v="88.495575221238937"/>
    <n v="2.9498525073746311"/>
    <x v="3"/>
    <x v="1"/>
  </r>
  <r>
    <x v="1019"/>
    <x v="3"/>
    <x v="30"/>
    <x v="18"/>
    <x v="1"/>
    <n v="1000"/>
    <n v="88.495575221238937"/>
    <n v="2.9498525073746311"/>
    <x v="3"/>
    <x v="1"/>
  </r>
  <r>
    <x v="1020"/>
    <x v="1"/>
    <x v="30"/>
    <x v="18"/>
    <x v="0"/>
    <n v="1000"/>
    <n v="88.495575221238937"/>
    <n v="2.9498525073746311"/>
    <x v="3"/>
    <x v="1"/>
  </r>
  <r>
    <x v="1021"/>
    <x v="4"/>
    <x v="30"/>
    <x v="18"/>
    <x v="0"/>
    <n v="1000"/>
    <n v="88.495575221238937"/>
    <n v="2.9498525073746311"/>
    <x v="3"/>
    <x v="1"/>
  </r>
  <r>
    <x v="1022"/>
    <x v="3"/>
    <x v="30"/>
    <x v="18"/>
    <x v="0"/>
    <n v="1000"/>
    <n v="88.495575221238937"/>
    <n v="2.9498525073746311"/>
    <x v="3"/>
    <x v="1"/>
  </r>
  <r>
    <x v="1023"/>
    <x v="3"/>
    <x v="30"/>
    <x v="18"/>
    <x v="1"/>
    <n v="1000"/>
    <n v="88.495575221238937"/>
    <n v="2.9498525073746311"/>
    <x v="3"/>
    <x v="1"/>
  </r>
  <r>
    <x v="1024"/>
    <x v="3"/>
    <x v="30"/>
    <x v="18"/>
    <x v="0"/>
    <n v="1000"/>
    <n v="88.495575221238937"/>
    <n v="2.9498525073746311"/>
    <x v="3"/>
    <x v="1"/>
  </r>
  <r>
    <x v="1025"/>
    <x v="1"/>
    <x v="30"/>
    <x v="18"/>
    <x v="1"/>
    <n v="1000"/>
    <n v="88.495575221238937"/>
    <n v="2.9498525073746311"/>
    <x v="3"/>
    <x v="1"/>
  </r>
  <r>
    <x v="1026"/>
    <x v="2"/>
    <x v="30"/>
    <x v="18"/>
    <x v="1"/>
    <n v="1000"/>
    <n v="88.495575221238937"/>
    <n v="2.9498525073746311"/>
    <x v="3"/>
    <x v="1"/>
  </r>
  <r>
    <x v="1027"/>
    <x v="2"/>
    <x v="30"/>
    <x v="18"/>
    <x v="1"/>
    <n v="1000"/>
    <n v="88.495575221238937"/>
    <n v="2.9498525073746311"/>
    <x v="3"/>
    <x v="1"/>
  </r>
  <r>
    <x v="1028"/>
    <x v="2"/>
    <x v="30"/>
    <x v="18"/>
    <x v="0"/>
    <n v="1000"/>
    <n v="88.495575221238937"/>
    <n v="2.9498525073746311"/>
    <x v="3"/>
    <x v="1"/>
  </r>
  <r>
    <x v="1029"/>
    <x v="0"/>
    <x v="30"/>
    <x v="18"/>
    <x v="0"/>
    <n v="1000"/>
    <n v="88.495575221238937"/>
    <n v="2.9498525073746311"/>
    <x v="3"/>
    <x v="1"/>
  </r>
  <r>
    <x v="1030"/>
    <x v="0"/>
    <x v="30"/>
    <x v="18"/>
    <x v="1"/>
    <n v="1000"/>
    <n v="88.495575221238937"/>
    <n v="2.9498525073746311"/>
    <x v="3"/>
    <x v="1"/>
  </r>
  <r>
    <x v="1031"/>
    <x v="0"/>
    <x v="30"/>
    <x v="18"/>
    <x v="1"/>
    <n v="1000"/>
    <n v="88.495575221238937"/>
    <n v="2.9498525073746311"/>
    <x v="3"/>
    <x v="1"/>
  </r>
  <r>
    <x v="1032"/>
    <x v="4"/>
    <x v="30"/>
    <x v="18"/>
    <x v="1"/>
    <n v="1000"/>
    <n v="88.495575221238937"/>
    <n v="2.9498525073746311"/>
    <x v="3"/>
    <x v="1"/>
  </r>
  <r>
    <x v="1033"/>
    <x v="4"/>
    <x v="30"/>
    <x v="18"/>
    <x v="0"/>
    <n v="1000"/>
    <n v="88.495575221238937"/>
    <n v="2.9498525073746311"/>
    <x v="3"/>
    <x v="1"/>
  </r>
  <r>
    <x v="1034"/>
    <x v="4"/>
    <x v="30"/>
    <x v="18"/>
    <x v="0"/>
    <n v="1000"/>
    <n v="88.495575221238937"/>
    <n v="2.9498525073746311"/>
    <x v="3"/>
    <x v="1"/>
  </r>
  <r>
    <x v="1035"/>
    <x v="2"/>
    <x v="30"/>
    <x v="18"/>
    <x v="1"/>
    <n v="1000"/>
    <n v="88.495575221238937"/>
    <n v="2.9498525073746311"/>
    <x v="3"/>
    <x v="1"/>
  </r>
  <r>
    <x v="1036"/>
    <x v="2"/>
    <x v="30"/>
    <x v="18"/>
    <x v="0"/>
    <n v="1000"/>
    <n v="88.495575221238937"/>
    <n v="2.9498525073746311"/>
    <x v="3"/>
    <x v="1"/>
  </r>
  <r>
    <x v="1037"/>
    <x v="0"/>
    <x v="30"/>
    <x v="18"/>
    <x v="0"/>
    <n v="1000"/>
    <n v="88.495575221238937"/>
    <n v="2.9498525073746311"/>
    <x v="3"/>
    <x v="1"/>
  </r>
  <r>
    <x v="1038"/>
    <x v="0"/>
    <x v="30"/>
    <x v="18"/>
    <x v="1"/>
    <n v="1000"/>
    <n v="88.495575221238937"/>
    <n v="2.9498525073746311"/>
    <x v="3"/>
    <x v="1"/>
  </r>
  <r>
    <x v="1039"/>
    <x v="3"/>
    <x v="30"/>
    <x v="18"/>
    <x v="0"/>
    <n v="1000"/>
    <n v="88.495575221238937"/>
    <n v="2.9498525073746311"/>
    <x v="3"/>
    <x v="1"/>
  </r>
  <r>
    <x v="1040"/>
    <x v="2"/>
    <x v="76"/>
    <x v="18"/>
    <x v="0"/>
    <n v="1100"/>
    <n v="97.345132743362825"/>
    <n v="3.244837758112094"/>
    <x v="3"/>
    <x v="1"/>
  </r>
  <r>
    <x v="1041"/>
    <x v="2"/>
    <x v="210"/>
    <x v="18"/>
    <x v="1"/>
    <n v="1170"/>
    <n v="103.53982300884955"/>
    <n v="3.4513274336283182"/>
    <x v="3"/>
    <x v="1"/>
  </r>
  <r>
    <x v="1042"/>
    <x v="0"/>
    <x v="287"/>
    <x v="18"/>
    <x v="1"/>
    <n v="1180"/>
    <n v="104.42477876106194"/>
    <n v="3.4808259587020647"/>
    <x v="3"/>
    <x v="1"/>
  </r>
  <r>
    <x v="1043"/>
    <x v="3"/>
    <x v="59"/>
    <x v="18"/>
    <x v="0"/>
    <n v="1200"/>
    <n v="106.19469026548671"/>
    <n v="3.5398230088495573"/>
    <x v="3"/>
    <x v="1"/>
  </r>
  <r>
    <x v="1044"/>
    <x v="3"/>
    <x v="59"/>
    <x v="18"/>
    <x v="0"/>
    <n v="1200"/>
    <n v="106.19469026548671"/>
    <n v="3.5398230088495573"/>
    <x v="3"/>
    <x v="1"/>
  </r>
  <r>
    <x v="1045"/>
    <x v="4"/>
    <x v="59"/>
    <x v="18"/>
    <x v="0"/>
    <n v="1200"/>
    <n v="106.19469026548671"/>
    <n v="3.5398230088495573"/>
    <x v="3"/>
    <x v="1"/>
  </r>
  <r>
    <x v="1046"/>
    <x v="4"/>
    <x v="59"/>
    <x v="18"/>
    <x v="0"/>
    <n v="1200"/>
    <n v="106.19469026548671"/>
    <n v="3.5398230088495573"/>
    <x v="3"/>
    <x v="1"/>
  </r>
  <r>
    <x v="1047"/>
    <x v="3"/>
    <x v="59"/>
    <x v="18"/>
    <x v="0"/>
    <n v="1200"/>
    <n v="106.19469026548671"/>
    <n v="3.5398230088495573"/>
    <x v="3"/>
    <x v="1"/>
  </r>
  <r>
    <x v="1048"/>
    <x v="0"/>
    <x v="59"/>
    <x v="18"/>
    <x v="1"/>
    <n v="1200"/>
    <n v="106.19469026548671"/>
    <n v="3.5398230088495573"/>
    <x v="3"/>
    <x v="1"/>
  </r>
  <r>
    <x v="1049"/>
    <x v="0"/>
    <x v="136"/>
    <x v="18"/>
    <x v="0"/>
    <n v="1300"/>
    <n v="115.04424778761062"/>
    <n v="3.8348082595870205"/>
    <x v="3"/>
    <x v="1"/>
  </r>
  <r>
    <x v="1050"/>
    <x v="3"/>
    <x v="39"/>
    <x v="18"/>
    <x v="0"/>
    <n v="1400"/>
    <n v="123.8938053097345"/>
    <n v="4.1297935103244834"/>
    <x v="4"/>
    <x v="1"/>
  </r>
  <r>
    <x v="1051"/>
    <x v="3"/>
    <x v="39"/>
    <x v="18"/>
    <x v="1"/>
    <n v="1400"/>
    <n v="123.8938053097345"/>
    <n v="4.1297935103244834"/>
    <x v="4"/>
    <x v="1"/>
  </r>
  <r>
    <x v="1052"/>
    <x v="2"/>
    <x v="39"/>
    <x v="18"/>
    <x v="0"/>
    <n v="1400"/>
    <n v="123.8938053097345"/>
    <n v="4.1297935103244834"/>
    <x v="4"/>
    <x v="1"/>
  </r>
  <r>
    <x v="1053"/>
    <x v="2"/>
    <x v="39"/>
    <x v="18"/>
    <x v="1"/>
    <n v="1400"/>
    <n v="123.8938053097345"/>
    <n v="4.1297935103244834"/>
    <x v="4"/>
    <x v="1"/>
  </r>
  <r>
    <x v="1054"/>
    <x v="4"/>
    <x v="39"/>
    <x v="18"/>
    <x v="0"/>
    <n v="1400"/>
    <n v="123.8938053097345"/>
    <n v="4.1297935103244834"/>
    <x v="4"/>
    <x v="1"/>
  </r>
  <r>
    <x v="1055"/>
    <x v="3"/>
    <x v="19"/>
    <x v="18"/>
    <x v="0"/>
    <n v="1500"/>
    <n v="132.74336283185841"/>
    <n v="4.4247787610619467"/>
    <x v="4"/>
    <x v="1"/>
  </r>
  <r>
    <x v="1056"/>
    <x v="3"/>
    <x v="19"/>
    <x v="18"/>
    <x v="1"/>
    <n v="1500"/>
    <n v="132.74336283185841"/>
    <n v="4.4247787610619467"/>
    <x v="4"/>
    <x v="1"/>
  </r>
  <r>
    <x v="1057"/>
    <x v="0"/>
    <x v="19"/>
    <x v="18"/>
    <x v="0"/>
    <n v="1500"/>
    <n v="132.74336283185841"/>
    <n v="4.4247787610619467"/>
    <x v="4"/>
    <x v="1"/>
  </r>
  <r>
    <x v="1058"/>
    <x v="1"/>
    <x v="19"/>
    <x v="18"/>
    <x v="1"/>
    <n v="1500"/>
    <n v="132.74336283185841"/>
    <n v="4.4247787610619467"/>
    <x v="4"/>
    <x v="1"/>
  </r>
  <r>
    <x v="1059"/>
    <x v="3"/>
    <x v="19"/>
    <x v="18"/>
    <x v="1"/>
    <n v="1500"/>
    <n v="132.74336283185841"/>
    <n v="4.4247787610619467"/>
    <x v="4"/>
    <x v="1"/>
  </r>
  <r>
    <x v="1060"/>
    <x v="3"/>
    <x v="19"/>
    <x v="18"/>
    <x v="1"/>
    <n v="1500"/>
    <n v="132.74336283185841"/>
    <n v="4.4247787610619467"/>
    <x v="4"/>
    <x v="1"/>
  </r>
  <r>
    <x v="1061"/>
    <x v="3"/>
    <x v="19"/>
    <x v="18"/>
    <x v="1"/>
    <n v="1500"/>
    <n v="132.74336283185841"/>
    <n v="4.4247787610619467"/>
    <x v="4"/>
    <x v="1"/>
  </r>
  <r>
    <x v="1062"/>
    <x v="3"/>
    <x v="19"/>
    <x v="18"/>
    <x v="0"/>
    <n v="1500"/>
    <n v="132.74336283185841"/>
    <n v="4.4247787610619467"/>
    <x v="4"/>
    <x v="1"/>
  </r>
  <r>
    <x v="1063"/>
    <x v="3"/>
    <x v="19"/>
    <x v="18"/>
    <x v="0"/>
    <n v="1500"/>
    <n v="132.74336283185841"/>
    <n v="4.4247787610619467"/>
    <x v="4"/>
    <x v="1"/>
  </r>
  <r>
    <x v="1064"/>
    <x v="1"/>
    <x v="19"/>
    <x v="18"/>
    <x v="0"/>
    <n v="1500"/>
    <n v="132.74336283185841"/>
    <n v="4.4247787610619467"/>
    <x v="4"/>
    <x v="1"/>
  </r>
  <r>
    <x v="1065"/>
    <x v="1"/>
    <x v="19"/>
    <x v="18"/>
    <x v="0"/>
    <n v="1500"/>
    <n v="132.74336283185841"/>
    <n v="4.4247787610619467"/>
    <x v="4"/>
    <x v="1"/>
  </r>
  <r>
    <x v="1066"/>
    <x v="1"/>
    <x v="19"/>
    <x v="18"/>
    <x v="1"/>
    <n v="1500"/>
    <n v="132.74336283185841"/>
    <n v="4.4247787610619467"/>
    <x v="4"/>
    <x v="1"/>
  </r>
  <r>
    <x v="1067"/>
    <x v="2"/>
    <x v="19"/>
    <x v="18"/>
    <x v="0"/>
    <n v="1500"/>
    <n v="132.74336283185841"/>
    <n v="4.4247787610619467"/>
    <x v="4"/>
    <x v="1"/>
  </r>
  <r>
    <x v="1068"/>
    <x v="0"/>
    <x v="19"/>
    <x v="18"/>
    <x v="0"/>
    <n v="1500"/>
    <n v="132.74336283185841"/>
    <n v="4.4247787610619467"/>
    <x v="4"/>
    <x v="1"/>
  </r>
  <r>
    <x v="1069"/>
    <x v="0"/>
    <x v="19"/>
    <x v="18"/>
    <x v="1"/>
    <n v="1500"/>
    <n v="132.74336283185841"/>
    <n v="4.4247787610619467"/>
    <x v="4"/>
    <x v="1"/>
  </r>
  <r>
    <x v="1070"/>
    <x v="0"/>
    <x v="19"/>
    <x v="18"/>
    <x v="1"/>
    <n v="1500"/>
    <n v="132.74336283185841"/>
    <n v="4.4247787610619467"/>
    <x v="4"/>
    <x v="1"/>
  </r>
  <r>
    <x v="1071"/>
    <x v="4"/>
    <x v="19"/>
    <x v="18"/>
    <x v="0"/>
    <n v="1500"/>
    <n v="132.74336283185841"/>
    <n v="4.4247787610619467"/>
    <x v="4"/>
    <x v="1"/>
  </r>
  <r>
    <x v="1072"/>
    <x v="2"/>
    <x v="19"/>
    <x v="18"/>
    <x v="1"/>
    <n v="1500"/>
    <n v="132.74336283185841"/>
    <n v="4.4247787610619467"/>
    <x v="4"/>
    <x v="1"/>
  </r>
  <r>
    <x v="1073"/>
    <x v="2"/>
    <x v="19"/>
    <x v="18"/>
    <x v="0"/>
    <n v="1500"/>
    <n v="132.74336283185841"/>
    <n v="4.4247787610619467"/>
    <x v="4"/>
    <x v="1"/>
  </r>
  <r>
    <x v="1074"/>
    <x v="2"/>
    <x v="288"/>
    <x v="18"/>
    <x v="1"/>
    <n v="1680"/>
    <n v="148.6725663716814"/>
    <n v="4.9557522123893802"/>
    <x v="4"/>
    <x v="1"/>
  </r>
  <r>
    <x v="1075"/>
    <x v="0"/>
    <x v="110"/>
    <x v="18"/>
    <x v="1"/>
    <n v="1800"/>
    <n v="159.29203539823007"/>
    <n v="5.3097345132743357"/>
    <x v="4"/>
    <x v="1"/>
  </r>
  <r>
    <x v="1076"/>
    <x v="4"/>
    <x v="9"/>
    <x v="18"/>
    <x v="1"/>
    <n v="2000"/>
    <n v="176.99115044247787"/>
    <n v="5.8997050147492622"/>
    <x v="4"/>
    <x v="1"/>
  </r>
  <r>
    <x v="1077"/>
    <x v="4"/>
    <x v="9"/>
    <x v="18"/>
    <x v="0"/>
    <n v="2000"/>
    <n v="176.99115044247787"/>
    <n v="5.8997050147492622"/>
    <x v="4"/>
    <x v="1"/>
  </r>
  <r>
    <x v="1078"/>
    <x v="5"/>
    <x v="9"/>
    <x v="18"/>
    <x v="0"/>
    <n v="2000"/>
    <n v="176.99115044247787"/>
    <n v="5.8997050147492622"/>
    <x v="4"/>
    <x v="1"/>
  </r>
  <r>
    <x v="1079"/>
    <x v="3"/>
    <x v="9"/>
    <x v="18"/>
    <x v="0"/>
    <n v="2000"/>
    <n v="176.99115044247787"/>
    <n v="5.8997050147492622"/>
    <x v="4"/>
    <x v="1"/>
  </r>
  <r>
    <x v="1080"/>
    <x v="3"/>
    <x v="9"/>
    <x v="18"/>
    <x v="1"/>
    <n v="2000"/>
    <n v="176.99115044247787"/>
    <n v="5.8997050147492622"/>
    <x v="4"/>
    <x v="1"/>
  </r>
  <r>
    <x v="1081"/>
    <x v="3"/>
    <x v="9"/>
    <x v="18"/>
    <x v="1"/>
    <n v="2000"/>
    <n v="176.99115044247787"/>
    <n v="5.8997050147492622"/>
    <x v="4"/>
    <x v="1"/>
  </r>
  <r>
    <x v="1082"/>
    <x v="1"/>
    <x v="9"/>
    <x v="18"/>
    <x v="1"/>
    <n v="2000"/>
    <n v="176.99115044247787"/>
    <n v="5.8997050147492622"/>
    <x v="4"/>
    <x v="1"/>
  </r>
  <r>
    <x v="1083"/>
    <x v="2"/>
    <x v="9"/>
    <x v="18"/>
    <x v="0"/>
    <n v="2000"/>
    <n v="176.99115044247787"/>
    <n v="5.8997050147492622"/>
    <x v="4"/>
    <x v="1"/>
  </r>
  <r>
    <x v="1084"/>
    <x v="2"/>
    <x v="9"/>
    <x v="18"/>
    <x v="1"/>
    <n v="2000"/>
    <n v="176.99115044247787"/>
    <n v="5.8997050147492622"/>
    <x v="4"/>
    <x v="1"/>
  </r>
  <r>
    <x v="1085"/>
    <x v="0"/>
    <x v="9"/>
    <x v="18"/>
    <x v="1"/>
    <n v="2000"/>
    <n v="176.99115044247787"/>
    <n v="5.8997050147492622"/>
    <x v="4"/>
    <x v="1"/>
  </r>
  <r>
    <x v="1086"/>
    <x v="4"/>
    <x v="9"/>
    <x v="18"/>
    <x v="0"/>
    <n v="2000"/>
    <n v="176.99115044247787"/>
    <n v="5.8997050147492622"/>
    <x v="4"/>
    <x v="1"/>
  </r>
  <r>
    <x v="1087"/>
    <x v="4"/>
    <x v="9"/>
    <x v="18"/>
    <x v="0"/>
    <n v="2000"/>
    <n v="176.99115044247787"/>
    <n v="5.8997050147492622"/>
    <x v="4"/>
    <x v="1"/>
  </r>
  <r>
    <x v="1088"/>
    <x v="0"/>
    <x v="9"/>
    <x v="18"/>
    <x v="0"/>
    <n v="2000"/>
    <n v="176.99115044247787"/>
    <n v="5.8997050147492622"/>
    <x v="4"/>
    <x v="1"/>
  </r>
  <r>
    <x v="1089"/>
    <x v="3"/>
    <x v="9"/>
    <x v="18"/>
    <x v="1"/>
    <n v="2000"/>
    <n v="176.99115044247787"/>
    <n v="5.8997050147492622"/>
    <x v="4"/>
    <x v="1"/>
  </r>
  <r>
    <x v="1090"/>
    <x v="3"/>
    <x v="4"/>
    <x v="18"/>
    <x v="1"/>
    <n v="2100"/>
    <n v="185.84070796460176"/>
    <n v="6.1946902654867255"/>
    <x v="4"/>
    <x v="1"/>
  </r>
  <r>
    <x v="1091"/>
    <x v="3"/>
    <x v="289"/>
    <x v="18"/>
    <x v="0"/>
    <n v="2250"/>
    <n v="199.11504424778761"/>
    <n v="6.6371681415929196"/>
    <x v="4"/>
    <x v="1"/>
  </r>
  <r>
    <x v="1092"/>
    <x v="1"/>
    <x v="82"/>
    <x v="18"/>
    <x v="0"/>
    <n v="2400"/>
    <n v="212.38938053097343"/>
    <n v="7.0796460176991145"/>
    <x v="4"/>
    <x v="1"/>
  </r>
  <r>
    <x v="1093"/>
    <x v="3"/>
    <x v="79"/>
    <x v="18"/>
    <x v="1"/>
    <n v="2500"/>
    <n v="221.23893805309734"/>
    <n v="7.3746312684365769"/>
    <x v="4"/>
    <x v="1"/>
  </r>
  <r>
    <x v="1094"/>
    <x v="3"/>
    <x v="79"/>
    <x v="18"/>
    <x v="0"/>
    <n v="2500"/>
    <n v="221.23893805309734"/>
    <n v="7.3746312684365769"/>
    <x v="4"/>
    <x v="1"/>
  </r>
  <r>
    <x v="1095"/>
    <x v="1"/>
    <x v="79"/>
    <x v="18"/>
    <x v="0"/>
    <n v="2500"/>
    <n v="221.23893805309734"/>
    <n v="7.3746312684365769"/>
    <x v="4"/>
    <x v="1"/>
  </r>
  <r>
    <x v="1096"/>
    <x v="2"/>
    <x v="79"/>
    <x v="18"/>
    <x v="0"/>
    <n v="2500"/>
    <n v="221.23893805309734"/>
    <n v="7.3746312684365769"/>
    <x v="4"/>
    <x v="1"/>
  </r>
  <r>
    <x v="1097"/>
    <x v="2"/>
    <x v="31"/>
    <x v="18"/>
    <x v="0"/>
    <n v="2700"/>
    <n v="238.93805309734512"/>
    <n v="7.9646017699115035"/>
    <x v="4"/>
    <x v="1"/>
  </r>
  <r>
    <x v="1098"/>
    <x v="3"/>
    <x v="67"/>
    <x v="18"/>
    <x v="1"/>
    <n v="2800"/>
    <n v="247.78761061946901"/>
    <n v="8.2595870206489668"/>
    <x v="4"/>
    <x v="1"/>
  </r>
  <r>
    <x v="1099"/>
    <x v="2"/>
    <x v="67"/>
    <x v="18"/>
    <x v="1"/>
    <n v="2800"/>
    <n v="247.78761061946901"/>
    <n v="8.2595870206489668"/>
    <x v="4"/>
    <x v="1"/>
  </r>
  <r>
    <x v="1100"/>
    <x v="3"/>
    <x v="45"/>
    <x v="18"/>
    <x v="1"/>
    <n v="2900"/>
    <n v="256.63716814159289"/>
    <n v="8.5545722713864301"/>
    <x v="4"/>
    <x v="1"/>
  </r>
  <r>
    <x v="1101"/>
    <x v="3"/>
    <x v="6"/>
    <x v="18"/>
    <x v="0"/>
    <n v="3000"/>
    <n v="265.48672566371681"/>
    <n v="8.8495575221238933"/>
    <x v="4"/>
    <x v="1"/>
  </r>
  <r>
    <x v="1102"/>
    <x v="3"/>
    <x v="6"/>
    <x v="18"/>
    <x v="0"/>
    <n v="3000"/>
    <n v="265.48672566371681"/>
    <n v="8.8495575221238933"/>
    <x v="4"/>
    <x v="1"/>
  </r>
  <r>
    <x v="1103"/>
    <x v="5"/>
    <x v="6"/>
    <x v="18"/>
    <x v="1"/>
    <n v="3000"/>
    <n v="265.48672566371681"/>
    <n v="8.8495575221238933"/>
    <x v="4"/>
    <x v="1"/>
  </r>
  <r>
    <x v="1104"/>
    <x v="3"/>
    <x v="6"/>
    <x v="18"/>
    <x v="0"/>
    <n v="3000"/>
    <n v="265.48672566371681"/>
    <n v="8.8495575221238933"/>
    <x v="4"/>
    <x v="1"/>
  </r>
  <r>
    <x v="1105"/>
    <x v="3"/>
    <x v="6"/>
    <x v="18"/>
    <x v="1"/>
    <n v="3000"/>
    <n v="265.48672566371681"/>
    <n v="8.8495575221238933"/>
    <x v="4"/>
    <x v="1"/>
  </r>
  <r>
    <x v="1106"/>
    <x v="1"/>
    <x v="6"/>
    <x v="18"/>
    <x v="1"/>
    <n v="3000"/>
    <n v="265.48672566371681"/>
    <n v="8.8495575221238933"/>
    <x v="4"/>
    <x v="1"/>
  </r>
  <r>
    <x v="1107"/>
    <x v="1"/>
    <x v="6"/>
    <x v="18"/>
    <x v="1"/>
    <n v="3000"/>
    <n v="265.48672566371681"/>
    <n v="8.8495575221238933"/>
    <x v="4"/>
    <x v="1"/>
  </r>
  <r>
    <x v="1108"/>
    <x v="2"/>
    <x v="6"/>
    <x v="18"/>
    <x v="0"/>
    <n v="3000"/>
    <n v="265.48672566371681"/>
    <n v="8.8495575221238933"/>
    <x v="4"/>
    <x v="1"/>
  </r>
  <r>
    <x v="1109"/>
    <x v="0"/>
    <x v="6"/>
    <x v="18"/>
    <x v="1"/>
    <n v="3000"/>
    <n v="265.48672566371681"/>
    <n v="8.8495575221238933"/>
    <x v="4"/>
    <x v="1"/>
  </r>
  <r>
    <x v="1110"/>
    <x v="0"/>
    <x v="6"/>
    <x v="18"/>
    <x v="1"/>
    <n v="3000"/>
    <n v="265.48672566371681"/>
    <n v="8.8495575221238933"/>
    <x v="4"/>
    <x v="1"/>
  </r>
  <r>
    <x v="1111"/>
    <x v="1"/>
    <x v="48"/>
    <x v="18"/>
    <x v="0"/>
    <n v="3600"/>
    <n v="318.58407079646014"/>
    <n v="10.619469026548671"/>
    <x v="4"/>
    <x v="1"/>
  </r>
  <r>
    <x v="1112"/>
    <x v="3"/>
    <x v="42"/>
    <x v="18"/>
    <x v="0"/>
    <n v="4000"/>
    <n v="353.98230088495575"/>
    <n v="11.799410029498524"/>
    <x v="4"/>
    <x v="1"/>
  </r>
  <r>
    <x v="1113"/>
    <x v="0"/>
    <x v="42"/>
    <x v="18"/>
    <x v="1"/>
    <n v="4000"/>
    <n v="353.98230088495575"/>
    <n v="11.799410029498524"/>
    <x v="4"/>
    <x v="1"/>
  </r>
  <r>
    <x v="1114"/>
    <x v="3"/>
    <x v="42"/>
    <x v="18"/>
    <x v="1"/>
    <n v="4000"/>
    <n v="353.98230088495575"/>
    <n v="11.799410029498524"/>
    <x v="4"/>
    <x v="1"/>
  </r>
  <r>
    <x v="1115"/>
    <x v="2"/>
    <x v="42"/>
    <x v="18"/>
    <x v="0"/>
    <n v="4000"/>
    <n v="353.98230088495575"/>
    <n v="11.799410029498524"/>
    <x v="4"/>
    <x v="1"/>
  </r>
  <r>
    <x v="1116"/>
    <x v="4"/>
    <x v="20"/>
    <x v="18"/>
    <x v="1"/>
    <n v="4500"/>
    <n v="398.23008849557522"/>
    <n v="13.274336283185839"/>
    <x v="4"/>
    <x v="1"/>
  </r>
  <r>
    <x v="1117"/>
    <x v="1"/>
    <x v="20"/>
    <x v="18"/>
    <x v="1"/>
    <n v="4500"/>
    <n v="398.23008849557522"/>
    <n v="13.274336283185839"/>
    <x v="4"/>
    <x v="1"/>
  </r>
  <r>
    <x v="1118"/>
    <x v="0"/>
    <x v="119"/>
    <x v="18"/>
    <x v="0"/>
    <n v="5000"/>
    <n v="442.47787610619469"/>
    <n v="14.749262536873154"/>
    <x v="4"/>
    <x v="1"/>
  </r>
  <r>
    <x v="1119"/>
    <x v="3"/>
    <x v="43"/>
    <x v="18"/>
    <x v="1"/>
    <n v="5600"/>
    <n v="495.57522123893801"/>
    <n v="16.519174041297934"/>
    <x v="4"/>
    <x v="1"/>
  </r>
  <r>
    <x v="1120"/>
    <x v="3"/>
    <x v="92"/>
    <x v="18"/>
    <x v="0"/>
    <n v="7200"/>
    <n v="637.16814159292028"/>
    <n v="21.238938053097343"/>
    <x v="4"/>
    <x v="1"/>
  </r>
  <r>
    <x v="1121"/>
    <x v="3"/>
    <x v="139"/>
    <x v="18"/>
    <x v="0"/>
    <n v="7500"/>
    <n v="663.71681415929197"/>
    <n v="22.123893805309734"/>
    <x v="4"/>
    <x v="1"/>
  </r>
  <r>
    <x v="1122"/>
    <x v="3"/>
    <x v="139"/>
    <x v="18"/>
    <x v="0"/>
    <n v="7500"/>
    <n v="663.71681415929197"/>
    <n v="22.123893805309734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:G9" firstHeaderRow="1" firstDataRow="2" firstDataCol="1"/>
  <pivotFields count="11">
    <pivotField dataField="1" numFmtId="1" showAll="0"/>
    <pivotField axis="axisRow" showAll="0">
      <items count="7">
        <item x="4"/>
        <item x="5"/>
        <item x="1"/>
        <item x="2"/>
        <item x="0"/>
        <item x="3"/>
        <item t="default"/>
      </items>
    </pivotField>
    <pivotField showAll="0"/>
    <pivotField showAll="0"/>
    <pivotField showAll="0"/>
    <pivotField numFmtId="164" showAll="0"/>
    <pivotField numFmtId="165" showAll="0"/>
    <pivotField numFmtId="165" showAll="0"/>
    <pivotField axis="axisCol" showAll="0">
      <items count="6">
        <item x="2"/>
        <item x="4"/>
        <item x="0"/>
        <item x="1"/>
        <item x="3"/>
        <item t="default"/>
      </items>
    </pivotField>
    <pivotField showAll="0"/>
    <pivotField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Номер Семьи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0:G38" firstHeaderRow="1" firstDataRow="2" firstDataCol="1" rowPageCount="1" colPageCount="1"/>
  <pivotFields count="11">
    <pivotField dataField="1" numFmtId="1" subtotalTop="0" showAll="0">
      <items count="1124">
        <item x="205"/>
        <item x="212"/>
        <item x="956"/>
        <item x="800"/>
        <item x="445"/>
        <item x="69"/>
        <item x="345"/>
        <item x="198"/>
        <item x="760"/>
        <item x="452"/>
        <item x="696"/>
        <item x="182"/>
        <item x="442"/>
        <item x="49"/>
        <item x="523"/>
        <item x="122"/>
        <item x="343"/>
        <item x="216"/>
        <item x="997"/>
        <item x="664"/>
        <item x="186"/>
        <item x="1045"/>
        <item x="174"/>
        <item x="809"/>
        <item x="619"/>
        <item x="752"/>
        <item x="931"/>
        <item x="960"/>
        <item x="689"/>
        <item x="438"/>
        <item x="782"/>
        <item x="177"/>
        <item x="1046"/>
        <item x="680"/>
        <item x="816"/>
        <item x="1077"/>
        <item x="849"/>
        <item x="524"/>
        <item x="562"/>
        <item x="504"/>
        <item x="254"/>
        <item x="327"/>
        <item x="761"/>
        <item x="299"/>
        <item x="772"/>
        <item x="261"/>
        <item x="1116"/>
        <item x="181"/>
        <item x="102"/>
        <item x="563"/>
        <item x="116"/>
        <item x="998"/>
        <item x="999"/>
        <item x="728"/>
        <item x="961"/>
        <item x="217"/>
        <item x="801"/>
        <item x="1103"/>
        <item x="393"/>
        <item x="542"/>
        <item x="346"/>
        <item x="239"/>
        <item x="921"/>
        <item x="857"/>
        <item x="962"/>
        <item x="837"/>
        <item x="492"/>
        <item x="354"/>
        <item x="525"/>
        <item x="300"/>
        <item x="827"/>
        <item x="288"/>
        <item x="783"/>
        <item x="399"/>
        <item x="733"/>
        <item x="301"/>
        <item x="166"/>
        <item x="932"/>
        <item x="313"/>
        <item x="792"/>
        <item x="53"/>
        <item x="784"/>
        <item x="734"/>
        <item x="729"/>
        <item x="670"/>
        <item x="735"/>
        <item x="187"/>
        <item x="620"/>
        <item x="875"/>
        <item x="377"/>
        <item x="201"/>
        <item x="153"/>
        <item x="458"/>
        <item x="858"/>
        <item x="712"/>
        <item x="705"/>
        <item x="543"/>
        <item x="762"/>
        <item x="67"/>
        <item x="561"/>
        <item x="706"/>
        <item x="933"/>
        <item x="649"/>
        <item x="314"/>
        <item x="842"/>
        <item x="989"/>
        <item x="283"/>
        <item x="836"/>
        <item x="401"/>
        <item x="713"/>
        <item x="1078"/>
        <item x="459"/>
        <item x="526"/>
        <item x="859"/>
        <item x="167"/>
        <item x="493"/>
        <item x="650"/>
        <item x="159"/>
        <item x="963"/>
        <item x="1000"/>
        <item x="589"/>
        <item x="240"/>
        <item x="117"/>
        <item x="369"/>
        <item x="302"/>
        <item x="558"/>
        <item x="353"/>
        <item x="388"/>
        <item x="324"/>
        <item x="979"/>
        <item x="564"/>
        <item x="841"/>
        <item x="1055"/>
        <item x="1112"/>
        <item x="518"/>
        <item x="163"/>
        <item x="506"/>
        <item x="312"/>
        <item x="326"/>
        <item x="325"/>
        <item x="890"/>
        <item x="701"/>
        <item x="1056"/>
        <item x="494"/>
        <item x="1022"/>
        <item x="1093"/>
        <item x="1044"/>
        <item x="505"/>
        <item x="527"/>
        <item x="519"/>
        <item x="843"/>
        <item x="1008"/>
        <item x="773"/>
        <item x="797"/>
        <item x="984"/>
        <item x="88"/>
        <item x="1091"/>
        <item x="711"/>
        <item x="710"/>
        <item x="758"/>
        <item x="407"/>
        <item x="810"/>
        <item x="114"/>
        <item x="123"/>
        <item x="158"/>
        <item x="424"/>
        <item x="560"/>
        <item x="850"/>
        <item x="617"/>
        <item x="811"/>
        <item x="456"/>
        <item x="275"/>
        <item x="663"/>
        <item x="242"/>
        <item x="516"/>
        <item x="108"/>
        <item x="844"/>
        <item x="79"/>
        <item x="236"/>
        <item x="776"/>
        <item x="223"/>
        <item x="355"/>
        <item x="475"/>
        <item x="928"/>
        <item x="583"/>
        <item x="544"/>
        <item x="211"/>
        <item x="867"/>
        <item x="666"/>
        <item x="338"/>
        <item x="273"/>
        <item x="243"/>
        <item x="141"/>
        <item x="1001"/>
        <item x="590"/>
        <item x="231"/>
        <item x="14"/>
        <item x="588"/>
        <item x="565"/>
        <item x="1019"/>
        <item x="982"/>
        <item x="106"/>
        <item x="587"/>
        <item x="1023"/>
        <item x="1094"/>
        <item x="847"/>
        <item x="736"/>
        <item x="830"/>
        <item x="667"/>
        <item x="863"/>
        <item x="785"/>
        <item x="90"/>
        <item x="714"/>
        <item x="591"/>
        <item x="279"/>
        <item x="660"/>
        <item x="755"/>
        <item x="436"/>
        <item x="556"/>
        <item x="413"/>
        <item x="908"/>
        <item x="592"/>
        <item x="528"/>
        <item x="985"/>
        <item x="178"/>
        <item x="507"/>
        <item x="912"/>
        <item x="522"/>
        <item x="427"/>
        <item x="408"/>
        <item x="517"/>
        <item x="207"/>
        <item x="359"/>
        <item x="604"/>
        <item x="95"/>
        <item x="416"/>
        <item x="688"/>
        <item x="634"/>
        <item x="255"/>
        <item x="370"/>
        <item x="668"/>
        <item x="444"/>
        <item x="270"/>
        <item x="309"/>
        <item x="605"/>
        <item x="188"/>
        <item x="476"/>
        <item x="446"/>
        <item x="1060"/>
        <item x="303"/>
        <item x="47"/>
        <item x="262"/>
        <item x="412"/>
        <item x="704"/>
        <item x="105"/>
        <item x="12"/>
        <item x="323"/>
        <item x="266"/>
        <item x="521"/>
        <item x="289"/>
        <item x="606"/>
        <item x="118"/>
        <item x="814"/>
        <item x="529"/>
        <item x="1024"/>
        <item x="347"/>
        <item x="1079"/>
        <item x="1050"/>
        <item x="15"/>
        <item x="479"/>
        <item x="632"/>
        <item x="817"/>
        <item x="341"/>
        <item x="725"/>
        <item x="690"/>
        <item x="545"/>
        <item x="252"/>
        <item x="566"/>
        <item x="802"/>
        <item x="460"/>
        <item x="1002"/>
        <item x="224"/>
        <item x="480"/>
        <item x="584"/>
        <item x="807"/>
        <item x="373"/>
        <item x="920"/>
        <item x="708"/>
        <item x="297"/>
        <item x="348"/>
        <item x="428"/>
        <item x="50"/>
        <item x="786"/>
        <item x="1090"/>
        <item x="1080"/>
        <item x="602"/>
        <item x="964"/>
        <item x="645"/>
        <item x="366"/>
        <item x="992"/>
        <item x="367"/>
        <item x="978"/>
        <item x="190"/>
        <item x="635"/>
        <item x="567"/>
        <item x="642"/>
        <item x="990"/>
        <item x="671"/>
        <item x="332"/>
        <item x="553"/>
        <item x="731"/>
        <item x="864"/>
        <item x="934"/>
        <item x="499"/>
        <item x="658"/>
        <item x="787"/>
        <item x="470"/>
        <item x="1121"/>
        <item x="333"/>
        <item x="1104"/>
        <item x="715"/>
        <item x="723"/>
        <item x="757"/>
        <item x="788"/>
        <item x="812"/>
        <item x="935"/>
        <item x="398"/>
        <item x="400"/>
        <item x="789"/>
        <item x="1105"/>
        <item x="1102"/>
        <item x="268"/>
        <item x="500"/>
        <item x="877"/>
        <item x="1051"/>
        <item x="828"/>
        <item x="439"/>
        <item x="1061"/>
        <item x="672"/>
        <item x="737"/>
        <item x="66"/>
        <item x="651"/>
        <item x="1098"/>
        <item x="936"/>
        <item x="315"/>
        <item x="335"/>
        <item x="183"/>
        <item x="738"/>
        <item x="778"/>
        <item x="654"/>
        <item x="803"/>
        <item x="185"/>
        <item x="103"/>
        <item x="375"/>
        <item x="455"/>
        <item x="139"/>
        <item x="294"/>
        <item x="983"/>
        <item x="653"/>
        <item x="461"/>
        <item x="613"/>
        <item x="1101"/>
        <item x="612"/>
        <item x="647"/>
        <item x="582"/>
        <item x="539"/>
        <item x="530"/>
        <item x="200"/>
        <item x="1081"/>
        <item x="614"/>
        <item x="633"/>
        <item x="394"/>
        <item x="138"/>
        <item x="437"/>
        <item x="453"/>
        <item x="986"/>
        <item x="284"/>
        <item x="508"/>
        <item x="405"/>
        <item x="381"/>
        <item x="798"/>
        <item x="509"/>
        <item x="888"/>
        <item x="253"/>
        <item x="1119"/>
        <item x="871"/>
        <item x="19"/>
        <item x="646"/>
        <item x="271"/>
        <item x="491"/>
        <item x="607"/>
        <item x="851"/>
        <item x="368"/>
        <item x="202"/>
        <item x="909"/>
        <item x="121"/>
        <item x="531"/>
        <item x="866"/>
        <item x="677"/>
        <item x="846"/>
        <item x="1010"/>
        <item x="641"/>
        <item x="621"/>
        <item x="133"/>
        <item x="396"/>
        <item x="360"/>
        <item x="1100"/>
        <item x="622"/>
        <item x="1018"/>
        <item x="389"/>
        <item x="390"/>
        <item x="623"/>
        <item x="1114"/>
        <item x="965"/>
        <item x="616"/>
        <item x="854"/>
        <item x="287"/>
        <item x="1120"/>
        <item x="707"/>
        <item x="937"/>
        <item x="361"/>
        <item x="593"/>
        <item x="387"/>
        <item x="290"/>
        <item x="1062"/>
        <item x="739"/>
        <item x="316"/>
        <item x="568"/>
        <item x="365"/>
        <item x="546"/>
        <item x="1047"/>
        <item x="1063"/>
        <item x="608"/>
        <item x="569"/>
        <item x="70"/>
        <item x="74"/>
        <item x="865"/>
        <item x="609"/>
        <item x="804"/>
        <item x="317"/>
        <item x="318"/>
        <item x="594"/>
        <item x="975"/>
        <item x="716"/>
        <item x="763"/>
        <item x="570"/>
        <item x="571"/>
        <item x="125"/>
        <item x="938"/>
        <item x="717"/>
        <item x="681"/>
        <item x="939"/>
        <item x="471"/>
        <item x="532"/>
        <item x="71"/>
        <item x="873"/>
        <item x="164"/>
        <item x="62"/>
        <item x="44"/>
        <item x="29"/>
        <item x="10"/>
        <item x="603"/>
        <item x="99"/>
        <item x="673"/>
        <item x="111"/>
        <item x="879"/>
        <item x="148"/>
        <item x="278"/>
        <item x="740"/>
        <item x="100"/>
        <item x="1020"/>
        <item x="417"/>
        <item x="1064"/>
        <item x="880"/>
        <item x="304"/>
        <item x="319"/>
        <item x="30"/>
        <item x="655"/>
        <item x="43"/>
        <item x="881"/>
        <item x="418"/>
        <item x="64"/>
        <item x="9"/>
        <item x="21"/>
        <item x="781"/>
        <item x="196"/>
        <item x="168"/>
        <item x="209"/>
        <item x="281"/>
        <item x="818"/>
        <item x="913"/>
        <item x="34"/>
        <item x="966"/>
        <item x="764"/>
        <item x="244"/>
        <item x="462"/>
        <item x="84"/>
        <item x="126"/>
        <item x="226"/>
        <item x="48"/>
        <item x="790"/>
        <item x="831"/>
        <item x="155"/>
        <item x="490"/>
        <item x="419"/>
        <item x="510"/>
        <item x="145"/>
        <item x="24"/>
        <item x="894"/>
        <item x="718"/>
        <item x="45"/>
        <item x="495"/>
        <item x="674"/>
        <item x="1065"/>
        <item x="409"/>
        <item x="415"/>
        <item x="892"/>
        <item x="150"/>
        <item x="136"/>
        <item x="1016"/>
        <item x="719"/>
        <item x="940"/>
        <item x="1058"/>
        <item x="28"/>
        <item x="282"/>
        <item x="101"/>
        <item x="959"/>
        <item x="410"/>
        <item x="1066"/>
        <item x="878"/>
        <item x="967"/>
        <item x="914"/>
        <item x="81"/>
        <item x="624"/>
        <item x="572"/>
        <item x="305"/>
        <item x="1095"/>
        <item x="987"/>
        <item x="819"/>
        <item x="1106"/>
        <item x="76"/>
        <item x="855"/>
        <item x="5"/>
        <item x="269"/>
        <item x="765"/>
        <item x="872"/>
        <item x="573"/>
        <item x="23"/>
        <item x="320"/>
        <item x="893"/>
        <item x="751"/>
        <item x="861"/>
        <item x="481"/>
        <item x="856"/>
        <item x="853"/>
        <item x="420"/>
        <item x="839"/>
        <item x="1107"/>
        <item x="581"/>
        <item x="720"/>
        <item x="766"/>
        <item x="1092"/>
        <item x="922"/>
        <item x="636"/>
        <item x="637"/>
        <item x="411"/>
        <item x="915"/>
        <item x="175"/>
        <item x="625"/>
        <item x="140"/>
        <item x="395"/>
        <item x="222"/>
        <item x="54"/>
        <item x="36"/>
        <item x="638"/>
        <item x="968"/>
        <item x="127"/>
        <item x="93"/>
        <item x="13"/>
        <item x="96"/>
        <item x="91"/>
        <item x="610"/>
        <item x="626"/>
        <item x="59"/>
        <item x="134"/>
        <item x="665"/>
        <item x="306"/>
        <item x="699"/>
        <item x="94"/>
        <item x="57"/>
        <item x="39"/>
        <item x="601"/>
        <item x="8"/>
        <item x="85"/>
        <item x="82"/>
        <item x="498"/>
        <item x="627"/>
        <item x="61"/>
        <item x="1082"/>
        <item x="996"/>
        <item x="941"/>
        <item x="2"/>
        <item x="1117"/>
        <item x="682"/>
        <item x="1111"/>
        <item x="263"/>
        <item x="142"/>
        <item x="574"/>
        <item x="691"/>
        <item x="414"/>
        <item x="83"/>
        <item x="1025"/>
        <item x="820"/>
        <item x="869"/>
        <item x="440"/>
        <item x="77"/>
        <item x="595"/>
        <item x="256"/>
        <item x="882"/>
        <item x="307"/>
        <item x="429"/>
        <item x="441"/>
        <item x="969"/>
        <item x="119"/>
        <item x="955"/>
        <item x="208"/>
        <item x="98"/>
        <item x="692"/>
        <item x="197"/>
        <item x="883"/>
        <item x="942"/>
        <item x="293"/>
        <item x="191"/>
        <item x="170"/>
        <item x="832"/>
        <item x="454"/>
        <item x="845"/>
        <item x="895"/>
        <item x="218"/>
        <item x="675"/>
        <item x="596"/>
        <item x="38"/>
        <item x="639"/>
        <item x="426"/>
        <item x="295"/>
        <item x="151"/>
        <item x="702"/>
        <item x="669"/>
        <item x="793"/>
        <item x="995"/>
        <item x="344"/>
        <item x="474"/>
        <item x="285"/>
        <item x="896"/>
        <item x="815"/>
        <item x="4"/>
        <item x="165"/>
        <item x="146"/>
        <item x="65"/>
        <item x="640"/>
        <item x="1017"/>
        <item x="41"/>
        <item x="264"/>
        <item x="988"/>
        <item x="644"/>
        <item x="257"/>
        <item x="137"/>
        <item x="923"/>
        <item x="192"/>
        <item x="267"/>
        <item x="27"/>
        <item x="721"/>
        <item x="1083"/>
        <item x="1108"/>
        <item x="55"/>
        <item x="42"/>
        <item x="7"/>
        <item x="430"/>
        <item x="431"/>
        <item x="169"/>
        <item x="970"/>
        <item x="748"/>
        <item x="378"/>
        <item x="362"/>
        <item x="533"/>
        <item x="379"/>
        <item x="250"/>
        <item x="349"/>
        <item x="1099"/>
        <item x="838"/>
        <item x="374"/>
        <item x="1067"/>
        <item x="423"/>
        <item x="104"/>
        <item x="874"/>
        <item x="756"/>
        <item x="328"/>
        <item x="754"/>
        <item x="235"/>
        <item x="179"/>
        <item x="482"/>
        <item x="149"/>
        <item x="206"/>
        <item x="1026"/>
        <item x="463"/>
        <item x="280"/>
        <item x="741"/>
        <item x="662"/>
        <item x="478"/>
        <item x="63"/>
        <item x="1040"/>
        <item x="656"/>
        <item x="73"/>
        <item x="339"/>
        <item x="611"/>
        <item x="321"/>
        <item x="404"/>
        <item x="821"/>
        <item x="586"/>
        <item x="1096"/>
        <item x="464"/>
        <item x="265"/>
        <item x="683"/>
        <item x="957"/>
        <item x="585"/>
        <item x="363"/>
        <item x="97"/>
        <item x="709"/>
        <item x="364"/>
        <item x="771"/>
        <item x="210"/>
        <item x="432"/>
        <item x="37"/>
        <item x="52"/>
        <item x="402"/>
        <item x="110"/>
        <item x="822"/>
        <item x="575"/>
        <item x="433"/>
        <item x="597"/>
        <item x="274"/>
        <item x="22"/>
        <item x="679"/>
        <item x="501"/>
        <item x="779"/>
        <item x="943"/>
        <item x="465"/>
        <item x="16"/>
        <item x="213"/>
        <item x="916"/>
        <item x="1097"/>
        <item x="340"/>
        <item x="511"/>
        <item x="131"/>
        <item x="693"/>
        <item x="227"/>
        <item x="483"/>
        <item x="329"/>
        <item x="371"/>
        <item x="447"/>
        <item x="897"/>
        <item x="32"/>
        <item x="742"/>
        <item x="230"/>
        <item x="457"/>
        <item x="1027"/>
        <item x="1052"/>
        <item x="924"/>
        <item x="829"/>
        <item x="898"/>
        <item x="1084"/>
        <item x="944"/>
        <item x="534"/>
        <item x="128"/>
        <item x="628"/>
        <item x="1053"/>
        <item x="466"/>
        <item x="1115"/>
        <item x="350"/>
        <item x="310"/>
        <item x="579"/>
        <item x="535"/>
        <item x="1028"/>
        <item x="272"/>
        <item x="840"/>
        <item x="799"/>
        <item x="780"/>
        <item x="1015"/>
        <item x="536"/>
        <item x="484"/>
        <item x="930"/>
        <item x="541"/>
        <item x="576"/>
        <item x="193"/>
        <item x="615"/>
        <item x="203"/>
        <item x="232"/>
        <item x="258"/>
        <item x="537"/>
        <item x="559"/>
        <item x="870"/>
        <item x="6"/>
        <item x="184"/>
        <item x="277"/>
        <item x="56"/>
        <item x="11"/>
        <item x="0"/>
        <item x="219"/>
        <item x="502"/>
        <item x="884"/>
        <item x="661"/>
        <item x="917"/>
        <item x="945"/>
        <item x="899"/>
        <item x="971"/>
        <item x="1109"/>
        <item x="918"/>
        <item x="887"/>
        <item x="927"/>
        <item x="512"/>
        <item x="385"/>
        <item x="421"/>
        <item x="946"/>
        <item x="172"/>
        <item x="308"/>
        <item x="919"/>
        <item x="31"/>
        <item x="900"/>
        <item x="513"/>
        <item x="686"/>
        <item x="351"/>
        <item x="75"/>
        <item x="130"/>
        <item x="551"/>
        <item x="947"/>
        <item x="406"/>
        <item x="514"/>
        <item x="86"/>
        <item x="547"/>
        <item x="948"/>
        <item x="87"/>
        <item x="160"/>
        <item x="993"/>
        <item x="40"/>
        <item x="78"/>
        <item x="548"/>
        <item x="1118"/>
        <item x="1049"/>
        <item x="384"/>
        <item x="176"/>
        <item x="1085"/>
        <item x="17"/>
        <item x="259"/>
        <item x="743"/>
        <item x="749"/>
        <item x="189"/>
        <item x="724"/>
        <item x="823"/>
        <item x="356"/>
        <item x="220"/>
        <item x="147"/>
        <item x="245"/>
        <item x="154"/>
        <item x="357"/>
        <item x="949"/>
        <item x="732"/>
        <item x="72"/>
        <item x="336"/>
        <item x="92"/>
        <item x="684"/>
        <item x="554"/>
        <item x="60"/>
        <item x="629"/>
        <item x="925"/>
        <item x="276"/>
        <item x="386"/>
        <item x="577"/>
        <item x="296"/>
        <item x="467"/>
        <item x="383"/>
        <item x="540"/>
        <item x="1068"/>
        <item x="578"/>
        <item x="1011"/>
        <item x="1057"/>
        <item x="18"/>
        <item x="1075"/>
        <item x="972"/>
        <item x="330"/>
        <item x="25"/>
        <item x="234"/>
        <item x="750"/>
        <item x="485"/>
        <item x="598"/>
        <item x="648"/>
        <item x="835"/>
        <item x="199"/>
        <item x="652"/>
        <item x="991"/>
        <item x="910"/>
        <item x="860"/>
        <item x="907"/>
        <item x="477"/>
        <item x="676"/>
        <item x="225"/>
        <item x="906"/>
        <item x="3"/>
        <item x="129"/>
        <item x="1069"/>
        <item x="233"/>
        <item x="950"/>
        <item x="1029"/>
        <item x="767"/>
        <item x="358"/>
        <item x="1070"/>
        <item x="1048"/>
        <item x="1012"/>
        <item x="951"/>
        <item x="1009"/>
        <item x="744"/>
        <item x="952"/>
        <item x="228"/>
        <item x="695"/>
        <item x="1110"/>
        <item x="694"/>
        <item x="391"/>
        <item x="1007"/>
        <item x="805"/>
        <item x="824"/>
        <item x="687"/>
        <item x="58"/>
        <item x="1"/>
        <item x="331"/>
        <item x="80"/>
        <item x="120"/>
        <item x="260"/>
        <item x="549"/>
        <item x="195"/>
        <item x="953"/>
        <item x="376"/>
        <item x="46"/>
        <item x="26"/>
        <item x="958"/>
        <item x="298"/>
        <item x="486"/>
        <item x="352"/>
        <item x="229"/>
        <item x="1030"/>
        <item x="214"/>
        <item x="135"/>
        <item x="1031"/>
        <item x="450"/>
        <item x="51"/>
        <item x="700"/>
        <item x="1042"/>
        <item x="468"/>
        <item x="20"/>
        <item x="322"/>
        <item x="768"/>
        <item x="112"/>
        <item x="286"/>
        <item x="422"/>
        <item x="774"/>
        <item x="911"/>
        <item x="204"/>
        <item x="109"/>
        <item x="489"/>
        <item x="905"/>
        <item x="813"/>
        <item x="251"/>
        <item x="833"/>
        <item x="538"/>
        <item x="1086"/>
        <item x="1076"/>
        <item x="901"/>
        <item x="237"/>
        <item x="1021"/>
        <item x="173"/>
        <item x="469"/>
        <item x="722"/>
        <item x="124"/>
        <item x="796"/>
        <item x="68"/>
        <item x="769"/>
        <item x="775"/>
        <item x="791"/>
        <item x="794"/>
        <item x="1087"/>
        <item x="848"/>
        <item x="1032"/>
        <item x="342"/>
        <item x="1013"/>
        <item x="472"/>
        <item x="885"/>
        <item x="745"/>
        <item x="1033"/>
        <item x="291"/>
        <item x="496"/>
        <item x="497"/>
        <item x="806"/>
        <item x="954"/>
        <item x="194"/>
        <item x="868"/>
        <item x="1034"/>
        <item x="726"/>
        <item x="902"/>
        <item x="1003"/>
        <item x="156"/>
        <item x="1054"/>
        <item x="1071"/>
        <item x="337"/>
        <item x="550"/>
        <item x="977"/>
        <item x="852"/>
        <item x="770"/>
        <item x="403"/>
        <item x="580"/>
        <item x="246"/>
        <item x="247"/>
        <item x="443"/>
        <item x="392"/>
        <item x="372"/>
        <item x="659"/>
        <item x="215"/>
        <item x="834"/>
        <item x="515"/>
        <item x="487"/>
        <item x="143"/>
        <item x="397"/>
        <item x="552"/>
        <item x="33"/>
        <item x="1074"/>
        <item x="311"/>
        <item x="795"/>
        <item x="1004"/>
        <item x="746"/>
        <item x="891"/>
        <item x="1041"/>
        <item x="862"/>
        <item x="144"/>
        <item x="974"/>
        <item x="1035"/>
        <item x="1072"/>
        <item x="599"/>
        <item x="630"/>
        <item x="1073"/>
        <item x="1036"/>
        <item x="451"/>
        <item x="555"/>
        <item x="747"/>
        <item x="180"/>
        <item x="631"/>
        <item x="520"/>
        <item x="1037"/>
        <item x="973"/>
        <item x="152"/>
        <item x="903"/>
        <item x="1113"/>
        <item x="473"/>
        <item x="292"/>
        <item x="171"/>
        <item x="113"/>
        <item x="697"/>
        <item x="35"/>
        <item x="448"/>
        <item x="657"/>
        <item x="434"/>
        <item x="157"/>
        <item x="238"/>
        <item x="886"/>
        <item x="777"/>
        <item x="248"/>
        <item x="503"/>
        <item x="976"/>
        <item x="698"/>
        <item x="727"/>
        <item x="825"/>
        <item x="994"/>
        <item x="685"/>
        <item x="1038"/>
        <item x="876"/>
        <item x="1088"/>
        <item x="488"/>
        <item x="904"/>
        <item x="115"/>
        <item x="249"/>
        <item x="643"/>
        <item x="1059"/>
        <item x="730"/>
        <item x="808"/>
        <item x="107"/>
        <item x="1122"/>
        <item x="678"/>
        <item x="980"/>
        <item x="425"/>
        <item x="380"/>
        <item x="1039"/>
        <item x="557"/>
        <item x="929"/>
        <item x="1043"/>
        <item x="759"/>
        <item x="241"/>
        <item x="981"/>
        <item x="926"/>
        <item x="161"/>
        <item x="1005"/>
        <item x="703"/>
        <item x="449"/>
        <item x="334"/>
        <item x="889"/>
        <item x="1089"/>
        <item x="132"/>
        <item x="435"/>
        <item x="382"/>
        <item x="753"/>
        <item x="600"/>
        <item x="618"/>
        <item x="1014"/>
        <item x="89"/>
        <item x="1006"/>
        <item x="162"/>
        <item x="221"/>
        <item x="826"/>
        <item t="default"/>
      </items>
    </pivotField>
    <pivotField axis="axisRow" subtotalTop="0" showAll="0">
      <items count="7">
        <item x="4"/>
        <item x="5"/>
        <item x="1"/>
        <item x="2"/>
        <item x="0"/>
        <item x="3"/>
        <item t="default"/>
      </items>
    </pivotField>
    <pivotField subtotalTop="0" showAll="0"/>
    <pivotField axis="axisPage" subtotalTop="0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ubtotalTop="0" showAll="0">
      <items count="3">
        <item x="0"/>
        <item x="1"/>
        <item t="default"/>
      </items>
    </pivotField>
    <pivotField numFmtId="164" subtotalTop="0" showAll="0"/>
    <pivotField numFmtId="165" subtotalTop="0" showAll="0"/>
    <pivotField numFmtId="165" subtotalTop="0" showAll="0"/>
    <pivotField axis="axisCol" subtotalTop="0" showAll="0">
      <items count="6">
        <item x="2"/>
        <item x="4"/>
        <item x="0"/>
        <item x="1"/>
        <item x="3"/>
        <item t="default"/>
      </items>
    </pivotField>
    <pivotField subtotalTop="0" showAll="0"/>
    <pivotField subtotalTop="0"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-1"/>
  </pageFields>
  <dataFields count="1">
    <dataField name="Count of Номер Семьи" fld="0" subtotal="count" showDataAs="percentOfTotal" baseField="8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6:G24" firstHeaderRow="1" firstDataRow="2" firstDataCol="1" rowPageCount="1" colPageCount="1"/>
  <pivotFields count="11">
    <pivotField dataField="1" numFmtId="1" subtotalTop="0" showAll="0">
      <items count="1124">
        <item x="205"/>
        <item x="212"/>
        <item x="956"/>
        <item x="800"/>
        <item x="445"/>
        <item x="69"/>
        <item x="345"/>
        <item x="198"/>
        <item x="760"/>
        <item x="452"/>
        <item x="696"/>
        <item x="182"/>
        <item x="442"/>
        <item x="49"/>
        <item x="523"/>
        <item x="122"/>
        <item x="343"/>
        <item x="216"/>
        <item x="997"/>
        <item x="664"/>
        <item x="186"/>
        <item x="1045"/>
        <item x="174"/>
        <item x="809"/>
        <item x="619"/>
        <item x="752"/>
        <item x="931"/>
        <item x="960"/>
        <item x="689"/>
        <item x="438"/>
        <item x="782"/>
        <item x="177"/>
        <item x="1046"/>
        <item x="680"/>
        <item x="816"/>
        <item x="1077"/>
        <item x="849"/>
        <item x="524"/>
        <item x="562"/>
        <item x="504"/>
        <item x="254"/>
        <item x="327"/>
        <item x="761"/>
        <item x="299"/>
        <item x="772"/>
        <item x="261"/>
        <item x="1116"/>
        <item x="181"/>
        <item x="102"/>
        <item x="563"/>
        <item x="116"/>
        <item x="998"/>
        <item x="999"/>
        <item x="728"/>
        <item x="961"/>
        <item x="217"/>
        <item x="801"/>
        <item x="1103"/>
        <item x="393"/>
        <item x="542"/>
        <item x="346"/>
        <item x="239"/>
        <item x="921"/>
        <item x="857"/>
        <item x="962"/>
        <item x="837"/>
        <item x="492"/>
        <item x="354"/>
        <item x="525"/>
        <item x="300"/>
        <item x="827"/>
        <item x="288"/>
        <item x="783"/>
        <item x="399"/>
        <item x="733"/>
        <item x="301"/>
        <item x="166"/>
        <item x="932"/>
        <item x="313"/>
        <item x="792"/>
        <item x="53"/>
        <item x="784"/>
        <item x="734"/>
        <item x="729"/>
        <item x="670"/>
        <item x="735"/>
        <item x="187"/>
        <item x="620"/>
        <item x="875"/>
        <item x="377"/>
        <item x="201"/>
        <item x="153"/>
        <item x="458"/>
        <item x="858"/>
        <item x="712"/>
        <item x="705"/>
        <item x="543"/>
        <item x="762"/>
        <item x="67"/>
        <item x="561"/>
        <item x="706"/>
        <item x="933"/>
        <item x="649"/>
        <item x="314"/>
        <item x="842"/>
        <item x="989"/>
        <item x="283"/>
        <item x="836"/>
        <item x="401"/>
        <item x="713"/>
        <item x="1078"/>
        <item x="459"/>
        <item x="526"/>
        <item x="859"/>
        <item x="167"/>
        <item x="493"/>
        <item x="650"/>
        <item x="159"/>
        <item x="963"/>
        <item x="1000"/>
        <item x="589"/>
        <item x="240"/>
        <item x="117"/>
        <item x="369"/>
        <item x="302"/>
        <item x="558"/>
        <item x="353"/>
        <item x="388"/>
        <item x="324"/>
        <item x="979"/>
        <item x="564"/>
        <item x="841"/>
        <item x="1055"/>
        <item x="1112"/>
        <item x="518"/>
        <item x="163"/>
        <item x="506"/>
        <item x="312"/>
        <item x="326"/>
        <item x="325"/>
        <item x="890"/>
        <item x="701"/>
        <item x="1056"/>
        <item x="494"/>
        <item x="1022"/>
        <item x="1093"/>
        <item x="1044"/>
        <item x="505"/>
        <item x="527"/>
        <item x="519"/>
        <item x="843"/>
        <item x="1008"/>
        <item x="773"/>
        <item x="797"/>
        <item x="984"/>
        <item x="88"/>
        <item x="1091"/>
        <item x="711"/>
        <item x="710"/>
        <item x="758"/>
        <item x="407"/>
        <item x="810"/>
        <item x="114"/>
        <item x="123"/>
        <item x="158"/>
        <item x="424"/>
        <item x="560"/>
        <item x="850"/>
        <item x="617"/>
        <item x="811"/>
        <item x="456"/>
        <item x="275"/>
        <item x="663"/>
        <item x="242"/>
        <item x="516"/>
        <item x="108"/>
        <item x="844"/>
        <item x="79"/>
        <item x="236"/>
        <item x="776"/>
        <item x="223"/>
        <item x="355"/>
        <item x="475"/>
        <item x="928"/>
        <item x="583"/>
        <item x="544"/>
        <item x="211"/>
        <item x="867"/>
        <item x="666"/>
        <item x="338"/>
        <item x="273"/>
        <item x="243"/>
        <item x="141"/>
        <item x="1001"/>
        <item x="590"/>
        <item x="231"/>
        <item x="14"/>
        <item x="588"/>
        <item x="565"/>
        <item x="1019"/>
        <item x="982"/>
        <item x="106"/>
        <item x="587"/>
        <item x="1023"/>
        <item x="1094"/>
        <item x="847"/>
        <item x="736"/>
        <item x="830"/>
        <item x="667"/>
        <item x="863"/>
        <item x="785"/>
        <item x="90"/>
        <item x="714"/>
        <item x="591"/>
        <item x="279"/>
        <item x="660"/>
        <item x="755"/>
        <item x="436"/>
        <item x="556"/>
        <item x="413"/>
        <item x="908"/>
        <item x="592"/>
        <item x="528"/>
        <item x="985"/>
        <item x="178"/>
        <item x="507"/>
        <item x="912"/>
        <item x="522"/>
        <item x="427"/>
        <item x="408"/>
        <item x="517"/>
        <item x="207"/>
        <item x="359"/>
        <item x="604"/>
        <item x="95"/>
        <item x="416"/>
        <item x="688"/>
        <item x="634"/>
        <item x="255"/>
        <item x="370"/>
        <item x="668"/>
        <item x="444"/>
        <item x="270"/>
        <item x="309"/>
        <item x="605"/>
        <item x="188"/>
        <item x="476"/>
        <item x="446"/>
        <item x="1060"/>
        <item x="303"/>
        <item x="47"/>
        <item x="262"/>
        <item x="412"/>
        <item x="704"/>
        <item x="105"/>
        <item x="12"/>
        <item x="323"/>
        <item x="266"/>
        <item x="521"/>
        <item x="289"/>
        <item x="606"/>
        <item x="118"/>
        <item x="814"/>
        <item x="529"/>
        <item x="1024"/>
        <item x="347"/>
        <item x="1079"/>
        <item x="1050"/>
        <item x="15"/>
        <item x="479"/>
        <item x="632"/>
        <item x="817"/>
        <item x="341"/>
        <item x="725"/>
        <item x="690"/>
        <item x="545"/>
        <item x="252"/>
        <item x="566"/>
        <item x="802"/>
        <item x="460"/>
        <item x="1002"/>
        <item x="224"/>
        <item x="480"/>
        <item x="584"/>
        <item x="807"/>
        <item x="373"/>
        <item x="920"/>
        <item x="708"/>
        <item x="297"/>
        <item x="348"/>
        <item x="428"/>
        <item x="50"/>
        <item x="786"/>
        <item x="1090"/>
        <item x="1080"/>
        <item x="602"/>
        <item x="964"/>
        <item x="645"/>
        <item x="366"/>
        <item x="992"/>
        <item x="367"/>
        <item x="978"/>
        <item x="190"/>
        <item x="635"/>
        <item x="567"/>
        <item x="642"/>
        <item x="990"/>
        <item x="671"/>
        <item x="332"/>
        <item x="553"/>
        <item x="731"/>
        <item x="864"/>
        <item x="934"/>
        <item x="499"/>
        <item x="658"/>
        <item x="787"/>
        <item x="470"/>
        <item x="1121"/>
        <item x="333"/>
        <item x="1104"/>
        <item x="715"/>
        <item x="723"/>
        <item x="757"/>
        <item x="788"/>
        <item x="812"/>
        <item x="935"/>
        <item x="398"/>
        <item x="400"/>
        <item x="789"/>
        <item x="1105"/>
        <item x="1102"/>
        <item x="268"/>
        <item x="500"/>
        <item x="877"/>
        <item x="1051"/>
        <item x="828"/>
        <item x="439"/>
        <item x="1061"/>
        <item x="672"/>
        <item x="737"/>
        <item x="66"/>
        <item x="651"/>
        <item x="1098"/>
        <item x="936"/>
        <item x="315"/>
        <item x="335"/>
        <item x="183"/>
        <item x="738"/>
        <item x="778"/>
        <item x="654"/>
        <item x="803"/>
        <item x="185"/>
        <item x="103"/>
        <item x="375"/>
        <item x="455"/>
        <item x="139"/>
        <item x="294"/>
        <item x="983"/>
        <item x="653"/>
        <item x="461"/>
        <item x="613"/>
        <item x="1101"/>
        <item x="612"/>
        <item x="647"/>
        <item x="582"/>
        <item x="539"/>
        <item x="530"/>
        <item x="200"/>
        <item x="1081"/>
        <item x="614"/>
        <item x="633"/>
        <item x="394"/>
        <item x="138"/>
        <item x="437"/>
        <item x="453"/>
        <item x="986"/>
        <item x="284"/>
        <item x="508"/>
        <item x="405"/>
        <item x="381"/>
        <item x="798"/>
        <item x="509"/>
        <item x="888"/>
        <item x="253"/>
        <item x="1119"/>
        <item x="871"/>
        <item x="19"/>
        <item x="646"/>
        <item x="271"/>
        <item x="491"/>
        <item x="607"/>
        <item x="851"/>
        <item x="368"/>
        <item x="202"/>
        <item x="909"/>
        <item x="121"/>
        <item x="531"/>
        <item x="866"/>
        <item x="677"/>
        <item x="846"/>
        <item x="1010"/>
        <item x="641"/>
        <item x="621"/>
        <item x="133"/>
        <item x="396"/>
        <item x="360"/>
        <item x="1100"/>
        <item x="622"/>
        <item x="1018"/>
        <item x="389"/>
        <item x="390"/>
        <item x="623"/>
        <item x="1114"/>
        <item x="965"/>
        <item x="616"/>
        <item x="854"/>
        <item x="287"/>
        <item x="1120"/>
        <item x="707"/>
        <item x="937"/>
        <item x="361"/>
        <item x="593"/>
        <item x="387"/>
        <item x="290"/>
        <item x="1062"/>
        <item x="739"/>
        <item x="316"/>
        <item x="568"/>
        <item x="365"/>
        <item x="546"/>
        <item x="1047"/>
        <item x="1063"/>
        <item x="608"/>
        <item x="569"/>
        <item x="70"/>
        <item x="74"/>
        <item x="865"/>
        <item x="609"/>
        <item x="804"/>
        <item x="317"/>
        <item x="318"/>
        <item x="594"/>
        <item x="975"/>
        <item x="716"/>
        <item x="763"/>
        <item x="570"/>
        <item x="571"/>
        <item x="125"/>
        <item x="938"/>
        <item x="717"/>
        <item x="681"/>
        <item x="939"/>
        <item x="471"/>
        <item x="532"/>
        <item x="71"/>
        <item x="873"/>
        <item x="164"/>
        <item x="62"/>
        <item x="44"/>
        <item x="29"/>
        <item x="10"/>
        <item x="603"/>
        <item x="99"/>
        <item x="673"/>
        <item x="111"/>
        <item x="879"/>
        <item x="148"/>
        <item x="278"/>
        <item x="740"/>
        <item x="100"/>
        <item x="1020"/>
        <item x="417"/>
        <item x="1064"/>
        <item x="880"/>
        <item x="304"/>
        <item x="319"/>
        <item x="30"/>
        <item x="655"/>
        <item x="43"/>
        <item x="881"/>
        <item x="418"/>
        <item x="64"/>
        <item x="9"/>
        <item x="21"/>
        <item x="781"/>
        <item x="196"/>
        <item x="168"/>
        <item x="209"/>
        <item x="281"/>
        <item x="818"/>
        <item x="913"/>
        <item x="34"/>
        <item x="966"/>
        <item x="764"/>
        <item x="244"/>
        <item x="462"/>
        <item x="84"/>
        <item x="126"/>
        <item x="226"/>
        <item x="48"/>
        <item x="790"/>
        <item x="831"/>
        <item x="155"/>
        <item x="490"/>
        <item x="419"/>
        <item x="510"/>
        <item x="145"/>
        <item x="24"/>
        <item x="894"/>
        <item x="718"/>
        <item x="45"/>
        <item x="495"/>
        <item x="674"/>
        <item x="1065"/>
        <item x="409"/>
        <item x="415"/>
        <item x="892"/>
        <item x="150"/>
        <item x="136"/>
        <item x="1016"/>
        <item x="719"/>
        <item x="940"/>
        <item x="1058"/>
        <item x="28"/>
        <item x="282"/>
        <item x="101"/>
        <item x="959"/>
        <item x="410"/>
        <item x="1066"/>
        <item x="878"/>
        <item x="967"/>
        <item x="914"/>
        <item x="81"/>
        <item x="624"/>
        <item x="572"/>
        <item x="305"/>
        <item x="1095"/>
        <item x="987"/>
        <item x="819"/>
        <item x="1106"/>
        <item x="76"/>
        <item x="855"/>
        <item x="5"/>
        <item x="269"/>
        <item x="765"/>
        <item x="872"/>
        <item x="573"/>
        <item x="23"/>
        <item x="320"/>
        <item x="893"/>
        <item x="751"/>
        <item x="861"/>
        <item x="481"/>
        <item x="856"/>
        <item x="853"/>
        <item x="420"/>
        <item x="839"/>
        <item x="1107"/>
        <item x="581"/>
        <item x="720"/>
        <item x="766"/>
        <item x="1092"/>
        <item x="922"/>
        <item x="636"/>
        <item x="637"/>
        <item x="411"/>
        <item x="915"/>
        <item x="175"/>
        <item x="625"/>
        <item x="140"/>
        <item x="395"/>
        <item x="222"/>
        <item x="54"/>
        <item x="36"/>
        <item x="638"/>
        <item x="968"/>
        <item x="127"/>
        <item x="93"/>
        <item x="13"/>
        <item x="96"/>
        <item x="91"/>
        <item x="610"/>
        <item x="626"/>
        <item x="59"/>
        <item x="134"/>
        <item x="665"/>
        <item x="306"/>
        <item x="699"/>
        <item x="94"/>
        <item x="57"/>
        <item x="39"/>
        <item x="601"/>
        <item x="8"/>
        <item x="85"/>
        <item x="82"/>
        <item x="498"/>
        <item x="627"/>
        <item x="61"/>
        <item x="1082"/>
        <item x="996"/>
        <item x="941"/>
        <item x="2"/>
        <item x="1117"/>
        <item x="682"/>
        <item x="1111"/>
        <item x="263"/>
        <item x="142"/>
        <item x="574"/>
        <item x="691"/>
        <item x="414"/>
        <item x="83"/>
        <item x="1025"/>
        <item x="820"/>
        <item x="869"/>
        <item x="440"/>
        <item x="77"/>
        <item x="595"/>
        <item x="256"/>
        <item x="882"/>
        <item x="307"/>
        <item x="429"/>
        <item x="441"/>
        <item x="969"/>
        <item x="119"/>
        <item x="955"/>
        <item x="208"/>
        <item x="98"/>
        <item x="692"/>
        <item x="197"/>
        <item x="883"/>
        <item x="942"/>
        <item x="293"/>
        <item x="191"/>
        <item x="170"/>
        <item x="832"/>
        <item x="454"/>
        <item x="845"/>
        <item x="895"/>
        <item x="218"/>
        <item x="675"/>
        <item x="596"/>
        <item x="38"/>
        <item x="639"/>
        <item x="426"/>
        <item x="295"/>
        <item x="151"/>
        <item x="702"/>
        <item x="669"/>
        <item x="793"/>
        <item x="995"/>
        <item x="344"/>
        <item x="474"/>
        <item x="285"/>
        <item x="896"/>
        <item x="815"/>
        <item x="4"/>
        <item x="165"/>
        <item x="146"/>
        <item x="65"/>
        <item x="640"/>
        <item x="1017"/>
        <item x="41"/>
        <item x="264"/>
        <item x="988"/>
        <item x="644"/>
        <item x="257"/>
        <item x="137"/>
        <item x="923"/>
        <item x="192"/>
        <item x="267"/>
        <item x="27"/>
        <item x="721"/>
        <item x="1083"/>
        <item x="1108"/>
        <item x="55"/>
        <item x="42"/>
        <item x="7"/>
        <item x="430"/>
        <item x="431"/>
        <item x="169"/>
        <item x="970"/>
        <item x="748"/>
        <item x="378"/>
        <item x="362"/>
        <item x="533"/>
        <item x="379"/>
        <item x="250"/>
        <item x="349"/>
        <item x="1099"/>
        <item x="838"/>
        <item x="374"/>
        <item x="1067"/>
        <item x="423"/>
        <item x="104"/>
        <item x="874"/>
        <item x="756"/>
        <item x="328"/>
        <item x="754"/>
        <item x="235"/>
        <item x="179"/>
        <item x="482"/>
        <item x="149"/>
        <item x="206"/>
        <item x="1026"/>
        <item x="463"/>
        <item x="280"/>
        <item x="741"/>
        <item x="662"/>
        <item x="478"/>
        <item x="63"/>
        <item x="1040"/>
        <item x="656"/>
        <item x="73"/>
        <item x="339"/>
        <item x="611"/>
        <item x="321"/>
        <item x="404"/>
        <item x="821"/>
        <item x="586"/>
        <item x="1096"/>
        <item x="464"/>
        <item x="265"/>
        <item x="683"/>
        <item x="957"/>
        <item x="585"/>
        <item x="363"/>
        <item x="97"/>
        <item x="709"/>
        <item x="364"/>
        <item x="771"/>
        <item x="210"/>
        <item x="432"/>
        <item x="37"/>
        <item x="52"/>
        <item x="402"/>
        <item x="110"/>
        <item x="822"/>
        <item x="575"/>
        <item x="433"/>
        <item x="597"/>
        <item x="274"/>
        <item x="22"/>
        <item x="679"/>
        <item x="501"/>
        <item x="779"/>
        <item x="943"/>
        <item x="465"/>
        <item x="16"/>
        <item x="213"/>
        <item x="916"/>
        <item x="1097"/>
        <item x="340"/>
        <item x="511"/>
        <item x="131"/>
        <item x="693"/>
        <item x="227"/>
        <item x="483"/>
        <item x="329"/>
        <item x="371"/>
        <item x="447"/>
        <item x="897"/>
        <item x="32"/>
        <item x="742"/>
        <item x="230"/>
        <item x="457"/>
        <item x="1027"/>
        <item x="1052"/>
        <item x="924"/>
        <item x="829"/>
        <item x="898"/>
        <item x="1084"/>
        <item x="944"/>
        <item x="534"/>
        <item x="128"/>
        <item x="628"/>
        <item x="1053"/>
        <item x="466"/>
        <item x="1115"/>
        <item x="350"/>
        <item x="310"/>
        <item x="579"/>
        <item x="535"/>
        <item x="1028"/>
        <item x="272"/>
        <item x="840"/>
        <item x="799"/>
        <item x="780"/>
        <item x="1015"/>
        <item x="536"/>
        <item x="484"/>
        <item x="930"/>
        <item x="541"/>
        <item x="576"/>
        <item x="193"/>
        <item x="615"/>
        <item x="203"/>
        <item x="232"/>
        <item x="258"/>
        <item x="537"/>
        <item x="559"/>
        <item x="870"/>
        <item x="6"/>
        <item x="184"/>
        <item x="277"/>
        <item x="56"/>
        <item x="11"/>
        <item x="0"/>
        <item x="219"/>
        <item x="502"/>
        <item x="884"/>
        <item x="661"/>
        <item x="917"/>
        <item x="945"/>
        <item x="899"/>
        <item x="971"/>
        <item x="1109"/>
        <item x="918"/>
        <item x="887"/>
        <item x="927"/>
        <item x="512"/>
        <item x="385"/>
        <item x="421"/>
        <item x="946"/>
        <item x="172"/>
        <item x="308"/>
        <item x="919"/>
        <item x="31"/>
        <item x="900"/>
        <item x="513"/>
        <item x="686"/>
        <item x="351"/>
        <item x="75"/>
        <item x="130"/>
        <item x="551"/>
        <item x="947"/>
        <item x="406"/>
        <item x="514"/>
        <item x="86"/>
        <item x="547"/>
        <item x="948"/>
        <item x="87"/>
        <item x="160"/>
        <item x="993"/>
        <item x="40"/>
        <item x="78"/>
        <item x="548"/>
        <item x="1118"/>
        <item x="1049"/>
        <item x="384"/>
        <item x="176"/>
        <item x="1085"/>
        <item x="17"/>
        <item x="259"/>
        <item x="743"/>
        <item x="749"/>
        <item x="189"/>
        <item x="724"/>
        <item x="823"/>
        <item x="356"/>
        <item x="220"/>
        <item x="147"/>
        <item x="245"/>
        <item x="154"/>
        <item x="357"/>
        <item x="949"/>
        <item x="732"/>
        <item x="72"/>
        <item x="336"/>
        <item x="92"/>
        <item x="684"/>
        <item x="554"/>
        <item x="60"/>
        <item x="629"/>
        <item x="925"/>
        <item x="276"/>
        <item x="386"/>
        <item x="577"/>
        <item x="296"/>
        <item x="467"/>
        <item x="383"/>
        <item x="540"/>
        <item x="1068"/>
        <item x="578"/>
        <item x="1011"/>
        <item x="1057"/>
        <item x="18"/>
        <item x="1075"/>
        <item x="972"/>
        <item x="330"/>
        <item x="25"/>
        <item x="234"/>
        <item x="750"/>
        <item x="485"/>
        <item x="598"/>
        <item x="648"/>
        <item x="835"/>
        <item x="199"/>
        <item x="652"/>
        <item x="991"/>
        <item x="910"/>
        <item x="860"/>
        <item x="907"/>
        <item x="477"/>
        <item x="676"/>
        <item x="225"/>
        <item x="906"/>
        <item x="3"/>
        <item x="129"/>
        <item x="1069"/>
        <item x="233"/>
        <item x="950"/>
        <item x="1029"/>
        <item x="767"/>
        <item x="358"/>
        <item x="1070"/>
        <item x="1048"/>
        <item x="1012"/>
        <item x="951"/>
        <item x="1009"/>
        <item x="744"/>
        <item x="952"/>
        <item x="228"/>
        <item x="695"/>
        <item x="1110"/>
        <item x="694"/>
        <item x="391"/>
        <item x="1007"/>
        <item x="805"/>
        <item x="824"/>
        <item x="687"/>
        <item x="58"/>
        <item x="1"/>
        <item x="331"/>
        <item x="80"/>
        <item x="120"/>
        <item x="260"/>
        <item x="549"/>
        <item x="195"/>
        <item x="953"/>
        <item x="376"/>
        <item x="46"/>
        <item x="26"/>
        <item x="958"/>
        <item x="298"/>
        <item x="486"/>
        <item x="352"/>
        <item x="229"/>
        <item x="1030"/>
        <item x="214"/>
        <item x="135"/>
        <item x="1031"/>
        <item x="450"/>
        <item x="51"/>
        <item x="700"/>
        <item x="1042"/>
        <item x="468"/>
        <item x="20"/>
        <item x="322"/>
        <item x="768"/>
        <item x="112"/>
        <item x="286"/>
        <item x="422"/>
        <item x="774"/>
        <item x="911"/>
        <item x="204"/>
        <item x="109"/>
        <item x="489"/>
        <item x="905"/>
        <item x="813"/>
        <item x="251"/>
        <item x="833"/>
        <item x="538"/>
        <item x="1086"/>
        <item x="1076"/>
        <item x="901"/>
        <item x="237"/>
        <item x="1021"/>
        <item x="173"/>
        <item x="469"/>
        <item x="722"/>
        <item x="124"/>
        <item x="796"/>
        <item x="68"/>
        <item x="769"/>
        <item x="775"/>
        <item x="791"/>
        <item x="794"/>
        <item x="1087"/>
        <item x="848"/>
        <item x="1032"/>
        <item x="342"/>
        <item x="1013"/>
        <item x="472"/>
        <item x="885"/>
        <item x="745"/>
        <item x="1033"/>
        <item x="291"/>
        <item x="496"/>
        <item x="497"/>
        <item x="806"/>
        <item x="954"/>
        <item x="194"/>
        <item x="868"/>
        <item x="1034"/>
        <item x="726"/>
        <item x="902"/>
        <item x="1003"/>
        <item x="156"/>
        <item x="1054"/>
        <item x="1071"/>
        <item x="337"/>
        <item x="550"/>
        <item x="977"/>
        <item x="852"/>
        <item x="770"/>
        <item x="403"/>
        <item x="580"/>
        <item x="246"/>
        <item x="247"/>
        <item x="443"/>
        <item x="392"/>
        <item x="372"/>
        <item x="659"/>
        <item x="215"/>
        <item x="834"/>
        <item x="515"/>
        <item x="487"/>
        <item x="143"/>
        <item x="397"/>
        <item x="552"/>
        <item x="33"/>
        <item x="1074"/>
        <item x="311"/>
        <item x="795"/>
        <item x="1004"/>
        <item x="746"/>
        <item x="891"/>
        <item x="1041"/>
        <item x="862"/>
        <item x="144"/>
        <item x="974"/>
        <item x="1035"/>
        <item x="1072"/>
        <item x="599"/>
        <item x="630"/>
        <item x="1073"/>
        <item x="1036"/>
        <item x="451"/>
        <item x="555"/>
        <item x="747"/>
        <item x="180"/>
        <item x="631"/>
        <item x="520"/>
        <item x="1037"/>
        <item x="973"/>
        <item x="152"/>
        <item x="903"/>
        <item x="1113"/>
        <item x="473"/>
        <item x="292"/>
        <item x="171"/>
        <item x="113"/>
        <item x="697"/>
        <item x="35"/>
        <item x="448"/>
        <item x="657"/>
        <item x="434"/>
        <item x="157"/>
        <item x="238"/>
        <item x="886"/>
        <item x="777"/>
        <item x="248"/>
        <item x="503"/>
        <item x="976"/>
        <item x="698"/>
        <item x="727"/>
        <item x="825"/>
        <item x="994"/>
        <item x="685"/>
        <item x="1038"/>
        <item x="876"/>
        <item x="1088"/>
        <item x="488"/>
        <item x="904"/>
        <item x="115"/>
        <item x="249"/>
        <item x="643"/>
        <item x="1059"/>
        <item x="730"/>
        <item x="808"/>
        <item x="107"/>
        <item x="1122"/>
        <item x="678"/>
        <item x="980"/>
        <item x="425"/>
        <item x="380"/>
        <item x="1039"/>
        <item x="557"/>
        <item x="929"/>
        <item x="1043"/>
        <item x="759"/>
        <item x="241"/>
        <item x="981"/>
        <item x="926"/>
        <item x="161"/>
        <item x="1005"/>
        <item x="703"/>
        <item x="449"/>
        <item x="334"/>
        <item x="889"/>
        <item x="1089"/>
        <item x="132"/>
        <item x="435"/>
        <item x="382"/>
        <item x="753"/>
        <item x="600"/>
        <item x="618"/>
        <item x="1014"/>
        <item x="89"/>
        <item x="1006"/>
        <item x="162"/>
        <item x="221"/>
        <item x="826"/>
        <item t="default"/>
      </items>
    </pivotField>
    <pivotField axis="axisRow" subtotalTop="0" showAll="0">
      <items count="7">
        <item x="4"/>
        <item x="5"/>
        <item x="1"/>
        <item x="2"/>
        <item x="0"/>
        <item x="3"/>
        <item t="default"/>
      </items>
    </pivotField>
    <pivotField subtotalTop="0" showAll="0"/>
    <pivotField subtotalTop="0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subtotalTop="0" multipleItemSelectionAllowed="1" showAll="0">
      <items count="3">
        <item h="1" x="0"/>
        <item x="1"/>
        <item t="default"/>
      </items>
    </pivotField>
    <pivotField numFmtId="164" subtotalTop="0" showAll="0"/>
    <pivotField numFmtId="165" subtotalTop="0" showAll="0"/>
    <pivotField numFmtId="165" subtotalTop="0" showAll="0"/>
    <pivotField axis="axisCol" subtotalTop="0" showAll="0">
      <items count="6">
        <item x="2"/>
        <item x="4"/>
        <item x="0"/>
        <item x="1"/>
        <item x="3"/>
        <item t="default"/>
      </items>
    </pivotField>
    <pivotField subtotalTop="0" showAll="0"/>
    <pivotField subtotalTop="0"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4" hier="-1"/>
  </pageFields>
  <dataFields count="1">
    <dataField name="Count of Номер Семьи" fld="0" subtotal="count" showDataAs="percentOfTotal" baseField="8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0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3:B30" firstHeaderRow="1" firstDataRow="1" firstDataCol="1"/>
  <pivotFields count="11">
    <pivotField dataField="1" numFmtId="1" showAll="0">
      <items count="1124">
        <item x="205"/>
        <item x="212"/>
        <item x="956"/>
        <item x="800"/>
        <item x="445"/>
        <item x="69"/>
        <item x="345"/>
        <item x="198"/>
        <item x="760"/>
        <item x="452"/>
        <item x="696"/>
        <item x="182"/>
        <item x="442"/>
        <item x="49"/>
        <item x="523"/>
        <item x="122"/>
        <item x="343"/>
        <item x="216"/>
        <item x="997"/>
        <item x="664"/>
        <item x="186"/>
        <item x="1045"/>
        <item x="174"/>
        <item x="809"/>
        <item x="619"/>
        <item x="752"/>
        <item x="931"/>
        <item x="960"/>
        <item x="689"/>
        <item x="438"/>
        <item x="782"/>
        <item x="177"/>
        <item x="1046"/>
        <item x="680"/>
        <item x="816"/>
        <item x="1077"/>
        <item x="849"/>
        <item x="524"/>
        <item x="562"/>
        <item x="504"/>
        <item x="254"/>
        <item x="327"/>
        <item x="761"/>
        <item x="299"/>
        <item x="772"/>
        <item x="261"/>
        <item x="1116"/>
        <item x="181"/>
        <item x="102"/>
        <item x="563"/>
        <item x="116"/>
        <item x="998"/>
        <item x="999"/>
        <item x="728"/>
        <item x="961"/>
        <item x="217"/>
        <item x="801"/>
        <item x="1103"/>
        <item x="393"/>
        <item x="542"/>
        <item x="346"/>
        <item x="239"/>
        <item x="921"/>
        <item x="857"/>
        <item x="962"/>
        <item x="837"/>
        <item x="492"/>
        <item x="354"/>
        <item x="525"/>
        <item x="300"/>
        <item x="827"/>
        <item x="288"/>
        <item x="783"/>
        <item x="399"/>
        <item x="733"/>
        <item x="301"/>
        <item x="166"/>
        <item x="932"/>
        <item x="313"/>
        <item x="792"/>
        <item x="53"/>
        <item x="784"/>
        <item x="734"/>
        <item x="729"/>
        <item x="670"/>
        <item x="735"/>
        <item x="187"/>
        <item x="620"/>
        <item x="875"/>
        <item x="377"/>
        <item x="201"/>
        <item x="153"/>
        <item x="458"/>
        <item x="858"/>
        <item x="712"/>
        <item x="705"/>
        <item x="543"/>
        <item x="762"/>
        <item x="67"/>
        <item x="561"/>
        <item x="706"/>
        <item x="933"/>
        <item x="649"/>
        <item x="314"/>
        <item x="842"/>
        <item x="989"/>
        <item x="283"/>
        <item x="836"/>
        <item x="401"/>
        <item x="713"/>
        <item x="1078"/>
        <item x="459"/>
        <item x="526"/>
        <item x="859"/>
        <item x="167"/>
        <item x="493"/>
        <item x="650"/>
        <item x="159"/>
        <item x="963"/>
        <item x="1000"/>
        <item x="589"/>
        <item x="240"/>
        <item x="117"/>
        <item x="369"/>
        <item x="302"/>
        <item x="558"/>
        <item x="353"/>
        <item x="388"/>
        <item x="324"/>
        <item x="979"/>
        <item x="564"/>
        <item x="841"/>
        <item x="1055"/>
        <item x="1112"/>
        <item x="518"/>
        <item x="163"/>
        <item x="506"/>
        <item x="312"/>
        <item x="326"/>
        <item x="325"/>
        <item x="890"/>
        <item x="701"/>
        <item x="1056"/>
        <item x="494"/>
        <item x="1022"/>
        <item x="1093"/>
        <item x="1044"/>
        <item x="505"/>
        <item x="527"/>
        <item x="519"/>
        <item x="843"/>
        <item x="1008"/>
        <item x="773"/>
        <item x="797"/>
        <item x="984"/>
        <item x="88"/>
        <item x="1091"/>
        <item x="711"/>
        <item x="710"/>
        <item x="758"/>
        <item x="407"/>
        <item x="810"/>
        <item x="114"/>
        <item x="123"/>
        <item x="158"/>
        <item x="424"/>
        <item x="560"/>
        <item x="850"/>
        <item x="617"/>
        <item x="811"/>
        <item x="456"/>
        <item x="275"/>
        <item x="663"/>
        <item x="242"/>
        <item x="516"/>
        <item x="108"/>
        <item x="844"/>
        <item x="79"/>
        <item x="236"/>
        <item x="776"/>
        <item x="223"/>
        <item x="355"/>
        <item x="475"/>
        <item x="928"/>
        <item x="583"/>
        <item x="544"/>
        <item x="211"/>
        <item x="867"/>
        <item x="666"/>
        <item x="338"/>
        <item x="273"/>
        <item x="243"/>
        <item x="141"/>
        <item x="1001"/>
        <item x="590"/>
        <item x="231"/>
        <item x="14"/>
        <item x="588"/>
        <item x="565"/>
        <item x="1019"/>
        <item x="982"/>
        <item x="106"/>
        <item x="587"/>
        <item x="1023"/>
        <item x="1094"/>
        <item x="847"/>
        <item x="736"/>
        <item x="830"/>
        <item x="667"/>
        <item x="863"/>
        <item x="785"/>
        <item x="90"/>
        <item x="714"/>
        <item x="591"/>
        <item x="279"/>
        <item x="660"/>
        <item x="755"/>
        <item x="436"/>
        <item x="556"/>
        <item x="413"/>
        <item x="908"/>
        <item x="592"/>
        <item x="528"/>
        <item x="985"/>
        <item x="178"/>
        <item x="507"/>
        <item x="912"/>
        <item x="522"/>
        <item x="427"/>
        <item x="408"/>
        <item x="517"/>
        <item x="207"/>
        <item x="359"/>
        <item x="604"/>
        <item x="95"/>
        <item x="416"/>
        <item x="688"/>
        <item x="634"/>
        <item x="255"/>
        <item x="370"/>
        <item x="668"/>
        <item x="444"/>
        <item x="270"/>
        <item x="309"/>
        <item x="605"/>
        <item x="188"/>
        <item x="476"/>
        <item x="446"/>
        <item x="1060"/>
        <item x="303"/>
        <item x="47"/>
        <item x="262"/>
        <item x="412"/>
        <item x="704"/>
        <item x="105"/>
        <item x="12"/>
        <item x="323"/>
        <item x="266"/>
        <item x="521"/>
        <item x="289"/>
        <item x="606"/>
        <item x="118"/>
        <item x="814"/>
        <item x="529"/>
        <item x="1024"/>
        <item x="347"/>
        <item x="1079"/>
        <item x="1050"/>
        <item x="15"/>
        <item x="479"/>
        <item x="632"/>
        <item x="817"/>
        <item x="341"/>
        <item x="725"/>
        <item x="690"/>
        <item x="545"/>
        <item x="252"/>
        <item x="566"/>
        <item x="802"/>
        <item x="460"/>
        <item x="1002"/>
        <item x="224"/>
        <item x="480"/>
        <item x="584"/>
        <item x="807"/>
        <item x="373"/>
        <item x="920"/>
        <item x="708"/>
        <item x="297"/>
        <item x="348"/>
        <item x="428"/>
        <item x="50"/>
        <item x="786"/>
        <item x="1090"/>
        <item x="1080"/>
        <item x="602"/>
        <item x="964"/>
        <item x="645"/>
        <item x="366"/>
        <item x="992"/>
        <item x="367"/>
        <item x="978"/>
        <item x="190"/>
        <item x="635"/>
        <item x="567"/>
        <item x="642"/>
        <item x="990"/>
        <item x="671"/>
        <item x="332"/>
        <item x="553"/>
        <item x="731"/>
        <item x="864"/>
        <item x="934"/>
        <item x="499"/>
        <item x="658"/>
        <item x="787"/>
        <item x="470"/>
        <item x="1121"/>
        <item x="333"/>
        <item x="1104"/>
        <item x="715"/>
        <item x="723"/>
        <item x="757"/>
        <item x="788"/>
        <item x="812"/>
        <item x="935"/>
        <item x="398"/>
        <item x="400"/>
        <item x="789"/>
        <item x="1105"/>
        <item x="1102"/>
        <item x="268"/>
        <item x="500"/>
        <item x="877"/>
        <item x="1051"/>
        <item x="828"/>
        <item x="439"/>
        <item x="1061"/>
        <item x="672"/>
        <item x="737"/>
        <item x="66"/>
        <item x="651"/>
        <item x="1098"/>
        <item x="936"/>
        <item x="315"/>
        <item x="335"/>
        <item x="183"/>
        <item x="738"/>
        <item x="778"/>
        <item x="654"/>
        <item x="803"/>
        <item x="185"/>
        <item x="103"/>
        <item x="375"/>
        <item x="455"/>
        <item x="139"/>
        <item x="294"/>
        <item x="983"/>
        <item x="653"/>
        <item x="461"/>
        <item x="613"/>
        <item x="1101"/>
        <item x="612"/>
        <item x="647"/>
        <item x="582"/>
        <item x="539"/>
        <item x="530"/>
        <item x="200"/>
        <item x="1081"/>
        <item x="614"/>
        <item x="633"/>
        <item x="394"/>
        <item x="138"/>
        <item x="437"/>
        <item x="453"/>
        <item x="986"/>
        <item x="284"/>
        <item x="508"/>
        <item x="405"/>
        <item x="381"/>
        <item x="798"/>
        <item x="509"/>
        <item x="888"/>
        <item x="253"/>
        <item x="1119"/>
        <item x="871"/>
        <item x="19"/>
        <item x="646"/>
        <item x="271"/>
        <item x="491"/>
        <item x="607"/>
        <item x="851"/>
        <item x="368"/>
        <item x="202"/>
        <item x="909"/>
        <item x="121"/>
        <item x="531"/>
        <item x="866"/>
        <item x="677"/>
        <item x="846"/>
        <item x="1010"/>
        <item x="641"/>
        <item x="621"/>
        <item x="133"/>
        <item x="396"/>
        <item x="360"/>
        <item x="1100"/>
        <item x="622"/>
        <item x="1018"/>
        <item x="389"/>
        <item x="390"/>
        <item x="623"/>
        <item x="1114"/>
        <item x="965"/>
        <item x="616"/>
        <item x="854"/>
        <item x="287"/>
        <item x="1120"/>
        <item x="707"/>
        <item x="937"/>
        <item x="361"/>
        <item x="593"/>
        <item x="387"/>
        <item x="290"/>
        <item x="1062"/>
        <item x="739"/>
        <item x="316"/>
        <item x="568"/>
        <item x="365"/>
        <item x="546"/>
        <item x="1047"/>
        <item x="1063"/>
        <item x="608"/>
        <item x="569"/>
        <item x="70"/>
        <item x="74"/>
        <item x="865"/>
        <item x="609"/>
        <item x="804"/>
        <item x="317"/>
        <item x="318"/>
        <item x="594"/>
        <item x="975"/>
        <item x="716"/>
        <item x="763"/>
        <item x="570"/>
        <item x="571"/>
        <item x="125"/>
        <item x="938"/>
        <item x="717"/>
        <item x="681"/>
        <item x="939"/>
        <item x="471"/>
        <item x="532"/>
        <item x="71"/>
        <item x="873"/>
        <item x="164"/>
        <item x="62"/>
        <item x="44"/>
        <item x="29"/>
        <item x="10"/>
        <item x="603"/>
        <item x="99"/>
        <item x="673"/>
        <item x="111"/>
        <item x="879"/>
        <item x="148"/>
        <item x="278"/>
        <item x="740"/>
        <item x="100"/>
        <item x="1020"/>
        <item x="417"/>
        <item x="1064"/>
        <item x="880"/>
        <item x="304"/>
        <item x="319"/>
        <item x="30"/>
        <item x="655"/>
        <item x="43"/>
        <item x="881"/>
        <item x="418"/>
        <item x="64"/>
        <item x="9"/>
        <item x="21"/>
        <item x="781"/>
        <item x="196"/>
        <item x="168"/>
        <item x="209"/>
        <item x="281"/>
        <item x="818"/>
        <item x="913"/>
        <item x="34"/>
        <item x="966"/>
        <item x="764"/>
        <item x="244"/>
        <item x="462"/>
        <item x="84"/>
        <item x="126"/>
        <item x="226"/>
        <item x="48"/>
        <item x="790"/>
        <item x="831"/>
        <item x="155"/>
        <item x="490"/>
        <item x="419"/>
        <item x="510"/>
        <item x="145"/>
        <item x="24"/>
        <item x="894"/>
        <item x="718"/>
        <item x="45"/>
        <item x="495"/>
        <item x="674"/>
        <item x="1065"/>
        <item x="409"/>
        <item x="415"/>
        <item x="892"/>
        <item x="150"/>
        <item x="136"/>
        <item x="1016"/>
        <item x="719"/>
        <item x="940"/>
        <item x="1058"/>
        <item x="28"/>
        <item x="282"/>
        <item x="101"/>
        <item x="959"/>
        <item x="410"/>
        <item x="1066"/>
        <item x="878"/>
        <item x="967"/>
        <item x="914"/>
        <item x="81"/>
        <item x="624"/>
        <item x="572"/>
        <item x="305"/>
        <item x="1095"/>
        <item x="987"/>
        <item x="819"/>
        <item x="1106"/>
        <item x="76"/>
        <item x="855"/>
        <item x="5"/>
        <item x="269"/>
        <item x="765"/>
        <item x="872"/>
        <item x="573"/>
        <item x="23"/>
        <item x="320"/>
        <item x="893"/>
        <item x="751"/>
        <item x="861"/>
        <item x="481"/>
        <item x="856"/>
        <item x="853"/>
        <item x="420"/>
        <item x="839"/>
        <item x="1107"/>
        <item x="581"/>
        <item x="720"/>
        <item x="766"/>
        <item x="1092"/>
        <item x="922"/>
        <item x="636"/>
        <item x="637"/>
        <item x="411"/>
        <item x="915"/>
        <item x="175"/>
        <item x="625"/>
        <item x="140"/>
        <item x="395"/>
        <item x="222"/>
        <item x="54"/>
        <item x="36"/>
        <item x="638"/>
        <item x="968"/>
        <item x="127"/>
        <item x="93"/>
        <item x="13"/>
        <item x="96"/>
        <item x="91"/>
        <item x="610"/>
        <item x="626"/>
        <item x="59"/>
        <item x="134"/>
        <item x="665"/>
        <item x="306"/>
        <item x="699"/>
        <item x="94"/>
        <item x="57"/>
        <item x="39"/>
        <item x="601"/>
        <item x="8"/>
        <item x="85"/>
        <item x="82"/>
        <item x="498"/>
        <item x="627"/>
        <item x="61"/>
        <item x="1082"/>
        <item x="996"/>
        <item x="941"/>
        <item x="2"/>
        <item x="1117"/>
        <item x="682"/>
        <item x="1111"/>
        <item x="263"/>
        <item x="142"/>
        <item x="574"/>
        <item x="691"/>
        <item x="414"/>
        <item x="83"/>
        <item x="1025"/>
        <item x="820"/>
        <item x="869"/>
        <item x="440"/>
        <item x="77"/>
        <item x="595"/>
        <item x="256"/>
        <item x="882"/>
        <item x="307"/>
        <item x="429"/>
        <item x="441"/>
        <item x="969"/>
        <item x="119"/>
        <item x="955"/>
        <item x="208"/>
        <item x="98"/>
        <item x="692"/>
        <item x="197"/>
        <item x="883"/>
        <item x="942"/>
        <item x="293"/>
        <item x="191"/>
        <item x="170"/>
        <item x="832"/>
        <item x="454"/>
        <item x="845"/>
        <item x="895"/>
        <item x="218"/>
        <item x="675"/>
        <item x="596"/>
        <item x="38"/>
        <item x="639"/>
        <item x="426"/>
        <item x="295"/>
        <item x="151"/>
        <item x="702"/>
        <item x="669"/>
        <item x="793"/>
        <item x="995"/>
        <item x="344"/>
        <item x="474"/>
        <item x="285"/>
        <item x="896"/>
        <item x="815"/>
        <item x="4"/>
        <item x="165"/>
        <item x="146"/>
        <item x="65"/>
        <item x="640"/>
        <item x="1017"/>
        <item x="41"/>
        <item x="264"/>
        <item x="988"/>
        <item x="644"/>
        <item x="257"/>
        <item x="137"/>
        <item x="923"/>
        <item x="192"/>
        <item x="267"/>
        <item x="27"/>
        <item x="721"/>
        <item x="1083"/>
        <item x="1108"/>
        <item x="55"/>
        <item x="42"/>
        <item x="7"/>
        <item x="430"/>
        <item x="431"/>
        <item x="169"/>
        <item x="970"/>
        <item x="748"/>
        <item x="378"/>
        <item x="362"/>
        <item x="533"/>
        <item x="379"/>
        <item x="250"/>
        <item x="349"/>
        <item x="1099"/>
        <item x="838"/>
        <item x="374"/>
        <item x="1067"/>
        <item x="423"/>
        <item x="104"/>
        <item x="874"/>
        <item x="756"/>
        <item x="328"/>
        <item x="754"/>
        <item x="235"/>
        <item x="179"/>
        <item x="482"/>
        <item x="149"/>
        <item x="206"/>
        <item x="1026"/>
        <item x="463"/>
        <item x="280"/>
        <item x="741"/>
        <item x="662"/>
        <item x="478"/>
        <item x="63"/>
        <item x="1040"/>
        <item x="656"/>
        <item x="73"/>
        <item x="339"/>
        <item x="611"/>
        <item x="321"/>
        <item x="404"/>
        <item x="821"/>
        <item x="586"/>
        <item x="1096"/>
        <item x="464"/>
        <item x="265"/>
        <item x="683"/>
        <item x="957"/>
        <item x="585"/>
        <item x="363"/>
        <item x="97"/>
        <item x="709"/>
        <item x="364"/>
        <item x="771"/>
        <item x="210"/>
        <item x="432"/>
        <item x="37"/>
        <item x="52"/>
        <item x="402"/>
        <item x="110"/>
        <item x="822"/>
        <item x="575"/>
        <item x="433"/>
        <item x="597"/>
        <item x="274"/>
        <item x="22"/>
        <item x="679"/>
        <item x="501"/>
        <item x="779"/>
        <item x="943"/>
        <item x="465"/>
        <item x="16"/>
        <item x="213"/>
        <item x="916"/>
        <item x="1097"/>
        <item x="340"/>
        <item x="511"/>
        <item x="131"/>
        <item x="693"/>
        <item x="227"/>
        <item x="483"/>
        <item x="329"/>
        <item x="371"/>
        <item x="447"/>
        <item x="897"/>
        <item x="32"/>
        <item x="742"/>
        <item x="230"/>
        <item x="457"/>
        <item x="1027"/>
        <item x="1052"/>
        <item x="924"/>
        <item x="829"/>
        <item x="898"/>
        <item x="1084"/>
        <item x="944"/>
        <item x="534"/>
        <item x="128"/>
        <item x="628"/>
        <item x="1053"/>
        <item x="466"/>
        <item x="1115"/>
        <item x="350"/>
        <item x="310"/>
        <item x="579"/>
        <item x="535"/>
        <item x="1028"/>
        <item x="272"/>
        <item x="840"/>
        <item x="799"/>
        <item x="780"/>
        <item x="1015"/>
        <item x="536"/>
        <item x="484"/>
        <item x="930"/>
        <item x="541"/>
        <item x="576"/>
        <item x="193"/>
        <item x="615"/>
        <item x="203"/>
        <item x="232"/>
        <item x="258"/>
        <item x="537"/>
        <item x="559"/>
        <item x="870"/>
        <item x="6"/>
        <item x="184"/>
        <item x="277"/>
        <item x="56"/>
        <item x="11"/>
        <item x="0"/>
        <item x="219"/>
        <item x="502"/>
        <item x="884"/>
        <item x="661"/>
        <item x="917"/>
        <item x="945"/>
        <item x="899"/>
        <item x="971"/>
        <item x="1109"/>
        <item x="918"/>
        <item x="887"/>
        <item x="927"/>
        <item x="512"/>
        <item x="385"/>
        <item x="421"/>
        <item x="946"/>
        <item x="172"/>
        <item x="308"/>
        <item x="919"/>
        <item x="31"/>
        <item x="900"/>
        <item x="513"/>
        <item x="686"/>
        <item x="351"/>
        <item x="75"/>
        <item x="130"/>
        <item x="551"/>
        <item x="947"/>
        <item x="406"/>
        <item x="514"/>
        <item x="86"/>
        <item x="547"/>
        <item x="948"/>
        <item x="87"/>
        <item x="160"/>
        <item x="993"/>
        <item x="40"/>
        <item x="78"/>
        <item x="548"/>
        <item x="1118"/>
        <item x="1049"/>
        <item x="384"/>
        <item x="176"/>
        <item x="1085"/>
        <item x="17"/>
        <item x="259"/>
        <item x="743"/>
        <item x="749"/>
        <item x="189"/>
        <item x="724"/>
        <item x="823"/>
        <item x="356"/>
        <item x="220"/>
        <item x="147"/>
        <item x="245"/>
        <item x="154"/>
        <item x="357"/>
        <item x="949"/>
        <item x="732"/>
        <item x="72"/>
        <item x="336"/>
        <item x="92"/>
        <item x="684"/>
        <item x="554"/>
        <item x="60"/>
        <item x="629"/>
        <item x="925"/>
        <item x="276"/>
        <item x="386"/>
        <item x="577"/>
        <item x="296"/>
        <item x="467"/>
        <item x="383"/>
        <item x="540"/>
        <item x="1068"/>
        <item x="578"/>
        <item x="1011"/>
        <item x="1057"/>
        <item x="18"/>
        <item x="1075"/>
        <item x="972"/>
        <item x="330"/>
        <item x="25"/>
        <item x="234"/>
        <item x="750"/>
        <item x="485"/>
        <item x="598"/>
        <item x="648"/>
        <item x="835"/>
        <item x="199"/>
        <item x="652"/>
        <item x="991"/>
        <item x="910"/>
        <item x="860"/>
        <item x="907"/>
        <item x="477"/>
        <item x="676"/>
        <item x="225"/>
        <item x="906"/>
        <item x="3"/>
        <item x="129"/>
        <item x="1069"/>
        <item x="233"/>
        <item x="950"/>
        <item x="1029"/>
        <item x="767"/>
        <item x="358"/>
        <item x="1070"/>
        <item x="1048"/>
        <item x="1012"/>
        <item x="951"/>
        <item x="1009"/>
        <item x="744"/>
        <item x="952"/>
        <item x="228"/>
        <item x="695"/>
        <item x="1110"/>
        <item x="694"/>
        <item x="391"/>
        <item x="1007"/>
        <item x="805"/>
        <item x="824"/>
        <item x="687"/>
        <item x="58"/>
        <item x="1"/>
        <item x="331"/>
        <item x="80"/>
        <item x="120"/>
        <item x="260"/>
        <item x="549"/>
        <item x="195"/>
        <item x="953"/>
        <item x="376"/>
        <item x="46"/>
        <item x="26"/>
        <item x="958"/>
        <item x="298"/>
        <item x="486"/>
        <item x="352"/>
        <item x="229"/>
        <item x="1030"/>
        <item x="214"/>
        <item x="135"/>
        <item x="1031"/>
        <item x="450"/>
        <item x="51"/>
        <item x="700"/>
        <item x="1042"/>
        <item x="468"/>
        <item x="20"/>
        <item x="322"/>
        <item x="768"/>
        <item x="112"/>
        <item x="286"/>
        <item x="422"/>
        <item x="774"/>
        <item x="911"/>
        <item x="204"/>
        <item x="109"/>
        <item x="489"/>
        <item x="905"/>
        <item x="813"/>
        <item x="251"/>
        <item x="833"/>
        <item x="538"/>
        <item x="1086"/>
        <item x="1076"/>
        <item x="901"/>
        <item x="237"/>
        <item x="1021"/>
        <item x="173"/>
        <item x="469"/>
        <item x="722"/>
        <item x="124"/>
        <item x="796"/>
        <item x="68"/>
        <item x="769"/>
        <item x="775"/>
        <item x="791"/>
        <item x="794"/>
        <item x="1087"/>
        <item x="848"/>
        <item x="1032"/>
        <item x="342"/>
        <item x="1013"/>
        <item x="472"/>
        <item x="885"/>
        <item x="745"/>
        <item x="1033"/>
        <item x="291"/>
        <item x="496"/>
        <item x="497"/>
        <item x="806"/>
        <item x="954"/>
        <item x="194"/>
        <item x="868"/>
        <item x="1034"/>
        <item x="726"/>
        <item x="902"/>
        <item x="1003"/>
        <item x="156"/>
        <item x="1054"/>
        <item x="1071"/>
        <item x="337"/>
        <item x="550"/>
        <item x="977"/>
        <item x="852"/>
        <item x="770"/>
        <item x="403"/>
        <item x="580"/>
        <item x="246"/>
        <item x="247"/>
        <item x="443"/>
        <item x="392"/>
        <item x="372"/>
        <item x="659"/>
        <item x="215"/>
        <item x="834"/>
        <item x="515"/>
        <item x="487"/>
        <item x="143"/>
        <item x="397"/>
        <item x="552"/>
        <item x="33"/>
        <item x="1074"/>
        <item x="311"/>
        <item x="795"/>
        <item x="1004"/>
        <item x="746"/>
        <item x="891"/>
        <item x="1041"/>
        <item x="862"/>
        <item x="144"/>
        <item x="974"/>
        <item x="1035"/>
        <item x="1072"/>
        <item x="599"/>
        <item x="630"/>
        <item x="1073"/>
        <item x="1036"/>
        <item x="451"/>
        <item x="555"/>
        <item x="747"/>
        <item x="180"/>
        <item x="631"/>
        <item x="520"/>
        <item x="1037"/>
        <item x="973"/>
        <item x="152"/>
        <item x="903"/>
        <item x="1113"/>
        <item x="473"/>
        <item x="292"/>
        <item x="171"/>
        <item x="113"/>
        <item x="697"/>
        <item x="35"/>
        <item x="448"/>
        <item x="657"/>
        <item x="434"/>
        <item x="157"/>
        <item x="238"/>
        <item x="886"/>
        <item x="777"/>
        <item x="248"/>
        <item x="503"/>
        <item x="976"/>
        <item x="698"/>
        <item x="727"/>
        <item x="825"/>
        <item x="994"/>
        <item x="685"/>
        <item x="1038"/>
        <item x="876"/>
        <item x="1088"/>
        <item x="488"/>
        <item x="904"/>
        <item x="115"/>
        <item x="249"/>
        <item x="643"/>
        <item x="1059"/>
        <item x="730"/>
        <item x="808"/>
        <item x="107"/>
        <item x="1122"/>
        <item x="678"/>
        <item x="980"/>
        <item x="425"/>
        <item x="380"/>
        <item x="1039"/>
        <item x="557"/>
        <item x="929"/>
        <item x="1043"/>
        <item x="759"/>
        <item x="241"/>
        <item x="981"/>
        <item x="926"/>
        <item x="161"/>
        <item x="1005"/>
        <item x="703"/>
        <item x="449"/>
        <item x="334"/>
        <item x="889"/>
        <item x="1089"/>
        <item x="132"/>
        <item x="435"/>
        <item x="382"/>
        <item x="753"/>
        <item x="600"/>
        <item x="618"/>
        <item x="1014"/>
        <item x="89"/>
        <item x="1006"/>
        <item x="162"/>
        <item x="221"/>
        <item x="826"/>
        <item t="default"/>
      </items>
    </pivotField>
    <pivotField axis="axisRow" showAll="0">
      <items count="7">
        <item x="4"/>
        <item x="5"/>
        <item x="1"/>
        <item x="2"/>
        <item x="0"/>
        <item x="3"/>
        <item t="default"/>
      </items>
    </pivotField>
    <pivotField showAll="0"/>
    <pivotField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4" showAll="0"/>
    <pivotField numFmtId="165" showAll="0"/>
    <pivotField numFmtId="165" showAll="0"/>
    <pivotField showAll="0"/>
    <pivotField multipleItemSelectionAllowed="1" showAll="0">
      <items count="3">
        <item h="1" x="1"/>
        <item x="0"/>
        <item t="default"/>
      </items>
    </pivotField>
    <pivotField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Кол-во семьей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9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5:B12" firstHeaderRow="1" firstDataRow="1" firstDataCol="1" rowPageCount="1" colPageCount="1"/>
  <pivotFields count="11">
    <pivotField dataField="1" numFmtId="1" showAll="0">
      <items count="1124">
        <item x="205"/>
        <item x="212"/>
        <item x="956"/>
        <item x="800"/>
        <item x="445"/>
        <item x="69"/>
        <item x="345"/>
        <item x="198"/>
        <item x="760"/>
        <item x="452"/>
        <item x="696"/>
        <item x="182"/>
        <item x="442"/>
        <item x="49"/>
        <item x="523"/>
        <item x="122"/>
        <item x="343"/>
        <item x="216"/>
        <item x="997"/>
        <item x="664"/>
        <item x="186"/>
        <item x="1045"/>
        <item x="174"/>
        <item x="809"/>
        <item x="619"/>
        <item x="752"/>
        <item x="931"/>
        <item x="960"/>
        <item x="689"/>
        <item x="438"/>
        <item x="782"/>
        <item x="177"/>
        <item x="1046"/>
        <item x="680"/>
        <item x="816"/>
        <item x="1077"/>
        <item x="849"/>
        <item x="524"/>
        <item x="562"/>
        <item x="504"/>
        <item x="254"/>
        <item x="327"/>
        <item x="761"/>
        <item x="299"/>
        <item x="772"/>
        <item x="261"/>
        <item x="1116"/>
        <item x="181"/>
        <item x="102"/>
        <item x="563"/>
        <item x="116"/>
        <item x="998"/>
        <item x="999"/>
        <item x="728"/>
        <item x="961"/>
        <item x="217"/>
        <item x="801"/>
        <item x="1103"/>
        <item x="393"/>
        <item x="542"/>
        <item x="346"/>
        <item x="239"/>
        <item x="921"/>
        <item x="857"/>
        <item x="962"/>
        <item x="837"/>
        <item x="492"/>
        <item x="354"/>
        <item x="525"/>
        <item x="300"/>
        <item x="827"/>
        <item x="288"/>
        <item x="783"/>
        <item x="399"/>
        <item x="733"/>
        <item x="301"/>
        <item x="166"/>
        <item x="932"/>
        <item x="313"/>
        <item x="792"/>
        <item x="53"/>
        <item x="784"/>
        <item x="734"/>
        <item x="729"/>
        <item x="670"/>
        <item x="735"/>
        <item x="187"/>
        <item x="620"/>
        <item x="875"/>
        <item x="377"/>
        <item x="201"/>
        <item x="153"/>
        <item x="458"/>
        <item x="858"/>
        <item x="712"/>
        <item x="705"/>
        <item x="543"/>
        <item x="762"/>
        <item x="67"/>
        <item x="561"/>
        <item x="706"/>
        <item x="933"/>
        <item x="649"/>
        <item x="314"/>
        <item x="842"/>
        <item x="989"/>
        <item x="283"/>
        <item x="836"/>
        <item x="401"/>
        <item x="713"/>
        <item x="1078"/>
        <item x="459"/>
        <item x="526"/>
        <item x="859"/>
        <item x="167"/>
        <item x="493"/>
        <item x="650"/>
        <item x="159"/>
        <item x="963"/>
        <item x="1000"/>
        <item x="589"/>
        <item x="240"/>
        <item x="117"/>
        <item x="369"/>
        <item x="302"/>
        <item x="558"/>
        <item x="353"/>
        <item x="388"/>
        <item x="324"/>
        <item x="979"/>
        <item x="564"/>
        <item x="841"/>
        <item x="1055"/>
        <item x="1112"/>
        <item x="518"/>
        <item x="163"/>
        <item x="506"/>
        <item x="312"/>
        <item x="326"/>
        <item x="325"/>
        <item x="890"/>
        <item x="701"/>
        <item x="1056"/>
        <item x="494"/>
        <item x="1022"/>
        <item x="1093"/>
        <item x="1044"/>
        <item x="505"/>
        <item x="527"/>
        <item x="519"/>
        <item x="843"/>
        <item x="1008"/>
        <item x="773"/>
        <item x="797"/>
        <item x="984"/>
        <item x="88"/>
        <item x="1091"/>
        <item x="711"/>
        <item x="710"/>
        <item x="758"/>
        <item x="407"/>
        <item x="810"/>
        <item x="114"/>
        <item x="123"/>
        <item x="158"/>
        <item x="424"/>
        <item x="560"/>
        <item x="850"/>
        <item x="617"/>
        <item x="811"/>
        <item x="456"/>
        <item x="275"/>
        <item x="663"/>
        <item x="242"/>
        <item x="516"/>
        <item x="108"/>
        <item x="844"/>
        <item x="79"/>
        <item x="236"/>
        <item x="776"/>
        <item x="223"/>
        <item x="355"/>
        <item x="475"/>
        <item x="928"/>
        <item x="583"/>
        <item x="544"/>
        <item x="211"/>
        <item x="867"/>
        <item x="666"/>
        <item x="338"/>
        <item x="273"/>
        <item x="243"/>
        <item x="141"/>
        <item x="1001"/>
        <item x="590"/>
        <item x="231"/>
        <item x="14"/>
        <item x="588"/>
        <item x="565"/>
        <item x="1019"/>
        <item x="982"/>
        <item x="106"/>
        <item x="587"/>
        <item x="1023"/>
        <item x="1094"/>
        <item x="847"/>
        <item x="736"/>
        <item x="830"/>
        <item x="667"/>
        <item x="863"/>
        <item x="785"/>
        <item x="90"/>
        <item x="714"/>
        <item x="591"/>
        <item x="279"/>
        <item x="660"/>
        <item x="755"/>
        <item x="436"/>
        <item x="556"/>
        <item x="413"/>
        <item x="908"/>
        <item x="592"/>
        <item x="528"/>
        <item x="985"/>
        <item x="178"/>
        <item x="507"/>
        <item x="912"/>
        <item x="522"/>
        <item x="427"/>
        <item x="408"/>
        <item x="517"/>
        <item x="207"/>
        <item x="359"/>
        <item x="604"/>
        <item x="95"/>
        <item x="416"/>
        <item x="688"/>
        <item x="634"/>
        <item x="255"/>
        <item x="370"/>
        <item x="668"/>
        <item x="444"/>
        <item x="270"/>
        <item x="309"/>
        <item x="605"/>
        <item x="188"/>
        <item x="476"/>
        <item x="446"/>
        <item x="1060"/>
        <item x="303"/>
        <item x="47"/>
        <item x="262"/>
        <item x="412"/>
        <item x="704"/>
        <item x="105"/>
        <item x="12"/>
        <item x="323"/>
        <item x="266"/>
        <item x="521"/>
        <item x="289"/>
        <item x="606"/>
        <item x="118"/>
        <item x="814"/>
        <item x="529"/>
        <item x="1024"/>
        <item x="347"/>
        <item x="1079"/>
        <item x="1050"/>
        <item x="15"/>
        <item x="479"/>
        <item x="632"/>
        <item x="817"/>
        <item x="341"/>
        <item x="725"/>
        <item x="690"/>
        <item x="545"/>
        <item x="252"/>
        <item x="566"/>
        <item x="802"/>
        <item x="460"/>
        <item x="1002"/>
        <item x="224"/>
        <item x="480"/>
        <item x="584"/>
        <item x="807"/>
        <item x="373"/>
        <item x="920"/>
        <item x="708"/>
        <item x="297"/>
        <item x="348"/>
        <item x="428"/>
        <item x="50"/>
        <item x="786"/>
        <item x="1090"/>
        <item x="1080"/>
        <item x="602"/>
        <item x="964"/>
        <item x="645"/>
        <item x="366"/>
        <item x="992"/>
        <item x="367"/>
        <item x="978"/>
        <item x="190"/>
        <item x="635"/>
        <item x="567"/>
        <item x="642"/>
        <item x="990"/>
        <item x="671"/>
        <item x="332"/>
        <item x="553"/>
        <item x="731"/>
        <item x="864"/>
        <item x="934"/>
        <item x="499"/>
        <item x="658"/>
        <item x="787"/>
        <item x="470"/>
        <item x="1121"/>
        <item x="333"/>
        <item x="1104"/>
        <item x="715"/>
        <item x="723"/>
        <item x="757"/>
        <item x="788"/>
        <item x="812"/>
        <item x="935"/>
        <item x="398"/>
        <item x="400"/>
        <item x="789"/>
        <item x="1105"/>
        <item x="1102"/>
        <item x="268"/>
        <item x="500"/>
        <item x="877"/>
        <item x="1051"/>
        <item x="828"/>
        <item x="439"/>
        <item x="1061"/>
        <item x="672"/>
        <item x="737"/>
        <item x="66"/>
        <item x="651"/>
        <item x="1098"/>
        <item x="936"/>
        <item x="315"/>
        <item x="335"/>
        <item x="183"/>
        <item x="738"/>
        <item x="778"/>
        <item x="654"/>
        <item x="803"/>
        <item x="185"/>
        <item x="103"/>
        <item x="375"/>
        <item x="455"/>
        <item x="139"/>
        <item x="294"/>
        <item x="983"/>
        <item x="653"/>
        <item x="461"/>
        <item x="613"/>
        <item x="1101"/>
        <item x="612"/>
        <item x="647"/>
        <item x="582"/>
        <item x="539"/>
        <item x="530"/>
        <item x="200"/>
        <item x="1081"/>
        <item x="614"/>
        <item x="633"/>
        <item x="394"/>
        <item x="138"/>
        <item x="437"/>
        <item x="453"/>
        <item x="986"/>
        <item x="284"/>
        <item x="508"/>
        <item x="405"/>
        <item x="381"/>
        <item x="798"/>
        <item x="509"/>
        <item x="888"/>
        <item x="253"/>
        <item x="1119"/>
        <item x="871"/>
        <item x="19"/>
        <item x="646"/>
        <item x="271"/>
        <item x="491"/>
        <item x="607"/>
        <item x="851"/>
        <item x="368"/>
        <item x="202"/>
        <item x="909"/>
        <item x="121"/>
        <item x="531"/>
        <item x="866"/>
        <item x="677"/>
        <item x="846"/>
        <item x="1010"/>
        <item x="641"/>
        <item x="621"/>
        <item x="133"/>
        <item x="396"/>
        <item x="360"/>
        <item x="1100"/>
        <item x="622"/>
        <item x="1018"/>
        <item x="389"/>
        <item x="390"/>
        <item x="623"/>
        <item x="1114"/>
        <item x="965"/>
        <item x="616"/>
        <item x="854"/>
        <item x="287"/>
        <item x="1120"/>
        <item x="707"/>
        <item x="937"/>
        <item x="361"/>
        <item x="593"/>
        <item x="387"/>
        <item x="290"/>
        <item x="1062"/>
        <item x="739"/>
        <item x="316"/>
        <item x="568"/>
        <item x="365"/>
        <item x="546"/>
        <item x="1047"/>
        <item x="1063"/>
        <item x="608"/>
        <item x="569"/>
        <item x="70"/>
        <item x="74"/>
        <item x="865"/>
        <item x="609"/>
        <item x="804"/>
        <item x="317"/>
        <item x="318"/>
        <item x="594"/>
        <item x="975"/>
        <item x="716"/>
        <item x="763"/>
        <item x="570"/>
        <item x="571"/>
        <item x="125"/>
        <item x="938"/>
        <item x="717"/>
        <item x="681"/>
        <item x="939"/>
        <item x="471"/>
        <item x="532"/>
        <item x="71"/>
        <item x="873"/>
        <item x="164"/>
        <item x="62"/>
        <item x="44"/>
        <item x="29"/>
        <item x="10"/>
        <item x="603"/>
        <item x="99"/>
        <item x="673"/>
        <item x="111"/>
        <item x="879"/>
        <item x="148"/>
        <item x="278"/>
        <item x="740"/>
        <item x="100"/>
        <item x="1020"/>
        <item x="417"/>
        <item x="1064"/>
        <item x="880"/>
        <item x="304"/>
        <item x="319"/>
        <item x="30"/>
        <item x="655"/>
        <item x="43"/>
        <item x="881"/>
        <item x="418"/>
        <item x="64"/>
        <item x="9"/>
        <item x="21"/>
        <item x="781"/>
        <item x="196"/>
        <item x="168"/>
        <item x="209"/>
        <item x="281"/>
        <item x="818"/>
        <item x="913"/>
        <item x="34"/>
        <item x="966"/>
        <item x="764"/>
        <item x="244"/>
        <item x="462"/>
        <item x="84"/>
        <item x="126"/>
        <item x="226"/>
        <item x="48"/>
        <item x="790"/>
        <item x="831"/>
        <item x="155"/>
        <item x="490"/>
        <item x="419"/>
        <item x="510"/>
        <item x="145"/>
        <item x="24"/>
        <item x="894"/>
        <item x="718"/>
        <item x="45"/>
        <item x="495"/>
        <item x="674"/>
        <item x="1065"/>
        <item x="409"/>
        <item x="415"/>
        <item x="892"/>
        <item x="150"/>
        <item x="136"/>
        <item x="1016"/>
        <item x="719"/>
        <item x="940"/>
        <item x="1058"/>
        <item x="28"/>
        <item x="282"/>
        <item x="101"/>
        <item x="959"/>
        <item x="410"/>
        <item x="1066"/>
        <item x="878"/>
        <item x="967"/>
        <item x="914"/>
        <item x="81"/>
        <item x="624"/>
        <item x="572"/>
        <item x="305"/>
        <item x="1095"/>
        <item x="987"/>
        <item x="819"/>
        <item x="1106"/>
        <item x="76"/>
        <item x="855"/>
        <item x="5"/>
        <item x="269"/>
        <item x="765"/>
        <item x="872"/>
        <item x="573"/>
        <item x="23"/>
        <item x="320"/>
        <item x="893"/>
        <item x="751"/>
        <item x="861"/>
        <item x="481"/>
        <item x="856"/>
        <item x="853"/>
        <item x="420"/>
        <item x="839"/>
        <item x="1107"/>
        <item x="581"/>
        <item x="720"/>
        <item x="766"/>
        <item x="1092"/>
        <item x="922"/>
        <item x="636"/>
        <item x="637"/>
        <item x="411"/>
        <item x="915"/>
        <item x="175"/>
        <item x="625"/>
        <item x="140"/>
        <item x="395"/>
        <item x="222"/>
        <item x="54"/>
        <item x="36"/>
        <item x="638"/>
        <item x="968"/>
        <item x="127"/>
        <item x="93"/>
        <item x="13"/>
        <item x="96"/>
        <item x="91"/>
        <item x="610"/>
        <item x="626"/>
        <item x="59"/>
        <item x="134"/>
        <item x="665"/>
        <item x="306"/>
        <item x="699"/>
        <item x="94"/>
        <item x="57"/>
        <item x="39"/>
        <item x="601"/>
        <item x="8"/>
        <item x="85"/>
        <item x="82"/>
        <item x="498"/>
        <item x="627"/>
        <item x="61"/>
        <item x="1082"/>
        <item x="996"/>
        <item x="941"/>
        <item x="2"/>
        <item x="1117"/>
        <item x="682"/>
        <item x="1111"/>
        <item x="263"/>
        <item x="142"/>
        <item x="574"/>
        <item x="691"/>
        <item x="414"/>
        <item x="83"/>
        <item x="1025"/>
        <item x="820"/>
        <item x="869"/>
        <item x="440"/>
        <item x="77"/>
        <item x="595"/>
        <item x="256"/>
        <item x="882"/>
        <item x="307"/>
        <item x="429"/>
        <item x="441"/>
        <item x="969"/>
        <item x="119"/>
        <item x="955"/>
        <item x="208"/>
        <item x="98"/>
        <item x="692"/>
        <item x="197"/>
        <item x="883"/>
        <item x="942"/>
        <item x="293"/>
        <item x="191"/>
        <item x="170"/>
        <item x="832"/>
        <item x="454"/>
        <item x="845"/>
        <item x="895"/>
        <item x="218"/>
        <item x="675"/>
        <item x="596"/>
        <item x="38"/>
        <item x="639"/>
        <item x="426"/>
        <item x="295"/>
        <item x="151"/>
        <item x="702"/>
        <item x="669"/>
        <item x="793"/>
        <item x="995"/>
        <item x="344"/>
        <item x="474"/>
        <item x="285"/>
        <item x="896"/>
        <item x="815"/>
        <item x="4"/>
        <item x="165"/>
        <item x="146"/>
        <item x="65"/>
        <item x="640"/>
        <item x="1017"/>
        <item x="41"/>
        <item x="264"/>
        <item x="988"/>
        <item x="644"/>
        <item x="257"/>
        <item x="137"/>
        <item x="923"/>
        <item x="192"/>
        <item x="267"/>
        <item x="27"/>
        <item x="721"/>
        <item x="1083"/>
        <item x="1108"/>
        <item x="55"/>
        <item x="42"/>
        <item x="7"/>
        <item x="430"/>
        <item x="431"/>
        <item x="169"/>
        <item x="970"/>
        <item x="748"/>
        <item x="378"/>
        <item x="362"/>
        <item x="533"/>
        <item x="379"/>
        <item x="250"/>
        <item x="349"/>
        <item x="1099"/>
        <item x="838"/>
        <item x="374"/>
        <item x="1067"/>
        <item x="423"/>
        <item x="104"/>
        <item x="874"/>
        <item x="756"/>
        <item x="328"/>
        <item x="754"/>
        <item x="235"/>
        <item x="179"/>
        <item x="482"/>
        <item x="149"/>
        <item x="206"/>
        <item x="1026"/>
        <item x="463"/>
        <item x="280"/>
        <item x="741"/>
        <item x="662"/>
        <item x="478"/>
        <item x="63"/>
        <item x="1040"/>
        <item x="656"/>
        <item x="73"/>
        <item x="339"/>
        <item x="611"/>
        <item x="321"/>
        <item x="404"/>
        <item x="821"/>
        <item x="586"/>
        <item x="1096"/>
        <item x="464"/>
        <item x="265"/>
        <item x="683"/>
        <item x="957"/>
        <item x="585"/>
        <item x="363"/>
        <item x="97"/>
        <item x="709"/>
        <item x="364"/>
        <item x="771"/>
        <item x="210"/>
        <item x="432"/>
        <item x="37"/>
        <item x="52"/>
        <item x="402"/>
        <item x="110"/>
        <item x="822"/>
        <item x="575"/>
        <item x="433"/>
        <item x="597"/>
        <item x="274"/>
        <item x="22"/>
        <item x="679"/>
        <item x="501"/>
        <item x="779"/>
        <item x="943"/>
        <item x="465"/>
        <item x="16"/>
        <item x="213"/>
        <item x="916"/>
        <item x="1097"/>
        <item x="340"/>
        <item x="511"/>
        <item x="131"/>
        <item x="693"/>
        <item x="227"/>
        <item x="483"/>
        <item x="329"/>
        <item x="371"/>
        <item x="447"/>
        <item x="897"/>
        <item x="32"/>
        <item x="742"/>
        <item x="230"/>
        <item x="457"/>
        <item x="1027"/>
        <item x="1052"/>
        <item x="924"/>
        <item x="829"/>
        <item x="898"/>
        <item x="1084"/>
        <item x="944"/>
        <item x="534"/>
        <item x="128"/>
        <item x="628"/>
        <item x="1053"/>
        <item x="466"/>
        <item x="1115"/>
        <item x="350"/>
        <item x="310"/>
        <item x="579"/>
        <item x="535"/>
        <item x="1028"/>
        <item x="272"/>
        <item x="840"/>
        <item x="799"/>
        <item x="780"/>
        <item x="1015"/>
        <item x="536"/>
        <item x="484"/>
        <item x="930"/>
        <item x="541"/>
        <item x="576"/>
        <item x="193"/>
        <item x="615"/>
        <item x="203"/>
        <item x="232"/>
        <item x="258"/>
        <item x="537"/>
        <item x="559"/>
        <item x="870"/>
        <item x="6"/>
        <item x="184"/>
        <item x="277"/>
        <item x="56"/>
        <item x="11"/>
        <item x="0"/>
        <item x="219"/>
        <item x="502"/>
        <item x="884"/>
        <item x="661"/>
        <item x="917"/>
        <item x="945"/>
        <item x="899"/>
        <item x="971"/>
        <item x="1109"/>
        <item x="918"/>
        <item x="887"/>
        <item x="927"/>
        <item x="512"/>
        <item x="385"/>
        <item x="421"/>
        <item x="946"/>
        <item x="172"/>
        <item x="308"/>
        <item x="919"/>
        <item x="31"/>
        <item x="900"/>
        <item x="513"/>
        <item x="686"/>
        <item x="351"/>
        <item x="75"/>
        <item x="130"/>
        <item x="551"/>
        <item x="947"/>
        <item x="406"/>
        <item x="514"/>
        <item x="86"/>
        <item x="547"/>
        <item x="948"/>
        <item x="87"/>
        <item x="160"/>
        <item x="993"/>
        <item x="40"/>
        <item x="78"/>
        <item x="548"/>
        <item x="1118"/>
        <item x="1049"/>
        <item x="384"/>
        <item x="176"/>
        <item x="1085"/>
        <item x="17"/>
        <item x="259"/>
        <item x="743"/>
        <item x="749"/>
        <item x="189"/>
        <item x="724"/>
        <item x="823"/>
        <item x="356"/>
        <item x="220"/>
        <item x="147"/>
        <item x="245"/>
        <item x="154"/>
        <item x="357"/>
        <item x="949"/>
        <item x="732"/>
        <item x="72"/>
        <item x="336"/>
        <item x="92"/>
        <item x="684"/>
        <item x="554"/>
        <item x="60"/>
        <item x="629"/>
        <item x="925"/>
        <item x="276"/>
        <item x="386"/>
        <item x="577"/>
        <item x="296"/>
        <item x="467"/>
        <item x="383"/>
        <item x="540"/>
        <item x="1068"/>
        <item x="578"/>
        <item x="1011"/>
        <item x="1057"/>
        <item x="18"/>
        <item x="1075"/>
        <item x="972"/>
        <item x="330"/>
        <item x="25"/>
        <item x="234"/>
        <item x="750"/>
        <item x="485"/>
        <item x="598"/>
        <item x="648"/>
        <item x="835"/>
        <item x="199"/>
        <item x="652"/>
        <item x="991"/>
        <item x="910"/>
        <item x="860"/>
        <item x="907"/>
        <item x="477"/>
        <item x="676"/>
        <item x="225"/>
        <item x="906"/>
        <item x="3"/>
        <item x="129"/>
        <item x="1069"/>
        <item x="233"/>
        <item x="950"/>
        <item x="1029"/>
        <item x="767"/>
        <item x="358"/>
        <item x="1070"/>
        <item x="1048"/>
        <item x="1012"/>
        <item x="951"/>
        <item x="1009"/>
        <item x="744"/>
        <item x="952"/>
        <item x="228"/>
        <item x="695"/>
        <item x="1110"/>
        <item x="694"/>
        <item x="391"/>
        <item x="1007"/>
        <item x="805"/>
        <item x="824"/>
        <item x="687"/>
        <item x="58"/>
        <item x="1"/>
        <item x="331"/>
        <item x="80"/>
        <item x="120"/>
        <item x="260"/>
        <item x="549"/>
        <item x="195"/>
        <item x="953"/>
        <item x="376"/>
        <item x="46"/>
        <item x="26"/>
        <item x="958"/>
        <item x="298"/>
        <item x="486"/>
        <item x="352"/>
        <item x="229"/>
        <item x="1030"/>
        <item x="214"/>
        <item x="135"/>
        <item x="1031"/>
        <item x="450"/>
        <item x="51"/>
        <item x="700"/>
        <item x="1042"/>
        <item x="468"/>
        <item x="20"/>
        <item x="322"/>
        <item x="768"/>
        <item x="112"/>
        <item x="286"/>
        <item x="422"/>
        <item x="774"/>
        <item x="911"/>
        <item x="204"/>
        <item x="109"/>
        <item x="489"/>
        <item x="905"/>
        <item x="813"/>
        <item x="251"/>
        <item x="833"/>
        <item x="538"/>
        <item x="1086"/>
        <item x="1076"/>
        <item x="901"/>
        <item x="237"/>
        <item x="1021"/>
        <item x="173"/>
        <item x="469"/>
        <item x="722"/>
        <item x="124"/>
        <item x="796"/>
        <item x="68"/>
        <item x="769"/>
        <item x="775"/>
        <item x="791"/>
        <item x="794"/>
        <item x="1087"/>
        <item x="848"/>
        <item x="1032"/>
        <item x="342"/>
        <item x="1013"/>
        <item x="472"/>
        <item x="885"/>
        <item x="745"/>
        <item x="1033"/>
        <item x="291"/>
        <item x="496"/>
        <item x="497"/>
        <item x="806"/>
        <item x="954"/>
        <item x="194"/>
        <item x="868"/>
        <item x="1034"/>
        <item x="726"/>
        <item x="902"/>
        <item x="1003"/>
        <item x="156"/>
        <item x="1054"/>
        <item x="1071"/>
        <item x="337"/>
        <item x="550"/>
        <item x="977"/>
        <item x="852"/>
        <item x="770"/>
        <item x="403"/>
        <item x="580"/>
        <item x="246"/>
        <item x="247"/>
        <item x="443"/>
        <item x="392"/>
        <item x="372"/>
        <item x="659"/>
        <item x="215"/>
        <item x="834"/>
        <item x="515"/>
        <item x="487"/>
        <item x="143"/>
        <item x="397"/>
        <item x="552"/>
        <item x="33"/>
        <item x="1074"/>
        <item x="311"/>
        <item x="795"/>
        <item x="1004"/>
        <item x="746"/>
        <item x="891"/>
        <item x="1041"/>
        <item x="862"/>
        <item x="144"/>
        <item x="974"/>
        <item x="1035"/>
        <item x="1072"/>
        <item x="599"/>
        <item x="630"/>
        <item x="1073"/>
        <item x="1036"/>
        <item x="451"/>
        <item x="555"/>
        <item x="747"/>
        <item x="180"/>
        <item x="631"/>
        <item x="520"/>
        <item x="1037"/>
        <item x="973"/>
        <item x="152"/>
        <item x="903"/>
        <item x="1113"/>
        <item x="473"/>
        <item x="292"/>
        <item x="171"/>
        <item x="113"/>
        <item x="697"/>
        <item x="35"/>
        <item x="448"/>
        <item x="657"/>
        <item x="434"/>
        <item x="157"/>
        <item x="238"/>
        <item x="886"/>
        <item x="777"/>
        <item x="248"/>
        <item x="503"/>
        <item x="976"/>
        <item x="698"/>
        <item x="727"/>
        <item x="825"/>
        <item x="994"/>
        <item x="685"/>
        <item x="1038"/>
        <item x="876"/>
        <item x="1088"/>
        <item x="488"/>
        <item x="904"/>
        <item x="115"/>
        <item x="249"/>
        <item x="643"/>
        <item x="1059"/>
        <item x="730"/>
        <item x="808"/>
        <item x="107"/>
        <item x="1122"/>
        <item x="678"/>
        <item x="980"/>
        <item x="425"/>
        <item x="380"/>
        <item x="1039"/>
        <item x="557"/>
        <item x="929"/>
        <item x="1043"/>
        <item x="759"/>
        <item x="241"/>
        <item x="981"/>
        <item x="926"/>
        <item x="161"/>
        <item x="1005"/>
        <item x="703"/>
        <item x="449"/>
        <item x="334"/>
        <item x="889"/>
        <item x="1089"/>
        <item x="132"/>
        <item x="435"/>
        <item x="382"/>
        <item x="753"/>
        <item x="600"/>
        <item x="618"/>
        <item x="1014"/>
        <item x="89"/>
        <item x="1006"/>
        <item x="162"/>
        <item x="221"/>
        <item x="826"/>
        <item t="default"/>
      </items>
    </pivotField>
    <pivotField axis="axisRow" showAll="0">
      <items count="7">
        <item x="4"/>
        <item x="5"/>
        <item x="1"/>
        <item x="2"/>
        <item x="0"/>
        <item x="3"/>
        <item t="default"/>
      </items>
    </pivotField>
    <pivotField showAll="0"/>
    <pivotField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4" showAll="0"/>
    <pivotField numFmtId="165" showAll="0"/>
    <pivotField numFmtId="165" showAll="0"/>
    <pivotField showAll="0"/>
    <pivotField axis="axisPage" multipleItemSelectionAllowed="1" showAll="0">
      <items count="3">
        <item h="1" x="1"/>
        <item x="0"/>
        <item t="default"/>
      </items>
    </pivotField>
    <pivotField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9" hier="-1"/>
  </pageFields>
  <dataFields count="1">
    <dataField name="Sum of Номер Семьи" fld="0" baseField="0" baseItem="0" numFmtId="167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Количество_лиц_в_семье" xr10:uid="{00000000-0013-0000-FFFF-FFFF01000000}" sourceName="Количество лиц в семье">
  <pivotTables>
    <pivotTable tabId="7" name="PivotTable9"/>
    <pivotTable tabId="7" name="PivotTable10"/>
  </pivotTables>
  <data>
    <tabular pivotCacheId="1">
      <items count="19">
        <i x="18" s="1"/>
        <i x="17" s="1"/>
        <i x="16" s="1"/>
        <i x="15" s="1"/>
        <i x="14" s="1"/>
        <i x="13" s="1"/>
        <i x="12" s="1"/>
        <i x="11" s="1"/>
        <i x="10" s="1"/>
        <i x="9" s="1"/>
        <i x="8" s="1"/>
        <i x="7" s="1"/>
        <i x="6" s="1"/>
        <i x="5" s="1"/>
        <i x="4" s="1"/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оличество лиц в семье" xr10:uid="{00000000-0014-0000-FFFF-FFFF01000000}" cache="Slicer_Количество_лиц_в_семье" caption="Количество лиц в семье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оличество лиц в семье 2" xr10:uid="{00000000-0014-0000-FFFF-FFFF03000000}" cache="Slicer_Количество_лиц_в_семье" caption="Количество лиц в семье" rowHeight="230716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7"/>
  <sheetViews>
    <sheetView tabSelected="1" topLeftCell="A22" workbookViewId="0">
      <selection activeCell="O14" sqref="O14"/>
    </sheetView>
  </sheetViews>
  <sheetFormatPr baseColWidth="10" defaultColWidth="8.83203125" defaultRowHeight="15" x14ac:dyDescent="0.2"/>
  <cols>
    <col min="1" max="1" width="12" style="4" bestFit="1" customWidth="1"/>
    <col min="2" max="2" width="10.1640625" bestFit="1" customWidth="1"/>
    <col min="3" max="3" width="18.1640625" bestFit="1" customWidth="1"/>
    <col min="4" max="4" width="20.33203125" bestFit="1" customWidth="1"/>
    <col min="5" max="5" width="17.33203125" bestFit="1" customWidth="1"/>
    <col min="6" max="6" width="16" style="5" bestFit="1" customWidth="1"/>
    <col min="7" max="7" width="20.6640625" style="5" bestFit="1" customWidth="1"/>
  </cols>
  <sheetData>
    <row r="1" spans="1:7" x14ac:dyDescent="0.2">
      <c r="A1" s="3" t="s">
        <v>6</v>
      </c>
      <c r="B1" s="2" t="s">
        <v>7</v>
      </c>
      <c r="C1" s="2" t="s">
        <v>12</v>
      </c>
      <c r="D1" s="2" t="s">
        <v>8</v>
      </c>
      <c r="E1" s="2" t="s">
        <v>9</v>
      </c>
    </row>
    <row r="2" spans="1:7" x14ac:dyDescent="0.2">
      <c r="A2" s="4">
        <v>2931</v>
      </c>
      <c r="B2" t="s">
        <v>1</v>
      </c>
      <c r="C2">
        <v>1190</v>
      </c>
      <c r="D2">
        <v>19</v>
      </c>
      <c r="E2" t="s">
        <v>11</v>
      </c>
      <c r="F2" s="6"/>
      <c r="G2" s="7"/>
    </row>
    <row r="3" spans="1:7" x14ac:dyDescent="0.2">
      <c r="A3" s="4">
        <v>3225</v>
      </c>
      <c r="B3" t="s">
        <v>1</v>
      </c>
      <c r="C3" s="1">
        <v>5700</v>
      </c>
      <c r="D3">
        <v>19</v>
      </c>
      <c r="E3" t="s">
        <v>11</v>
      </c>
      <c r="F3" s="6"/>
      <c r="G3" s="7"/>
    </row>
    <row r="4" spans="1:7" x14ac:dyDescent="0.2">
      <c r="A4" s="4">
        <v>2551</v>
      </c>
      <c r="B4" t="s">
        <v>0</v>
      </c>
      <c r="C4" s="1">
        <v>4200</v>
      </c>
      <c r="D4">
        <v>18</v>
      </c>
      <c r="E4" t="s">
        <v>11</v>
      </c>
      <c r="F4" s="6"/>
      <c r="G4" s="7"/>
    </row>
    <row r="5" spans="1:7" x14ac:dyDescent="0.2">
      <c r="A5" s="4">
        <v>3160</v>
      </c>
      <c r="B5" t="s">
        <v>1</v>
      </c>
      <c r="C5" s="1">
        <v>5280</v>
      </c>
      <c r="D5">
        <v>18</v>
      </c>
      <c r="E5" t="s">
        <v>11</v>
      </c>
      <c r="F5" s="6"/>
      <c r="G5" s="7"/>
    </row>
    <row r="6" spans="1:7" x14ac:dyDescent="0.2">
      <c r="A6" s="4">
        <v>2637</v>
      </c>
      <c r="B6" t="s">
        <v>0</v>
      </c>
      <c r="C6">
        <v>2100</v>
      </c>
      <c r="D6">
        <v>17</v>
      </c>
      <c r="E6" t="s">
        <v>11</v>
      </c>
      <c r="F6" s="6"/>
      <c r="G6" s="7"/>
    </row>
    <row r="7" spans="1:7" x14ac:dyDescent="0.2">
      <c r="A7" s="4">
        <v>2472</v>
      </c>
      <c r="B7" t="s">
        <v>0</v>
      </c>
      <c r="C7" s="1">
        <v>9000</v>
      </c>
      <c r="D7">
        <v>17</v>
      </c>
      <c r="E7" t="s">
        <v>11</v>
      </c>
      <c r="F7" s="6"/>
      <c r="G7" s="7"/>
    </row>
    <row r="8" spans="1:7" x14ac:dyDescent="0.2">
      <c r="A8" s="4">
        <v>2922</v>
      </c>
      <c r="B8" t="s">
        <v>1</v>
      </c>
      <c r="C8" s="1">
        <v>3000</v>
      </c>
      <c r="D8">
        <v>17</v>
      </c>
      <c r="E8" t="s">
        <v>11</v>
      </c>
      <c r="F8" s="6"/>
      <c r="G8" s="7"/>
    </row>
    <row r="9" spans="1:7" x14ac:dyDescent="0.2">
      <c r="A9" s="4">
        <v>2660</v>
      </c>
      <c r="B9" t="s">
        <v>2</v>
      </c>
      <c r="C9" s="1">
        <v>6000</v>
      </c>
      <c r="D9">
        <v>16</v>
      </c>
      <c r="E9" t="s">
        <v>11</v>
      </c>
      <c r="F9" s="6"/>
      <c r="G9" s="7"/>
    </row>
    <row r="10" spans="1:7" x14ac:dyDescent="0.2">
      <c r="A10" s="4">
        <v>2541</v>
      </c>
      <c r="B10" t="s">
        <v>0</v>
      </c>
      <c r="C10" s="1">
        <v>6500</v>
      </c>
      <c r="D10">
        <v>15</v>
      </c>
      <c r="E10" t="s">
        <v>10</v>
      </c>
      <c r="F10" s="6"/>
      <c r="G10" s="7"/>
    </row>
    <row r="11" spans="1:7" x14ac:dyDescent="0.2">
      <c r="A11" s="4">
        <v>2361</v>
      </c>
      <c r="B11" t="s">
        <v>0</v>
      </c>
      <c r="C11" s="1">
        <v>2000</v>
      </c>
      <c r="D11">
        <v>14</v>
      </c>
      <c r="E11" t="s">
        <v>10</v>
      </c>
      <c r="F11" s="6"/>
      <c r="G11" s="7"/>
    </row>
    <row r="12" spans="1:7" x14ac:dyDescent="0.2">
      <c r="A12" s="4">
        <v>2329</v>
      </c>
      <c r="B12" t="s">
        <v>0</v>
      </c>
      <c r="C12">
        <v>3852</v>
      </c>
      <c r="D12">
        <v>13</v>
      </c>
      <c r="E12" t="s">
        <v>11</v>
      </c>
      <c r="F12" s="6"/>
      <c r="G12" s="7"/>
    </row>
    <row r="13" spans="1:7" x14ac:dyDescent="0.2">
      <c r="A13" s="4">
        <v>2930</v>
      </c>
      <c r="B13" t="s">
        <v>1</v>
      </c>
      <c r="C13">
        <v>790</v>
      </c>
      <c r="D13">
        <v>13</v>
      </c>
      <c r="E13" t="s">
        <v>11</v>
      </c>
      <c r="F13" s="6"/>
      <c r="G13" s="7"/>
    </row>
    <row r="14" spans="1:7" x14ac:dyDescent="0.2">
      <c r="A14" s="4">
        <v>1975</v>
      </c>
      <c r="B14" t="s">
        <v>3</v>
      </c>
      <c r="C14">
        <v>650</v>
      </c>
      <c r="D14">
        <v>13</v>
      </c>
      <c r="E14" t="s">
        <v>10</v>
      </c>
      <c r="F14" s="6"/>
      <c r="G14" s="7"/>
    </row>
    <row r="15" spans="1:7" x14ac:dyDescent="0.2">
      <c r="A15" s="4">
        <v>2523</v>
      </c>
      <c r="B15" s="1" t="s">
        <v>0</v>
      </c>
      <c r="C15">
        <v>2775</v>
      </c>
      <c r="D15">
        <v>13</v>
      </c>
      <c r="E15" t="s">
        <v>11</v>
      </c>
      <c r="F15" s="6"/>
      <c r="G15" s="7"/>
    </row>
    <row r="16" spans="1:7" x14ac:dyDescent="0.2">
      <c r="A16" s="4">
        <v>1867</v>
      </c>
      <c r="B16" s="1" t="s">
        <v>3</v>
      </c>
      <c r="C16">
        <v>840</v>
      </c>
      <c r="D16">
        <v>13</v>
      </c>
      <c r="E16" t="s">
        <v>10</v>
      </c>
      <c r="F16" s="6"/>
      <c r="G16" s="7"/>
    </row>
    <row r="17" spans="1:7" x14ac:dyDescent="0.2">
      <c r="A17" s="4">
        <v>1999</v>
      </c>
      <c r="B17" t="s">
        <v>3</v>
      </c>
      <c r="C17" s="1">
        <v>3000</v>
      </c>
      <c r="D17">
        <v>13</v>
      </c>
      <c r="E17" t="s">
        <v>11</v>
      </c>
      <c r="F17" s="6"/>
      <c r="G17" s="7"/>
    </row>
    <row r="18" spans="1:7" x14ac:dyDescent="0.2">
      <c r="A18" s="4">
        <v>2794</v>
      </c>
      <c r="B18" t="s">
        <v>2</v>
      </c>
      <c r="C18">
        <v>7550</v>
      </c>
      <c r="D18">
        <v>12</v>
      </c>
      <c r="E18" t="s">
        <v>11</v>
      </c>
      <c r="F18" s="6"/>
      <c r="G18" s="7"/>
    </row>
    <row r="19" spans="1:7" x14ac:dyDescent="0.2">
      <c r="A19" s="4">
        <v>3048</v>
      </c>
      <c r="B19" t="s">
        <v>1</v>
      </c>
      <c r="C19">
        <v>1550</v>
      </c>
      <c r="D19">
        <v>12</v>
      </c>
      <c r="E19" t="s">
        <v>11</v>
      </c>
      <c r="F19" s="6"/>
      <c r="G19" s="7"/>
    </row>
    <row r="20" spans="1:7" x14ac:dyDescent="0.2">
      <c r="A20" s="4">
        <v>3114</v>
      </c>
      <c r="B20" t="s">
        <v>1</v>
      </c>
      <c r="C20" s="1">
        <v>6000</v>
      </c>
      <c r="D20">
        <v>12</v>
      </c>
      <c r="E20" t="s">
        <v>11</v>
      </c>
      <c r="F20" s="6"/>
      <c r="G20" s="7"/>
    </row>
    <row r="21" spans="1:7" x14ac:dyDescent="0.2">
      <c r="A21" s="4">
        <v>2202</v>
      </c>
      <c r="B21" t="s">
        <v>3</v>
      </c>
      <c r="C21">
        <v>180</v>
      </c>
      <c r="D21">
        <v>11</v>
      </c>
      <c r="E21" t="s">
        <v>11</v>
      </c>
      <c r="F21" s="6"/>
      <c r="G21" s="7"/>
    </row>
    <row r="22" spans="1:7" x14ac:dyDescent="0.2">
      <c r="A22" s="4">
        <v>3272</v>
      </c>
      <c r="B22" s="1" t="s">
        <v>1</v>
      </c>
      <c r="C22">
        <v>600</v>
      </c>
      <c r="D22">
        <v>11</v>
      </c>
      <c r="E22" t="s">
        <v>11</v>
      </c>
      <c r="F22" s="6"/>
      <c r="G22" s="7"/>
    </row>
    <row r="23" spans="1:7" x14ac:dyDescent="0.2">
      <c r="A23" s="4">
        <v>2363</v>
      </c>
      <c r="B23" t="s">
        <v>0</v>
      </c>
      <c r="C23" s="1">
        <v>1500</v>
      </c>
      <c r="D23">
        <v>11</v>
      </c>
      <c r="E23" t="s">
        <v>10</v>
      </c>
      <c r="F23" s="6"/>
      <c r="G23" s="7"/>
    </row>
    <row r="24" spans="1:7" x14ac:dyDescent="0.2">
      <c r="A24" s="4">
        <v>2778</v>
      </c>
      <c r="B24" t="s">
        <v>2</v>
      </c>
      <c r="C24" s="1">
        <v>4500</v>
      </c>
      <c r="D24">
        <v>11</v>
      </c>
      <c r="E24" t="s">
        <v>10</v>
      </c>
      <c r="F24" s="6"/>
      <c r="G24" s="7"/>
    </row>
    <row r="25" spans="1:7" x14ac:dyDescent="0.2">
      <c r="A25" s="4">
        <v>2479</v>
      </c>
      <c r="B25" t="s">
        <v>0</v>
      </c>
      <c r="C25" s="1">
        <v>2000</v>
      </c>
      <c r="D25">
        <v>11</v>
      </c>
      <c r="E25" t="s">
        <v>11</v>
      </c>
      <c r="F25" s="6"/>
      <c r="G25" s="7"/>
    </row>
    <row r="26" spans="1:7" x14ac:dyDescent="0.2">
      <c r="A26" s="4">
        <v>2407</v>
      </c>
      <c r="B26" t="s">
        <v>0</v>
      </c>
      <c r="C26" s="1">
        <v>4800</v>
      </c>
      <c r="D26">
        <v>11</v>
      </c>
      <c r="E26" t="s">
        <v>10</v>
      </c>
      <c r="F26" s="6"/>
      <c r="G26" s="7"/>
    </row>
    <row r="27" spans="1:7" x14ac:dyDescent="0.2">
      <c r="A27" s="4">
        <v>3119</v>
      </c>
      <c r="B27" t="s">
        <v>1</v>
      </c>
      <c r="C27" s="1">
        <v>6000</v>
      </c>
      <c r="D27">
        <v>11</v>
      </c>
      <c r="E27" t="s">
        <v>11</v>
      </c>
      <c r="F27" s="6"/>
      <c r="G27" s="7"/>
    </row>
    <row r="28" spans="1:7" x14ac:dyDescent="0.2">
      <c r="A28" s="4">
        <v>3237</v>
      </c>
      <c r="B28" t="s">
        <v>1</v>
      </c>
      <c r="C28" s="1">
        <v>10300</v>
      </c>
      <c r="D28">
        <v>11</v>
      </c>
      <c r="E28" t="s">
        <v>10</v>
      </c>
      <c r="F28" s="6"/>
      <c r="G28" s="7"/>
    </row>
    <row r="29" spans="1:7" x14ac:dyDescent="0.2">
      <c r="A29" s="4">
        <v>2654</v>
      </c>
      <c r="B29" t="s">
        <v>2</v>
      </c>
      <c r="C29" s="1">
        <v>12500</v>
      </c>
      <c r="D29">
        <v>11</v>
      </c>
      <c r="E29" t="s">
        <v>11</v>
      </c>
      <c r="F29" s="6"/>
      <c r="G29" s="7"/>
    </row>
    <row r="30" spans="1:7" x14ac:dyDescent="0.2">
      <c r="A30" s="4">
        <v>2433</v>
      </c>
      <c r="B30" t="s">
        <v>0</v>
      </c>
      <c r="C30">
        <v>820</v>
      </c>
      <c r="D30">
        <v>10</v>
      </c>
      <c r="E30" t="s">
        <v>11</v>
      </c>
      <c r="F30" s="6"/>
      <c r="G30" s="7"/>
    </row>
    <row r="31" spans="1:7" x14ac:dyDescent="0.2">
      <c r="A31" s="4">
        <v>2328</v>
      </c>
      <c r="B31" t="s">
        <v>0</v>
      </c>
      <c r="C31">
        <v>1850</v>
      </c>
      <c r="D31">
        <v>10</v>
      </c>
      <c r="E31" t="s">
        <v>11</v>
      </c>
      <c r="F31" s="6"/>
      <c r="G31" s="7"/>
    </row>
    <row r="32" spans="1:7" x14ac:dyDescent="0.2">
      <c r="A32" s="4">
        <v>2351</v>
      </c>
      <c r="B32" t="s">
        <v>0</v>
      </c>
      <c r="C32">
        <v>100</v>
      </c>
      <c r="D32">
        <v>10</v>
      </c>
      <c r="E32" t="s">
        <v>11</v>
      </c>
      <c r="F32" s="6"/>
      <c r="G32" s="7"/>
    </row>
    <row r="33" spans="1:7" x14ac:dyDescent="0.2">
      <c r="A33" s="4">
        <v>2978</v>
      </c>
      <c r="B33" t="s">
        <v>1</v>
      </c>
      <c r="C33">
        <v>1900</v>
      </c>
      <c r="D33">
        <v>10</v>
      </c>
      <c r="E33" t="s">
        <v>11</v>
      </c>
      <c r="F33" s="6"/>
      <c r="G33" s="7"/>
    </row>
    <row r="34" spans="1:7" x14ac:dyDescent="0.2">
      <c r="A34" s="4">
        <v>2827</v>
      </c>
      <c r="B34" t="s">
        <v>2</v>
      </c>
      <c r="C34">
        <v>3840</v>
      </c>
      <c r="D34">
        <v>10</v>
      </c>
      <c r="E34" t="s">
        <v>11</v>
      </c>
      <c r="F34" s="6"/>
      <c r="G34" s="7"/>
    </row>
    <row r="35" spans="1:7" x14ac:dyDescent="0.2">
      <c r="A35" s="4">
        <v>5664</v>
      </c>
      <c r="B35" s="1" t="s">
        <v>0</v>
      </c>
      <c r="C35">
        <v>2150</v>
      </c>
      <c r="D35">
        <v>10</v>
      </c>
      <c r="E35" t="s">
        <v>10</v>
      </c>
      <c r="F35" s="6"/>
      <c r="G35" s="7"/>
    </row>
    <row r="36" spans="1:7" x14ac:dyDescent="0.2">
      <c r="A36" s="4">
        <v>2384</v>
      </c>
      <c r="B36" t="s">
        <v>0</v>
      </c>
      <c r="C36" s="1">
        <v>1000</v>
      </c>
      <c r="D36">
        <v>10</v>
      </c>
      <c r="E36" t="s">
        <v>10</v>
      </c>
      <c r="F36" s="6"/>
      <c r="G36" s="7"/>
    </row>
    <row r="37" spans="1:7" x14ac:dyDescent="0.2">
      <c r="A37" s="4">
        <v>6222</v>
      </c>
      <c r="B37" t="s">
        <v>1</v>
      </c>
      <c r="C37" s="1">
        <v>6000</v>
      </c>
      <c r="D37">
        <v>10</v>
      </c>
      <c r="E37" t="s">
        <v>10</v>
      </c>
      <c r="F37" s="6"/>
      <c r="G37" s="7"/>
    </row>
    <row r="38" spans="1:7" x14ac:dyDescent="0.2">
      <c r="A38" s="4">
        <v>2518</v>
      </c>
      <c r="B38" t="s">
        <v>0</v>
      </c>
      <c r="C38" s="1">
        <v>2700</v>
      </c>
      <c r="D38">
        <v>10</v>
      </c>
      <c r="E38" t="s">
        <v>11</v>
      </c>
      <c r="F38" s="6"/>
      <c r="G38" s="7"/>
    </row>
    <row r="39" spans="1:7" x14ac:dyDescent="0.2">
      <c r="A39" s="4">
        <v>2767</v>
      </c>
      <c r="B39" t="s">
        <v>2</v>
      </c>
      <c r="C39" s="1">
        <v>1500</v>
      </c>
      <c r="D39">
        <v>10</v>
      </c>
      <c r="E39" t="s">
        <v>10</v>
      </c>
      <c r="F39" s="6"/>
      <c r="G39" s="7"/>
    </row>
    <row r="40" spans="1:7" x14ac:dyDescent="0.2">
      <c r="A40" s="4">
        <v>2619</v>
      </c>
      <c r="B40" t="s">
        <v>0</v>
      </c>
      <c r="C40" s="1">
        <v>2700</v>
      </c>
      <c r="D40">
        <v>10</v>
      </c>
      <c r="E40" t="s">
        <v>11</v>
      </c>
      <c r="F40" s="6"/>
      <c r="G40" s="7"/>
    </row>
    <row r="41" spans="1:7" x14ac:dyDescent="0.2">
      <c r="A41" s="4">
        <v>2539</v>
      </c>
      <c r="B41" t="s">
        <v>0</v>
      </c>
      <c r="C41" s="1">
        <v>6000</v>
      </c>
      <c r="D41">
        <v>10</v>
      </c>
      <c r="E41" t="s">
        <v>11</v>
      </c>
      <c r="F41" s="6"/>
      <c r="G41" s="7"/>
    </row>
    <row r="42" spans="1:7" x14ac:dyDescent="0.2">
      <c r="A42" s="4">
        <v>3010</v>
      </c>
      <c r="B42" t="s">
        <v>1</v>
      </c>
      <c r="C42" s="1">
        <v>6000</v>
      </c>
      <c r="D42">
        <v>10</v>
      </c>
      <c r="E42" t="s">
        <v>10</v>
      </c>
      <c r="F42" s="6"/>
      <c r="G42" s="7"/>
    </row>
    <row r="43" spans="1:7" x14ac:dyDescent="0.2">
      <c r="A43" s="4">
        <v>2645</v>
      </c>
      <c r="B43" t="s">
        <v>2</v>
      </c>
      <c r="C43" s="1">
        <v>49500</v>
      </c>
      <c r="D43">
        <v>10</v>
      </c>
      <c r="E43" t="s">
        <v>11</v>
      </c>
      <c r="F43" s="6"/>
      <c r="G43" s="7"/>
    </row>
    <row r="44" spans="1:7" x14ac:dyDescent="0.2">
      <c r="A44" s="4">
        <v>2659</v>
      </c>
      <c r="B44" t="s">
        <v>2</v>
      </c>
      <c r="C44" s="1">
        <v>21000</v>
      </c>
      <c r="D44">
        <v>10</v>
      </c>
      <c r="E44" t="s">
        <v>11</v>
      </c>
      <c r="F44" s="6"/>
      <c r="G44" s="7"/>
    </row>
    <row r="45" spans="1:7" x14ac:dyDescent="0.2">
      <c r="A45" s="4">
        <v>2354</v>
      </c>
      <c r="B45" t="s">
        <v>0</v>
      </c>
      <c r="C45">
        <v>800</v>
      </c>
      <c r="D45">
        <v>9</v>
      </c>
      <c r="E45" t="s">
        <v>10</v>
      </c>
      <c r="F45" s="6"/>
      <c r="G45" s="7"/>
    </row>
    <row r="46" spans="1:7" x14ac:dyDescent="0.2">
      <c r="A46" s="4">
        <v>2327</v>
      </c>
      <c r="B46" t="s">
        <v>0</v>
      </c>
      <c r="C46">
        <v>5350</v>
      </c>
      <c r="D46">
        <v>9</v>
      </c>
      <c r="E46" t="s">
        <v>11</v>
      </c>
      <c r="F46" s="6"/>
      <c r="G46" s="7"/>
    </row>
    <row r="47" spans="1:7" x14ac:dyDescent="0.2">
      <c r="A47" s="4">
        <v>2410</v>
      </c>
      <c r="B47" t="s">
        <v>0</v>
      </c>
      <c r="C47">
        <v>4080</v>
      </c>
      <c r="D47">
        <v>9</v>
      </c>
      <c r="E47" t="s">
        <v>11</v>
      </c>
      <c r="F47" s="6"/>
      <c r="G47" s="7"/>
    </row>
    <row r="48" spans="1:7" x14ac:dyDescent="0.2">
      <c r="A48" s="4">
        <v>3236</v>
      </c>
      <c r="B48" t="s">
        <v>1</v>
      </c>
      <c r="C48">
        <v>405</v>
      </c>
      <c r="D48">
        <v>9</v>
      </c>
      <c r="E48" t="s">
        <v>11</v>
      </c>
      <c r="F48" s="6"/>
      <c r="G48" s="7"/>
    </row>
    <row r="49" spans="1:7" x14ac:dyDescent="0.2">
      <c r="A49" s="4">
        <v>1966</v>
      </c>
      <c r="B49" t="s">
        <v>3</v>
      </c>
      <c r="C49">
        <v>450</v>
      </c>
      <c r="D49">
        <v>9</v>
      </c>
      <c r="E49" t="s">
        <v>10</v>
      </c>
      <c r="F49" s="6"/>
      <c r="G49" s="7"/>
    </row>
    <row r="50" spans="1:7" x14ac:dyDescent="0.2">
      <c r="A50" s="4">
        <v>2394</v>
      </c>
      <c r="B50" s="1" t="s">
        <v>0</v>
      </c>
      <c r="C50">
        <v>1400</v>
      </c>
      <c r="D50">
        <v>9</v>
      </c>
      <c r="E50" t="s">
        <v>10</v>
      </c>
      <c r="F50" s="6"/>
      <c r="G50" s="7"/>
    </row>
    <row r="51" spans="1:7" x14ac:dyDescent="0.2">
      <c r="A51" s="4">
        <v>569</v>
      </c>
      <c r="B51" s="1" t="s">
        <v>4</v>
      </c>
      <c r="C51">
        <v>685</v>
      </c>
      <c r="D51">
        <v>9</v>
      </c>
      <c r="E51" t="s">
        <v>11</v>
      </c>
      <c r="F51" s="6"/>
      <c r="G51" s="7"/>
    </row>
    <row r="52" spans="1:7" x14ac:dyDescent="0.2">
      <c r="A52" s="4">
        <v>2038</v>
      </c>
      <c r="B52" s="1" t="s">
        <v>3</v>
      </c>
      <c r="C52">
        <v>2300</v>
      </c>
      <c r="D52">
        <v>9</v>
      </c>
      <c r="E52" t="s">
        <v>10</v>
      </c>
      <c r="F52" s="6"/>
      <c r="G52" s="7"/>
    </row>
    <row r="53" spans="1:7" x14ac:dyDescent="0.2">
      <c r="A53" s="4">
        <v>3264</v>
      </c>
      <c r="B53" s="1" t="s">
        <v>1</v>
      </c>
      <c r="C53">
        <v>1400</v>
      </c>
      <c r="D53">
        <v>9</v>
      </c>
      <c r="E53" t="s">
        <v>10</v>
      </c>
      <c r="F53" s="6"/>
      <c r="G53" s="7"/>
    </row>
    <row r="54" spans="1:7" x14ac:dyDescent="0.2">
      <c r="A54" s="4">
        <v>2768</v>
      </c>
      <c r="B54" t="s">
        <v>2</v>
      </c>
      <c r="C54" s="1">
        <v>4000</v>
      </c>
      <c r="D54">
        <v>9</v>
      </c>
      <c r="E54" t="s">
        <v>10</v>
      </c>
      <c r="F54" s="6"/>
      <c r="G54" s="7"/>
    </row>
    <row r="55" spans="1:7" x14ac:dyDescent="0.2">
      <c r="A55" s="4">
        <v>1585</v>
      </c>
      <c r="B55" t="s">
        <v>5</v>
      </c>
      <c r="C55" s="1">
        <v>5600</v>
      </c>
      <c r="D55">
        <v>9</v>
      </c>
      <c r="E55" t="s">
        <v>10</v>
      </c>
      <c r="F55" s="6"/>
      <c r="G55" s="7"/>
    </row>
    <row r="56" spans="1:7" x14ac:dyDescent="0.2">
      <c r="A56" s="4">
        <v>2516</v>
      </c>
      <c r="B56" t="s">
        <v>0</v>
      </c>
      <c r="C56" s="1">
        <v>4250</v>
      </c>
      <c r="D56">
        <v>9</v>
      </c>
      <c r="E56" t="s">
        <v>11</v>
      </c>
      <c r="F56" s="6"/>
      <c r="G56" s="7"/>
    </row>
    <row r="57" spans="1:7" x14ac:dyDescent="0.2">
      <c r="A57" s="4">
        <v>2658</v>
      </c>
      <c r="B57" t="s">
        <v>2</v>
      </c>
      <c r="C57" s="1">
        <v>4500</v>
      </c>
      <c r="D57">
        <v>9</v>
      </c>
      <c r="E57" t="s">
        <v>11</v>
      </c>
      <c r="F57" s="6"/>
      <c r="G57" s="7"/>
    </row>
    <row r="58" spans="1:7" x14ac:dyDescent="0.2">
      <c r="A58" s="4">
        <v>2928</v>
      </c>
      <c r="B58" t="s">
        <v>1</v>
      </c>
      <c r="C58" s="1">
        <v>2900</v>
      </c>
      <c r="D58">
        <v>9</v>
      </c>
      <c r="E58" t="s">
        <v>10</v>
      </c>
      <c r="F58" s="6"/>
      <c r="G58" s="7"/>
    </row>
    <row r="59" spans="1:7" x14ac:dyDescent="0.2">
      <c r="A59" s="4">
        <v>2538</v>
      </c>
      <c r="B59" t="s">
        <v>0</v>
      </c>
      <c r="C59" s="1">
        <v>5500</v>
      </c>
      <c r="D59">
        <v>9</v>
      </c>
      <c r="E59" t="s">
        <v>11</v>
      </c>
      <c r="F59" s="6"/>
      <c r="G59" s="7"/>
    </row>
    <row r="60" spans="1:7" x14ac:dyDescent="0.2">
      <c r="A60" s="4">
        <v>3223</v>
      </c>
      <c r="B60" t="s">
        <v>1</v>
      </c>
      <c r="C60" s="1">
        <v>3500</v>
      </c>
      <c r="D60">
        <v>9</v>
      </c>
      <c r="E60" t="s">
        <v>11</v>
      </c>
      <c r="F60" s="6"/>
      <c r="G60" s="7"/>
    </row>
    <row r="61" spans="1:7" x14ac:dyDescent="0.2">
      <c r="A61" s="4">
        <v>2532</v>
      </c>
      <c r="B61" t="s">
        <v>0</v>
      </c>
      <c r="C61" s="1">
        <v>6000</v>
      </c>
      <c r="D61">
        <v>9</v>
      </c>
      <c r="E61" t="s">
        <v>10</v>
      </c>
      <c r="F61" s="6"/>
      <c r="G61" s="7"/>
    </row>
    <row r="62" spans="1:7" x14ac:dyDescent="0.2">
      <c r="A62" s="4">
        <v>3089</v>
      </c>
      <c r="B62" t="s">
        <v>1</v>
      </c>
      <c r="C62" s="1">
        <v>3000</v>
      </c>
      <c r="D62">
        <v>9</v>
      </c>
      <c r="E62" t="s">
        <v>11</v>
      </c>
      <c r="F62" s="6"/>
      <c r="G62" s="7"/>
    </row>
    <row r="63" spans="1:7" x14ac:dyDescent="0.2">
      <c r="A63" s="4">
        <v>2547</v>
      </c>
      <c r="B63" t="s">
        <v>0</v>
      </c>
      <c r="C63" s="1">
        <v>3600</v>
      </c>
      <c r="D63">
        <v>9</v>
      </c>
      <c r="E63" t="s">
        <v>10</v>
      </c>
      <c r="F63" s="6"/>
      <c r="G63" s="7"/>
    </row>
    <row r="64" spans="1:7" x14ac:dyDescent="0.2">
      <c r="A64" s="4">
        <v>2326</v>
      </c>
      <c r="B64" t="s">
        <v>0</v>
      </c>
      <c r="C64">
        <v>300</v>
      </c>
      <c r="D64">
        <v>8</v>
      </c>
      <c r="E64" t="s">
        <v>11</v>
      </c>
      <c r="F64" s="6"/>
      <c r="G64" s="7"/>
    </row>
    <row r="65" spans="1:7" x14ac:dyDescent="0.2">
      <c r="A65" s="4">
        <v>2716</v>
      </c>
      <c r="B65" t="s">
        <v>2</v>
      </c>
      <c r="C65">
        <v>360</v>
      </c>
      <c r="D65">
        <v>8</v>
      </c>
      <c r="E65" t="s">
        <v>10</v>
      </c>
      <c r="F65" s="6"/>
      <c r="G65" s="7"/>
    </row>
    <row r="66" spans="1:7" x14ac:dyDescent="0.2">
      <c r="A66" s="4">
        <v>2357</v>
      </c>
      <c r="B66" t="s">
        <v>0</v>
      </c>
      <c r="C66">
        <v>200</v>
      </c>
      <c r="D66">
        <v>8</v>
      </c>
      <c r="E66" t="s">
        <v>10</v>
      </c>
      <c r="F66" s="6"/>
      <c r="G66" s="7"/>
    </row>
    <row r="67" spans="1:7" x14ac:dyDescent="0.2">
      <c r="A67" s="4">
        <v>2641</v>
      </c>
      <c r="B67" t="s">
        <v>0</v>
      </c>
      <c r="C67">
        <v>8935</v>
      </c>
      <c r="D67">
        <v>8</v>
      </c>
      <c r="E67" t="s">
        <v>11</v>
      </c>
      <c r="F67" s="6"/>
      <c r="G67" s="7"/>
    </row>
    <row r="68" spans="1:7" x14ac:dyDescent="0.2">
      <c r="A68" s="4">
        <v>2122</v>
      </c>
      <c r="B68" t="s">
        <v>3</v>
      </c>
      <c r="C68">
        <v>280</v>
      </c>
      <c r="D68">
        <v>8</v>
      </c>
      <c r="E68" t="s">
        <v>11</v>
      </c>
      <c r="F68" s="6"/>
      <c r="G68" s="7"/>
    </row>
    <row r="69" spans="1:7" x14ac:dyDescent="0.2">
      <c r="A69" s="4">
        <v>1638</v>
      </c>
      <c r="B69" t="s">
        <v>5</v>
      </c>
      <c r="C69">
        <v>950</v>
      </c>
      <c r="D69">
        <v>8</v>
      </c>
      <c r="E69" t="s">
        <v>11</v>
      </c>
      <c r="F69" s="6"/>
      <c r="G69" s="7"/>
    </row>
    <row r="70" spans="1:7" x14ac:dyDescent="0.2">
      <c r="A70" s="4">
        <v>5044</v>
      </c>
      <c r="B70" t="s">
        <v>4</v>
      </c>
      <c r="C70">
        <v>5600</v>
      </c>
      <c r="D70">
        <v>8</v>
      </c>
      <c r="E70" t="s">
        <v>11</v>
      </c>
      <c r="F70" s="6"/>
      <c r="G70" s="7"/>
    </row>
    <row r="71" spans="1:7" x14ac:dyDescent="0.2">
      <c r="A71" s="4">
        <v>529</v>
      </c>
      <c r="B71" t="s">
        <v>4</v>
      </c>
      <c r="C71">
        <v>1700</v>
      </c>
      <c r="D71">
        <v>8</v>
      </c>
      <c r="E71" t="s">
        <v>11</v>
      </c>
      <c r="F71" s="6"/>
      <c r="G71" s="7"/>
    </row>
    <row r="72" spans="1:7" x14ac:dyDescent="0.2">
      <c r="A72" s="4">
        <v>2300</v>
      </c>
      <c r="B72" t="s">
        <v>3</v>
      </c>
      <c r="C72">
        <v>5700</v>
      </c>
      <c r="D72">
        <v>8</v>
      </c>
      <c r="E72" t="s">
        <v>11</v>
      </c>
      <c r="F72" s="6"/>
      <c r="G72" s="7"/>
    </row>
    <row r="73" spans="1:7" x14ac:dyDescent="0.2">
      <c r="A73" s="4">
        <v>2323</v>
      </c>
      <c r="B73" s="1" t="s">
        <v>0</v>
      </c>
      <c r="C73">
        <v>600</v>
      </c>
      <c r="D73">
        <v>8</v>
      </c>
      <c r="E73" t="s">
        <v>11</v>
      </c>
      <c r="F73" s="6"/>
      <c r="G73" s="7"/>
    </row>
    <row r="74" spans="1:7" x14ac:dyDescent="0.2">
      <c r="A74" s="4">
        <v>3079</v>
      </c>
      <c r="B74" s="1" t="s">
        <v>1</v>
      </c>
      <c r="C74">
        <v>1400</v>
      </c>
      <c r="D74">
        <v>8</v>
      </c>
      <c r="E74" t="s">
        <v>10</v>
      </c>
      <c r="F74" s="6"/>
      <c r="G74" s="7"/>
    </row>
    <row r="75" spans="1:7" x14ac:dyDescent="0.2">
      <c r="A75" s="4">
        <v>2727</v>
      </c>
      <c r="B75" s="1" t="s">
        <v>2</v>
      </c>
      <c r="C75">
        <v>700</v>
      </c>
      <c r="D75">
        <v>8</v>
      </c>
      <c r="E75" t="s">
        <v>11</v>
      </c>
      <c r="F75" s="6"/>
      <c r="G75" s="7"/>
    </row>
    <row r="76" spans="1:7" x14ac:dyDescent="0.2">
      <c r="A76" s="4">
        <v>2301</v>
      </c>
      <c r="B76" s="1" t="s">
        <v>0</v>
      </c>
      <c r="C76">
        <v>1750</v>
      </c>
      <c r="D76">
        <v>8</v>
      </c>
      <c r="E76" t="s">
        <v>11</v>
      </c>
      <c r="F76" s="6"/>
      <c r="G76" s="7"/>
    </row>
    <row r="77" spans="1:7" x14ac:dyDescent="0.2">
      <c r="A77" s="4">
        <v>2986</v>
      </c>
      <c r="B77" s="1" t="s">
        <v>1</v>
      </c>
      <c r="C77">
        <v>1850</v>
      </c>
      <c r="D77">
        <v>8</v>
      </c>
      <c r="E77" t="s">
        <v>10</v>
      </c>
      <c r="F77" s="6"/>
      <c r="G77" s="7"/>
    </row>
    <row r="78" spans="1:7" x14ac:dyDescent="0.2">
      <c r="A78" s="4">
        <v>2468</v>
      </c>
      <c r="B78" t="s">
        <v>0</v>
      </c>
      <c r="C78" s="1">
        <v>6700</v>
      </c>
      <c r="D78">
        <v>8</v>
      </c>
      <c r="E78" t="s">
        <v>11</v>
      </c>
      <c r="F78" s="6"/>
      <c r="G78" s="7"/>
    </row>
    <row r="79" spans="1:7" x14ac:dyDescent="0.2">
      <c r="A79" s="4">
        <v>2577</v>
      </c>
      <c r="B79" t="s">
        <v>0</v>
      </c>
      <c r="C79" s="1">
        <v>1200</v>
      </c>
      <c r="D79">
        <v>8</v>
      </c>
      <c r="E79" t="s">
        <v>10</v>
      </c>
      <c r="F79" s="6"/>
      <c r="G79" s="7"/>
    </row>
    <row r="80" spans="1:7" x14ac:dyDescent="0.2">
      <c r="A80" s="4">
        <v>3013</v>
      </c>
      <c r="B80" t="s">
        <v>1</v>
      </c>
      <c r="C80" s="1">
        <v>4700</v>
      </c>
      <c r="D80">
        <v>8</v>
      </c>
      <c r="E80" t="s">
        <v>11</v>
      </c>
      <c r="F80" s="6"/>
      <c r="G80" s="7"/>
    </row>
    <row r="81" spans="1:7" x14ac:dyDescent="0.2">
      <c r="A81" s="4">
        <v>1818</v>
      </c>
      <c r="B81" t="s">
        <v>3</v>
      </c>
      <c r="C81" s="1">
        <v>2100</v>
      </c>
      <c r="D81">
        <v>8</v>
      </c>
      <c r="E81" t="s">
        <v>11</v>
      </c>
      <c r="F81" s="6"/>
      <c r="G81" s="7"/>
    </row>
    <row r="82" spans="1:7" x14ac:dyDescent="0.2">
      <c r="A82" s="4">
        <v>3227</v>
      </c>
      <c r="B82" t="s">
        <v>1</v>
      </c>
      <c r="C82" s="1">
        <v>1620</v>
      </c>
      <c r="D82">
        <v>8</v>
      </c>
      <c r="E82" t="s">
        <v>11</v>
      </c>
      <c r="F82" s="6"/>
      <c r="G82" s="7"/>
    </row>
    <row r="83" spans="1:7" x14ac:dyDescent="0.2">
      <c r="A83" s="4">
        <v>2448</v>
      </c>
      <c r="B83" t="s">
        <v>0</v>
      </c>
      <c r="C83" s="1">
        <v>6050</v>
      </c>
      <c r="D83">
        <v>8</v>
      </c>
      <c r="E83" t="s">
        <v>11</v>
      </c>
      <c r="F83" s="6"/>
      <c r="G83" s="7"/>
    </row>
    <row r="84" spans="1:7" x14ac:dyDescent="0.2">
      <c r="A84" s="4">
        <v>2544</v>
      </c>
      <c r="B84" t="s">
        <v>0</v>
      </c>
      <c r="C84" s="1">
        <v>3000</v>
      </c>
      <c r="D84">
        <v>8</v>
      </c>
      <c r="E84" t="s">
        <v>11</v>
      </c>
      <c r="F84" s="6"/>
      <c r="G84" s="7"/>
    </row>
    <row r="85" spans="1:7" x14ac:dyDescent="0.2">
      <c r="A85" s="4">
        <v>2571</v>
      </c>
      <c r="B85" t="s">
        <v>0</v>
      </c>
      <c r="C85" s="1">
        <v>4500</v>
      </c>
      <c r="D85">
        <v>8</v>
      </c>
      <c r="E85" t="s">
        <v>11</v>
      </c>
      <c r="F85" s="6"/>
      <c r="G85" s="7"/>
    </row>
    <row r="86" spans="1:7" x14ac:dyDescent="0.2">
      <c r="A86" s="4">
        <v>2391</v>
      </c>
      <c r="B86" t="s">
        <v>0</v>
      </c>
      <c r="C86" s="1">
        <v>4160</v>
      </c>
      <c r="D86">
        <v>8</v>
      </c>
      <c r="E86" t="s">
        <v>10</v>
      </c>
      <c r="F86" s="6"/>
      <c r="G86" s="7"/>
    </row>
    <row r="87" spans="1:7" x14ac:dyDescent="0.2">
      <c r="A87" s="4">
        <v>2542</v>
      </c>
      <c r="B87" t="s">
        <v>0</v>
      </c>
      <c r="C87" s="1">
        <v>4300</v>
      </c>
      <c r="D87">
        <v>8</v>
      </c>
      <c r="E87" t="s">
        <v>11</v>
      </c>
      <c r="F87" s="6"/>
      <c r="G87" s="7"/>
    </row>
    <row r="88" spans="1:7" x14ac:dyDescent="0.2">
      <c r="A88" s="4">
        <v>2994</v>
      </c>
      <c r="B88" t="s">
        <v>1</v>
      </c>
      <c r="C88" s="1">
        <v>7000</v>
      </c>
      <c r="D88">
        <v>8</v>
      </c>
      <c r="E88" t="s">
        <v>11</v>
      </c>
      <c r="F88" s="6"/>
      <c r="G88" s="7"/>
    </row>
    <row r="89" spans="1:7" x14ac:dyDescent="0.2">
      <c r="A89" s="4">
        <v>3001</v>
      </c>
      <c r="B89" t="s">
        <v>1</v>
      </c>
      <c r="C89" s="1">
        <v>5500</v>
      </c>
      <c r="D89">
        <v>8</v>
      </c>
      <c r="E89" t="s">
        <v>11</v>
      </c>
      <c r="F89" s="6"/>
      <c r="G89" s="7"/>
    </row>
    <row r="90" spans="1:7" x14ac:dyDescent="0.2">
      <c r="A90" s="4">
        <v>1768</v>
      </c>
      <c r="B90" t="s">
        <v>3</v>
      </c>
      <c r="C90" s="1">
        <v>8350</v>
      </c>
      <c r="D90">
        <v>8</v>
      </c>
      <c r="E90" t="s">
        <v>11</v>
      </c>
      <c r="F90" s="6"/>
      <c r="G90" s="7"/>
    </row>
    <row r="91" spans="1:7" x14ac:dyDescent="0.2">
      <c r="A91" s="4">
        <v>6821</v>
      </c>
      <c r="B91" t="s">
        <v>3</v>
      </c>
      <c r="C91" s="1">
        <v>2800</v>
      </c>
      <c r="D91">
        <v>8</v>
      </c>
      <c r="E91" t="s">
        <v>11</v>
      </c>
      <c r="F91" s="6"/>
      <c r="G91" s="7"/>
    </row>
    <row r="92" spans="1:7" x14ac:dyDescent="0.2">
      <c r="A92" s="4">
        <v>1898</v>
      </c>
      <c r="B92" t="s">
        <v>3</v>
      </c>
      <c r="C92" s="1">
        <v>7400</v>
      </c>
      <c r="D92">
        <v>8</v>
      </c>
      <c r="E92" t="s">
        <v>11</v>
      </c>
      <c r="F92" s="6"/>
      <c r="G92" s="7"/>
    </row>
    <row r="93" spans="1:7" x14ac:dyDescent="0.2">
      <c r="A93" s="4">
        <v>2525</v>
      </c>
      <c r="B93" t="s">
        <v>0</v>
      </c>
      <c r="C93" s="1">
        <v>6000</v>
      </c>
      <c r="D93">
        <v>8</v>
      </c>
      <c r="E93" t="s">
        <v>10</v>
      </c>
      <c r="F93" s="6"/>
      <c r="G93" s="7"/>
    </row>
    <row r="94" spans="1:7" x14ac:dyDescent="0.2">
      <c r="A94" s="4">
        <v>3083</v>
      </c>
      <c r="B94" t="s">
        <v>1</v>
      </c>
      <c r="C94" s="1">
        <v>9200</v>
      </c>
      <c r="D94">
        <v>8</v>
      </c>
      <c r="E94" t="s">
        <v>10</v>
      </c>
      <c r="F94" s="6"/>
      <c r="G94" s="7"/>
    </row>
    <row r="95" spans="1:7" x14ac:dyDescent="0.2">
      <c r="A95" s="4">
        <v>2522</v>
      </c>
      <c r="B95" t="s">
        <v>0</v>
      </c>
      <c r="C95" s="1">
        <v>6200</v>
      </c>
      <c r="D95">
        <v>8</v>
      </c>
      <c r="E95" t="s">
        <v>11</v>
      </c>
      <c r="F95" s="6"/>
      <c r="G95" s="7"/>
    </row>
    <row r="96" spans="1:7" x14ac:dyDescent="0.2">
      <c r="A96" s="4">
        <v>2537</v>
      </c>
      <c r="B96" t="s">
        <v>0</v>
      </c>
      <c r="C96" s="1">
        <v>3600</v>
      </c>
      <c r="D96">
        <v>8</v>
      </c>
      <c r="E96" t="s">
        <v>11</v>
      </c>
      <c r="F96" s="6"/>
      <c r="G96" s="7"/>
    </row>
    <row r="97" spans="1:7" x14ac:dyDescent="0.2">
      <c r="A97" s="4">
        <v>1942</v>
      </c>
      <c r="B97" t="s">
        <v>3</v>
      </c>
      <c r="C97" s="1">
        <v>11840</v>
      </c>
      <c r="D97">
        <v>8</v>
      </c>
      <c r="E97" t="s">
        <v>11</v>
      </c>
      <c r="F97" s="6"/>
      <c r="G97" s="7"/>
    </row>
    <row r="98" spans="1:7" x14ac:dyDescent="0.2">
      <c r="A98" s="4">
        <v>2524</v>
      </c>
      <c r="B98" t="s">
        <v>0</v>
      </c>
      <c r="C98" s="1">
        <v>8600</v>
      </c>
      <c r="D98">
        <v>8</v>
      </c>
      <c r="E98" t="s">
        <v>10</v>
      </c>
      <c r="F98" s="6"/>
      <c r="G98" s="7"/>
    </row>
    <row r="99" spans="1:7" x14ac:dyDescent="0.2">
      <c r="A99" s="4">
        <v>2761</v>
      </c>
      <c r="B99" t="s">
        <v>2</v>
      </c>
      <c r="C99" s="1">
        <v>11260</v>
      </c>
      <c r="D99">
        <v>8</v>
      </c>
      <c r="E99" t="s">
        <v>11</v>
      </c>
      <c r="F99" s="6"/>
      <c r="G99" s="7"/>
    </row>
    <row r="100" spans="1:7" x14ac:dyDescent="0.2">
      <c r="A100" s="4">
        <v>2601</v>
      </c>
      <c r="B100" t="s">
        <v>0</v>
      </c>
      <c r="C100">
        <v>100</v>
      </c>
      <c r="D100">
        <v>7</v>
      </c>
      <c r="E100" t="s">
        <v>11</v>
      </c>
      <c r="F100" s="6"/>
      <c r="G100" s="7"/>
    </row>
    <row r="101" spans="1:7" x14ac:dyDescent="0.2">
      <c r="A101" s="4">
        <v>2332</v>
      </c>
      <c r="B101" t="s">
        <v>0</v>
      </c>
      <c r="C101">
        <v>600</v>
      </c>
      <c r="D101">
        <v>7</v>
      </c>
      <c r="E101" t="s">
        <v>10</v>
      </c>
      <c r="F101" s="6"/>
      <c r="G101" s="7"/>
    </row>
    <row r="102" spans="1:7" x14ac:dyDescent="0.2">
      <c r="A102" s="4">
        <v>2340</v>
      </c>
      <c r="B102" t="s">
        <v>0</v>
      </c>
      <c r="C102">
        <v>450</v>
      </c>
      <c r="D102">
        <v>7</v>
      </c>
      <c r="E102" t="s">
        <v>10</v>
      </c>
      <c r="F102" s="6"/>
      <c r="G102" s="7"/>
    </row>
    <row r="103" spans="1:7" x14ac:dyDescent="0.2">
      <c r="A103" s="4">
        <v>2435</v>
      </c>
      <c r="B103" t="s">
        <v>0</v>
      </c>
      <c r="C103">
        <v>600</v>
      </c>
      <c r="D103">
        <v>7</v>
      </c>
      <c r="E103" t="s">
        <v>11</v>
      </c>
      <c r="F103" s="6"/>
      <c r="G103" s="7"/>
    </row>
    <row r="104" spans="1:7" x14ac:dyDescent="0.2">
      <c r="A104" s="4">
        <v>1406</v>
      </c>
      <c r="B104" t="s">
        <v>4</v>
      </c>
      <c r="C104">
        <v>2300</v>
      </c>
      <c r="D104">
        <v>7</v>
      </c>
      <c r="E104" t="s">
        <v>10</v>
      </c>
      <c r="F104" s="6"/>
      <c r="G104" s="7"/>
    </row>
    <row r="105" spans="1:7" x14ac:dyDescent="0.2">
      <c r="A105" s="4">
        <v>2149</v>
      </c>
      <c r="B105" t="s">
        <v>3</v>
      </c>
      <c r="C105">
        <v>350</v>
      </c>
      <c r="D105">
        <v>7</v>
      </c>
      <c r="E105" t="s">
        <v>10</v>
      </c>
      <c r="F105" s="6"/>
      <c r="G105" s="7"/>
    </row>
    <row r="106" spans="1:7" x14ac:dyDescent="0.2">
      <c r="A106" s="4">
        <v>2688</v>
      </c>
      <c r="B106" t="s">
        <v>2</v>
      </c>
      <c r="C106">
        <v>1090</v>
      </c>
      <c r="D106">
        <v>7</v>
      </c>
      <c r="E106" t="s">
        <v>10</v>
      </c>
      <c r="F106" s="6"/>
      <c r="G106" s="7"/>
    </row>
    <row r="107" spans="1:7" x14ac:dyDescent="0.2">
      <c r="A107" s="4">
        <v>1974</v>
      </c>
      <c r="B107" t="s">
        <v>3</v>
      </c>
      <c r="C107">
        <v>1100</v>
      </c>
      <c r="D107">
        <v>7</v>
      </c>
      <c r="E107" t="s">
        <v>11</v>
      </c>
      <c r="F107" s="6"/>
      <c r="G107" s="7"/>
    </row>
    <row r="108" spans="1:7" x14ac:dyDescent="0.2">
      <c r="A108" s="4">
        <v>1877</v>
      </c>
      <c r="B108" t="s">
        <v>3</v>
      </c>
      <c r="C108">
        <v>1400</v>
      </c>
      <c r="D108">
        <v>7</v>
      </c>
      <c r="E108" t="s">
        <v>11</v>
      </c>
      <c r="F108" s="6"/>
      <c r="G108" s="7"/>
    </row>
    <row r="109" spans="1:7" x14ac:dyDescent="0.2">
      <c r="A109" s="4">
        <v>6461</v>
      </c>
      <c r="B109" t="s">
        <v>3</v>
      </c>
      <c r="C109">
        <v>11200</v>
      </c>
      <c r="D109">
        <v>7</v>
      </c>
      <c r="E109" t="s">
        <v>11</v>
      </c>
      <c r="F109" s="6"/>
      <c r="G109" s="7"/>
    </row>
    <row r="110" spans="1:7" x14ac:dyDescent="0.2">
      <c r="A110" s="4">
        <v>1815</v>
      </c>
      <c r="B110" t="s">
        <v>3</v>
      </c>
      <c r="C110">
        <v>500</v>
      </c>
      <c r="D110">
        <v>7</v>
      </c>
      <c r="E110" t="s">
        <v>10</v>
      </c>
      <c r="F110" s="6"/>
      <c r="G110" s="7"/>
    </row>
    <row r="111" spans="1:7" x14ac:dyDescent="0.2">
      <c r="A111" s="4">
        <v>3296</v>
      </c>
      <c r="B111" s="1" t="s">
        <v>1</v>
      </c>
      <c r="C111">
        <v>2500</v>
      </c>
      <c r="D111">
        <v>7</v>
      </c>
      <c r="E111" t="s">
        <v>11</v>
      </c>
      <c r="F111" s="6"/>
      <c r="G111" s="7"/>
    </row>
    <row r="112" spans="1:7" x14ac:dyDescent="0.2">
      <c r="A112" s="4">
        <v>2770</v>
      </c>
      <c r="B112" s="1" t="s">
        <v>2</v>
      </c>
      <c r="C112">
        <v>2450</v>
      </c>
      <c r="D112">
        <v>7</v>
      </c>
      <c r="E112" t="s">
        <v>11</v>
      </c>
      <c r="F112" s="6"/>
      <c r="G112" s="7"/>
    </row>
    <row r="113" spans="1:7" x14ac:dyDescent="0.2">
      <c r="A113" s="4">
        <v>2334</v>
      </c>
      <c r="B113" s="1" t="s">
        <v>0</v>
      </c>
      <c r="C113">
        <v>600</v>
      </c>
      <c r="D113">
        <v>7</v>
      </c>
      <c r="E113" t="s">
        <v>10</v>
      </c>
      <c r="F113" s="6"/>
      <c r="G113" s="7"/>
    </row>
    <row r="114" spans="1:7" x14ac:dyDescent="0.2">
      <c r="A114" s="4">
        <v>3279</v>
      </c>
      <c r="B114" s="1" t="s">
        <v>1</v>
      </c>
      <c r="C114">
        <v>1200</v>
      </c>
      <c r="D114">
        <v>7</v>
      </c>
      <c r="E114" t="s">
        <v>11</v>
      </c>
      <c r="F114" s="6"/>
      <c r="G114" s="7"/>
    </row>
    <row r="115" spans="1:7" x14ac:dyDescent="0.2">
      <c r="A115" s="4">
        <v>6201</v>
      </c>
      <c r="B115" s="1" t="s">
        <v>1</v>
      </c>
      <c r="C115">
        <v>4305</v>
      </c>
      <c r="D115">
        <v>7</v>
      </c>
      <c r="E115" t="s">
        <v>10</v>
      </c>
      <c r="F115" s="6"/>
      <c r="G115" s="7"/>
    </row>
    <row r="116" spans="1:7" x14ac:dyDescent="0.2">
      <c r="A116" s="4">
        <v>1781</v>
      </c>
      <c r="B116" s="1" t="s">
        <v>3</v>
      </c>
      <c r="C116">
        <v>700</v>
      </c>
      <c r="D116">
        <v>7</v>
      </c>
      <c r="E116" t="s">
        <v>11</v>
      </c>
      <c r="F116" s="6"/>
      <c r="G116" s="7"/>
    </row>
    <row r="117" spans="1:7" x14ac:dyDescent="0.2">
      <c r="A117" s="4">
        <v>6344</v>
      </c>
      <c r="B117" s="1" t="s">
        <v>1</v>
      </c>
      <c r="C117">
        <v>4700</v>
      </c>
      <c r="D117">
        <v>7</v>
      </c>
      <c r="E117" t="s">
        <v>11</v>
      </c>
      <c r="F117" s="6"/>
      <c r="G117" s="7"/>
    </row>
    <row r="118" spans="1:7" x14ac:dyDescent="0.2">
      <c r="A118" s="4">
        <v>1418</v>
      </c>
      <c r="B118" s="1" t="s">
        <v>4</v>
      </c>
      <c r="C118">
        <v>700</v>
      </c>
      <c r="D118">
        <v>7</v>
      </c>
      <c r="E118" t="s">
        <v>10</v>
      </c>
      <c r="F118" s="6"/>
      <c r="G118" s="7"/>
    </row>
    <row r="119" spans="1:7" x14ac:dyDescent="0.2">
      <c r="A119" s="4">
        <v>1704</v>
      </c>
      <c r="B119" s="1" t="s">
        <v>3</v>
      </c>
      <c r="C119">
        <v>1500</v>
      </c>
      <c r="D119">
        <v>7</v>
      </c>
      <c r="E119" t="s">
        <v>10</v>
      </c>
      <c r="F119" s="6"/>
      <c r="G119" s="7"/>
    </row>
    <row r="120" spans="1:7" x14ac:dyDescent="0.2">
      <c r="A120" s="4">
        <v>1991</v>
      </c>
      <c r="B120" s="1" t="s">
        <v>3</v>
      </c>
      <c r="C120">
        <v>2400</v>
      </c>
      <c r="D120">
        <v>7</v>
      </c>
      <c r="E120" t="s">
        <v>11</v>
      </c>
      <c r="F120" s="6"/>
      <c r="G120" s="7"/>
    </row>
    <row r="121" spans="1:7" x14ac:dyDescent="0.2">
      <c r="A121" s="4">
        <v>2596</v>
      </c>
      <c r="B121" s="1" t="s">
        <v>0</v>
      </c>
      <c r="C121">
        <v>1500</v>
      </c>
      <c r="D121">
        <v>7</v>
      </c>
      <c r="E121" t="s">
        <v>11</v>
      </c>
      <c r="F121" s="6"/>
      <c r="G121" s="7"/>
    </row>
    <row r="122" spans="1:7" x14ac:dyDescent="0.2">
      <c r="A122" s="4">
        <v>3228</v>
      </c>
      <c r="B122" s="1" t="s">
        <v>1</v>
      </c>
      <c r="C122">
        <v>750</v>
      </c>
      <c r="D122">
        <v>7</v>
      </c>
      <c r="E122" t="s">
        <v>10</v>
      </c>
      <c r="F122" s="6"/>
      <c r="G122" s="7"/>
    </row>
    <row r="123" spans="1:7" x14ac:dyDescent="0.2">
      <c r="A123" s="4">
        <v>2219</v>
      </c>
      <c r="B123" s="1" t="s">
        <v>3</v>
      </c>
      <c r="C123">
        <v>1500</v>
      </c>
      <c r="D123">
        <v>7</v>
      </c>
      <c r="E123" t="s">
        <v>10</v>
      </c>
      <c r="F123" s="6"/>
      <c r="G123" s="7"/>
    </row>
    <row r="124" spans="1:7" x14ac:dyDescent="0.2">
      <c r="A124" s="4">
        <v>759</v>
      </c>
      <c r="B124" t="s">
        <v>4</v>
      </c>
      <c r="C124" s="1">
        <v>1000</v>
      </c>
      <c r="D124">
        <v>7</v>
      </c>
      <c r="E124" t="s">
        <v>11</v>
      </c>
      <c r="F124" s="6"/>
      <c r="G124" s="7"/>
    </row>
    <row r="125" spans="1:7" x14ac:dyDescent="0.2">
      <c r="A125" s="4">
        <v>1783</v>
      </c>
      <c r="B125" t="s">
        <v>3</v>
      </c>
      <c r="C125" s="1">
        <v>2550</v>
      </c>
      <c r="D125">
        <v>7</v>
      </c>
      <c r="E125" t="s">
        <v>11</v>
      </c>
      <c r="F125" s="6"/>
      <c r="G125" s="7"/>
    </row>
    <row r="126" spans="1:7" x14ac:dyDescent="0.2">
      <c r="A126" s="4">
        <v>5032</v>
      </c>
      <c r="B126" t="s">
        <v>4</v>
      </c>
      <c r="C126" s="1">
        <v>1400</v>
      </c>
      <c r="D126">
        <v>7</v>
      </c>
      <c r="E126" t="s">
        <v>11</v>
      </c>
      <c r="F126" s="6"/>
      <c r="G126" s="7"/>
    </row>
    <row r="127" spans="1:7" x14ac:dyDescent="0.2">
      <c r="A127" s="4">
        <v>2314</v>
      </c>
      <c r="B127" t="s">
        <v>0</v>
      </c>
      <c r="C127" s="1">
        <v>3500</v>
      </c>
      <c r="D127">
        <v>7</v>
      </c>
      <c r="E127" t="s">
        <v>10</v>
      </c>
      <c r="F127" s="6"/>
      <c r="G127" s="7"/>
    </row>
    <row r="128" spans="1:7" x14ac:dyDescent="0.2">
      <c r="A128" s="4">
        <v>2392</v>
      </c>
      <c r="B128" t="s">
        <v>0</v>
      </c>
      <c r="C128" s="1">
        <v>2000</v>
      </c>
      <c r="D128">
        <v>7</v>
      </c>
      <c r="E128" t="s">
        <v>10</v>
      </c>
      <c r="F128" s="6"/>
      <c r="G128" s="7"/>
    </row>
    <row r="129" spans="1:7" x14ac:dyDescent="0.2">
      <c r="A129" s="4">
        <v>2521</v>
      </c>
      <c r="B129" t="s">
        <v>0</v>
      </c>
      <c r="C129" s="1">
        <v>2850</v>
      </c>
      <c r="D129">
        <v>7</v>
      </c>
      <c r="E129" t="s">
        <v>11</v>
      </c>
      <c r="F129" s="6"/>
      <c r="G129" s="7"/>
    </row>
    <row r="130" spans="1:7" x14ac:dyDescent="0.2">
      <c r="A130" s="4">
        <v>2863</v>
      </c>
      <c r="B130" t="s">
        <v>2</v>
      </c>
      <c r="C130" s="1">
        <v>3000</v>
      </c>
      <c r="D130">
        <v>7</v>
      </c>
      <c r="E130" t="s">
        <v>10</v>
      </c>
      <c r="F130" s="6"/>
      <c r="G130" s="7"/>
    </row>
    <row r="131" spans="1:7" x14ac:dyDescent="0.2">
      <c r="A131" s="4">
        <v>3161</v>
      </c>
      <c r="B131" t="s">
        <v>1</v>
      </c>
      <c r="C131" s="1">
        <v>3655</v>
      </c>
      <c r="D131">
        <v>7</v>
      </c>
      <c r="E131" t="s">
        <v>11</v>
      </c>
      <c r="F131" s="6"/>
      <c r="G131" s="7"/>
    </row>
    <row r="132" spans="1:7" x14ac:dyDescent="0.2">
      <c r="A132" s="4">
        <v>2987</v>
      </c>
      <c r="B132" t="s">
        <v>1</v>
      </c>
      <c r="C132" s="1">
        <v>9000</v>
      </c>
      <c r="D132">
        <v>7</v>
      </c>
      <c r="E132" t="s">
        <v>11</v>
      </c>
      <c r="F132" s="6"/>
      <c r="G132" s="7"/>
    </row>
    <row r="133" spans="1:7" x14ac:dyDescent="0.2">
      <c r="A133" s="4">
        <v>2804</v>
      </c>
      <c r="B133" t="s">
        <v>2</v>
      </c>
      <c r="C133" s="1">
        <v>3800</v>
      </c>
      <c r="D133">
        <v>7</v>
      </c>
      <c r="E133" t="s">
        <v>11</v>
      </c>
      <c r="F133" s="6"/>
      <c r="G133" s="7"/>
    </row>
    <row r="134" spans="1:7" x14ac:dyDescent="0.2">
      <c r="A134" s="4">
        <v>6741</v>
      </c>
      <c r="B134" t="s">
        <v>3</v>
      </c>
      <c r="C134" s="1">
        <v>2600</v>
      </c>
      <c r="D134">
        <v>7</v>
      </c>
      <c r="E134" t="s">
        <v>11</v>
      </c>
      <c r="F134" s="6"/>
      <c r="G134" s="7"/>
    </row>
    <row r="135" spans="1:7" x14ac:dyDescent="0.2">
      <c r="A135" s="4">
        <v>2233</v>
      </c>
      <c r="B135" t="s">
        <v>3</v>
      </c>
      <c r="C135" s="1">
        <v>2800</v>
      </c>
      <c r="D135">
        <v>7</v>
      </c>
      <c r="E135" t="s">
        <v>11</v>
      </c>
      <c r="F135" s="6"/>
      <c r="G135" s="7"/>
    </row>
    <row r="136" spans="1:7" x14ac:dyDescent="0.2">
      <c r="A136" s="4">
        <v>2533</v>
      </c>
      <c r="B136" t="s">
        <v>0</v>
      </c>
      <c r="C136" s="1">
        <v>2000</v>
      </c>
      <c r="D136">
        <v>7</v>
      </c>
      <c r="E136" t="s">
        <v>11</v>
      </c>
      <c r="F136" s="6"/>
      <c r="G136" s="7"/>
    </row>
    <row r="137" spans="1:7" x14ac:dyDescent="0.2">
      <c r="A137" s="4">
        <v>3259</v>
      </c>
      <c r="B137" t="s">
        <v>1</v>
      </c>
      <c r="C137" s="1">
        <v>2000</v>
      </c>
      <c r="D137">
        <v>7</v>
      </c>
      <c r="E137" t="s">
        <v>11</v>
      </c>
      <c r="F137" s="6"/>
      <c r="G137" s="7"/>
    </row>
    <row r="138" spans="1:7" x14ac:dyDescent="0.2">
      <c r="A138" s="4">
        <v>2426</v>
      </c>
      <c r="B138" t="s">
        <v>0</v>
      </c>
      <c r="C138" s="1">
        <v>4700</v>
      </c>
      <c r="D138">
        <v>7</v>
      </c>
      <c r="E138" t="s">
        <v>11</v>
      </c>
      <c r="F138" s="6"/>
      <c r="G138" s="7"/>
    </row>
    <row r="139" spans="1:7" x14ac:dyDescent="0.2">
      <c r="A139" s="4">
        <v>2650</v>
      </c>
      <c r="B139" t="s">
        <v>2</v>
      </c>
      <c r="C139" s="1">
        <v>9000</v>
      </c>
      <c r="D139">
        <v>7</v>
      </c>
      <c r="E139" t="s">
        <v>11</v>
      </c>
      <c r="F139" s="6"/>
      <c r="G139" s="7"/>
    </row>
    <row r="140" spans="1:7" x14ac:dyDescent="0.2">
      <c r="A140" s="4">
        <v>2180</v>
      </c>
      <c r="B140" t="s">
        <v>3</v>
      </c>
      <c r="C140" s="1">
        <v>6300</v>
      </c>
      <c r="D140">
        <v>7</v>
      </c>
      <c r="E140" t="s">
        <v>10</v>
      </c>
      <c r="F140" s="6"/>
      <c r="G140" s="7"/>
    </row>
    <row r="141" spans="1:7" x14ac:dyDescent="0.2">
      <c r="A141" s="4">
        <v>2156</v>
      </c>
      <c r="B141" t="s">
        <v>3</v>
      </c>
      <c r="C141" s="1">
        <v>13200</v>
      </c>
      <c r="D141">
        <v>7</v>
      </c>
      <c r="E141" t="s">
        <v>11</v>
      </c>
      <c r="F141" s="6"/>
      <c r="G141" s="7"/>
    </row>
    <row r="142" spans="1:7" x14ac:dyDescent="0.2">
      <c r="A142" s="4">
        <v>2512</v>
      </c>
      <c r="B142" t="s">
        <v>0</v>
      </c>
      <c r="C142" s="1">
        <v>6500</v>
      </c>
      <c r="D142">
        <v>7</v>
      </c>
      <c r="E142" t="s">
        <v>11</v>
      </c>
      <c r="F142" s="6"/>
      <c r="G142" s="7"/>
    </row>
    <row r="143" spans="1:7" x14ac:dyDescent="0.2">
      <c r="A143" s="4">
        <v>1852</v>
      </c>
      <c r="B143" t="s">
        <v>3</v>
      </c>
      <c r="C143" s="1">
        <v>7000</v>
      </c>
      <c r="D143">
        <v>7</v>
      </c>
      <c r="E143" t="s">
        <v>10</v>
      </c>
      <c r="F143" s="6"/>
      <c r="G143" s="7"/>
    </row>
    <row r="144" spans="1:7" x14ac:dyDescent="0.2">
      <c r="A144" s="4">
        <v>2562</v>
      </c>
      <c r="B144" t="s">
        <v>0</v>
      </c>
      <c r="C144" s="1">
        <v>8500</v>
      </c>
      <c r="D144">
        <v>7</v>
      </c>
      <c r="E144" t="s">
        <v>11</v>
      </c>
      <c r="F144" s="6"/>
      <c r="G144" s="7"/>
    </row>
    <row r="145" spans="1:7" x14ac:dyDescent="0.2">
      <c r="A145" s="4">
        <v>5601</v>
      </c>
      <c r="B145" t="s">
        <v>0</v>
      </c>
      <c r="C145" s="1">
        <v>3600</v>
      </c>
      <c r="D145">
        <v>7</v>
      </c>
      <c r="E145" t="s">
        <v>11</v>
      </c>
      <c r="F145" s="6"/>
      <c r="G145" s="7"/>
    </row>
    <row r="146" spans="1:7" x14ac:dyDescent="0.2">
      <c r="A146" s="4">
        <v>5921</v>
      </c>
      <c r="B146" t="s">
        <v>2</v>
      </c>
      <c r="C146" s="1">
        <v>7200</v>
      </c>
      <c r="D146">
        <v>7</v>
      </c>
      <c r="E146" t="s">
        <v>10</v>
      </c>
      <c r="F146" s="6"/>
      <c r="G146" s="7"/>
    </row>
    <row r="147" spans="1:7" x14ac:dyDescent="0.2">
      <c r="A147" s="4">
        <v>2405</v>
      </c>
      <c r="B147" t="s">
        <v>0</v>
      </c>
      <c r="C147">
        <v>590</v>
      </c>
      <c r="D147">
        <v>6</v>
      </c>
      <c r="E147" t="s">
        <v>10</v>
      </c>
      <c r="F147" s="6"/>
      <c r="G147" s="7"/>
    </row>
    <row r="148" spans="1:7" x14ac:dyDescent="0.2">
      <c r="A148" s="4">
        <v>2640</v>
      </c>
      <c r="B148" t="s">
        <v>0</v>
      </c>
      <c r="C148">
        <v>600</v>
      </c>
      <c r="D148">
        <v>6</v>
      </c>
      <c r="E148" t="s">
        <v>11</v>
      </c>
      <c r="F148" s="6"/>
      <c r="G148" s="7"/>
    </row>
    <row r="149" spans="1:7" x14ac:dyDescent="0.2">
      <c r="A149" s="4">
        <v>3065</v>
      </c>
      <c r="B149" t="s">
        <v>1</v>
      </c>
      <c r="C149">
        <v>2320</v>
      </c>
      <c r="D149">
        <v>6</v>
      </c>
      <c r="E149" t="s">
        <v>11</v>
      </c>
      <c r="F149" s="6"/>
      <c r="G149" s="7"/>
    </row>
    <row r="150" spans="1:7" x14ac:dyDescent="0.2">
      <c r="A150" s="4">
        <v>2337</v>
      </c>
      <c r="B150" t="s">
        <v>0</v>
      </c>
      <c r="C150">
        <v>2800</v>
      </c>
      <c r="D150">
        <v>6</v>
      </c>
      <c r="E150" t="s">
        <v>11</v>
      </c>
      <c r="F150" s="6"/>
      <c r="G150" s="7"/>
    </row>
    <row r="151" spans="1:7" x14ac:dyDescent="0.2">
      <c r="A151" s="4">
        <v>2698</v>
      </c>
      <c r="B151" t="s">
        <v>2</v>
      </c>
      <c r="C151">
        <v>1392</v>
      </c>
      <c r="D151">
        <v>6</v>
      </c>
      <c r="E151" t="s">
        <v>11</v>
      </c>
      <c r="F151" s="6"/>
      <c r="G151" s="7"/>
    </row>
    <row r="152" spans="1:7" x14ac:dyDescent="0.2">
      <c r="A152" s="4">
        <v>2425</v>
      </c>
      <c r="B152" t="s">
        <v>0</v>
      </c>
      <c r="C152">
        <v>220</v>
      </c>
      <c r="D152">
        <v>6</v>
      </c>
      <c r="E152" t="s">
        <v>10</v>
      </c>
      <c r="F152" s="6"/>
      <c r="G152" s="7"/>
    </row>
    <row r="153" spans="1:7" x14ac:dyDescent="0.2">
      <c r="A153" s="4">
        <v>2624</v>
      </c>
      <c r="B153" t="s">
        <v>0</v>
      </c>
      <c r="C153">
        <v>2150</v>
      </c>
      <c r="D153">
        <v>6</v>
      </c>
      <c r="E153" t="s">
        <v>10</v>
      </c>
      <c r="F153" s="6"/>
      <c r="G153" s="7"/>
    </row>
    <row r="154" spans="1:7" x14ac:dyDescent="0.2">
      <c r="A154" s="4">
        <v>6128</v>
      </c>
      <c r="B154" t="s">
        <v>1</v>
      </c>
      <c r="C154">
        <v>1400</v>
      </c>
      <c r="D154">
        <v>6</v>
      </c>
      <c r="E154" t="s">
        <v>10</v>
      </c>
      <c r="F154" s="6"/>
      <c r="G154" s="7"/>
    </row>
    <row r="155" spans="1:7" x14ac:dyDescent="0.2">
      <c r="A155" s="4">
        <v>1625</v>
      </c>
      <c r="B155" t="s">
        <v>5</v>
      </c>
      <c r="C155">
        <v>1250</v>
      </c>
      <c r="D155">
        <v>6</v>
      </c>
      <c r="E155" t="s">
        <v>11</v>
      </c>
      <c r="F155" s="6"/>
      <c r="G155" s="7"/>
    </row>
    <row r="156" spans="1:7" x14ac:dyDescent="0.2">
      <c r="A156" s="4">
        <v>3070</v>
      </c>
      <c r="B156" t="s">
        <v>1</v>
      </c>
      <c r="C156">
        <v>800</v>
      </c>
      <c r="D156">
        <v>6</v>
      </c>
      <c r="E156" t="s">
        <v>11</v>
      </c>
      <c r="F156" s="6"/>
      <c r="G156" s="7"/>
    </row>
    <row r="157" spans="1:7" x14ac:dyDescent="0.2">
      <c r="A157" s="4">
        <v>2398</v>
      </c>
      <c r="B157" t="s">
        <v>0</v>
      </c>
      <c r="C157">
        <v>1429</v>
      </c>
      <c r="D157">
        <v>6</v>
      </c>
      <c r="E157" t="s">
        <v>10</v>
      </c>
      <c r="F157" s="6"/>
      <c r="G157" s="7"/>
    </row>
    <row r="158" spans="1:7" x14ac:dyDescent="0.2">
      <c r="A158" s="4">
        <v>5150</v>
      </c>
      <c r="B158" t="s">
        <v>4</v>
      </c>
      <c r="C158">
        <v>1900</v>
      </c>
      <c r="D158">
        <v>6</v>
      </c>
      <c r="E158" t="s">
        <v>10</v>
      </c>
      <c r="F158" s="6"/>
      <c r="G158" s="7"/>
    </row>
    <row r="159" spans="1:7" x14ac:dyDescent="0.2">
      <c r="A159" s="4">
        <v>6243</v>
      </c>
      <c r="B159" t="s">
        <v>1</v>
      </c>
      <c r="C159">
        <v>750</v>
      </c>
      <c r="D159">
        <v>6</v>
      </c>
      <c r="E159" t="s">
        <v>11</v>
      </c>
      <c r="F159" s="6"/>
      <c r="G159" s="7"/>
    </row>
    <row r="160" spans="1:7" x14ac:dyDescent="0.2">
      <c r="A160" s="4">
        <v>1785</v>
      </c>
      <c r="B160" t="s">
        <v>3</v>
      </c>
      <c r="C160">
        <v>450</v>
      </c>
      <c r="D160">
        <v>6</v>
      </c>
      <c r="E160" t="s">
        <v>10</v>
      </c>
      <c r="F160" s="6"/>
      <c r="G160" s="7"/>
    </row>
    <row r="161" spans="1:7" x14ac:dyDescent="0.2">
      <c r="A161" s="4">
        <v>1692</v>
      </c>
      <c r="B161" t="s">
        <v>5</v>
      </c>
      <c r="C161">
        <v>4883</v>
      </c>
      <c r="D161">
        <v>6</v>
      </c>
      <c r="E161" t="s">
        <v>10</v>
      </c>
      <c r="F161" s="6"/>
      <c r="G161" s="7"/>
    </row>
    <row r="162" spans="1:7" x14ac:dyDescent="0.2">
      <c r="A162" s="4">
        <v>3007</v>
      </c>
      <c r="B162" t="s">
        <v>1</v>
      </c>
      <c r="C162">
        <v>1400</v>
      </c>
      <c r="D162">
        <v>6</v>
      </c>
      <c r="E162" t="s">
        <v>10</v>
      </c>
      <c r="F162" s="6"/>
      <c r="G162" s="7"/>
    </row>
    <row r="163" spans="1:7" x14ac:dyDescent="0.2">
      <c r="A163" s="4">
        <v>6663</v>
      </c>
      <c r="B163" s="1" t="s">
        <v>3</v>
      </c>
      <c r="C163">
        <v>850</v>
      </c>
      <c r="D163">
        <v>6</v>
      </c>
      <c r="E163" t="s">
        <v>11</v>
      </c>
      <c r="F163" s="6"/>
      <c r="G163" s="7"/>
    </row>
    <row r="164" spans="1:7" x14ac:dyDescent="0.2">
      <c r="A164" s="4">
        <v>6961</v>
      </c>
      <c r="B164" s="1" t="s">
        <v>3</v>
      </c>
      <c r="C164">
        <v>1550</v>
      </c>
      <c r="D164">
        <v>6</v>
      </c>
      <c r="E164" t="s">
        <v>11</v>
      </c>
      <c r="F164" s="6"/>
      <c r="G164" s="7"/>
    </row>
    <row r="165" spans="1:7" x14ac:dyDescent="0.2">
      <c r="A165" s="4">
        <v>1734</v>
      </c>
      <c r="B165" s="1" t="s">
        <v>3</v>
      </c>
      <c r="C165">
        <v>2800</v>
      </c>
      <c r="D165">
        <v>6</v>
      </c>
      <c r="E165" t="s">
        <v>11</v>
      </c>
      <c r="F165" s="6"/>
      <c r="G165" s="7"/>
    </row>
    <row r="166" spans="1:7" x14ac:dyDescent="0.2">
      <c r="A166" s="4">
        <v>2325</v>
      </c>
      <c r="B166" s="1" t="s">
        <v>0</v>
      </c>
      <c r="C166">
        <v>750</v>
      </c>
      <c r="D166">
        <v>6</v>
      </c>
      <c r="E166" t="s">
        <v>10</v>
      </c>
      <c r="F166" s="6"/>
      <c r="G166" s="7"/>
    </row>
    <row r="167" spans="1:7" x14ac:dyDescent="0.2">
      <c r="A167" s="4">
        <v>2639</v>
      </c>
      <c r="B167" s="1" t="s">
        <v>0</v>
      </c>
      <c r="C167">
        <v>1500</v>
      </c>
      <c r="D167">
        <v>6</v>
      </c>
      <c r="E167" t="s">
        <v>11</v>
      </c>
      <c r="F167" s="6"/>
      <c r="G167" s="7"/>
    </row>
    <row r="168" spans="1:7" x14ac:dyDescent="0.2">
      <c r="A168" s="4">
        <v>1574</v>
      </c>
      <c r="B168" s="1" t="s">
        <v>5</v>
      </c>
      <c r="C168">
        <v>4800</v>
      </c>
      <c r="D168">
        <v>6</v>
      </c>
      <c r="E168" t="s">
        <v>10</v>
      </c>
      <c r="F168" s="6"/>
      <c r="G168" s="7"/>
    </row>
    <row r="169" spans="1:7" x14ac:dyDescent="0.2">
      <c r="A169" s="4">
        <v>1685</v>
      </c>
      <c r="B169" s="1" t="s">
        <v>5</v>
      </c>
      <c r="C169">
        <v>9891</v>
      </c>
      <c r="D169">
        <v>6</v>
      </c>
      <c r="E169" t="s">
        <v>11</v>
      </c>
      <c r="F169" s="6"/>
      <c r="G169" s="7"/>
    </row>
    <row r="170" spans="1:7" x14ac:dyDescent="0.2">
      <c r="A170" s="4">
        <v>2369</v>
      </c>
      <c r="B170" s="1" t="s">
        <v>0</v>
      </c>
      <c r="C170">
        <v>2700</v>
      </c>
      <c r="D170">
        <v>6</v>
      </c>
      <c r="E170" t="s">
        <v>11</v>
      </c>
      <c r="F170" s="6"/>
      <c r="G170" s="7"/>
    </row>
    <row r="171" spans="1:7" x14ac:dyDescent="0.2">
      <c r="A171" s="4">
        <v>2666</v>
      </c>
      <c r="B171" s="1" t="s">
        <v>2</v>
      </c>
      <c r="C171">
        <v>9700</v>
      </c>
      <c r="D171">
        <v>6</v>
      </c>
      <c r="E171" t="s">
        <v>11</v>
      </c>
      <c r="F171" s="6"/>
      <c r="G171" s="7"/>
    </row>
    <row r="172" spans="1:7" x14ac:dyDescent="0.2">
      <c r="A172" s="4">
        <v>2611</v>
      </c>
      <c r="B172" s="1" t="s">
        <v>0</v>
      </c>
      <c r="C172">
        <v>4780</v>
      </c>
      <c r="D172">
        <v>6</v>
      </c>
      <c r="E172" t="s">
        <v>11</v>
      </c>
      <c r="F172" s="6"/>
      <c r="G172" s="7"/>
    </row>
    <row r="173" spans="1:7" x14ac:dyDescent="0.2">
      <c r="A173" s="4">
        <v>6164</v>
      </c>
      <c r="B173" s="1" t="s">
        <v>1</v>
      </c>
      <c r="C173">
        <v>1670</v>
      </c>
      <c r="D173">
        <v>6</v>
      </c>
      <c r="E173" t="s">
        <v>11</v>
      </c>
      <c r="F173" s="6"/>
      <c r="G173" s="7"/>
    </row>
    <row r="174" spans="1:7" x14ac:dyDescent="0.2">
      <c r="A174" s="4">
        <v>2971</v>
      </c>
      <c r="B174" s="1" t="s">
        <v>1</v>
      </c>
      <c r="C174">
        <v>1600</v>
      </c>
      <c r="D174">
        <v>6</v>
      </c>
      <c r="E174" t="s">
        <v>11</v>
      </c>
      <c r="F174" s="6"/>
      <c r="G174" s="7"/>
    </row>
    <row r="175" spans="1:7" x14ac:dyDescent="0.2">
      <c r="A175" s="4">
        <v>5021</v>
      </c>
      <c r="B175" s="1" t="s">
        <v>4</v>
      </c>
      <c r="C175">
        <v>1160</v>
      </c>
      <c r="D175">
        <v>6</v>
      </c>
      <c r="E175" t="s">
        <v>10</v>
      </c>
      <c r="F175" s="6"/>
      <c r="G175" s="7"/>
    </row>
    <row r="176" spans="1:7" x14ac:dyDescent="0.2">
      <c r="A176" s="4">
        <v>834</v>
      </c>
      <c r="B176" s="1" t="s">
        <v>4</v>
      </c>
      <c r="C176">
        <v>2870</v>
      </c>
      <c r="D176">
        <v>6</v>
      </c>
      <c r="E176" t="s">
        <v>10</v>
      </c>
      <c r="F176" s="6"/>
      <c r="G176" s="7"/>
    </row>
    <row r="177" spans="1:7" x14ac:dyDescent="0.2">
      <c r="A177" s="4">
        <v>2509</v>
      </c>
      <c r="B177" s="1" t="s">
        <v>0</v>
      </c>
      <c r="C177">
        <v>900</v>
      </c>
      <c r="D177">
        <v>6</v>
      </c>
      <c r="E177" t="s">
        <v>11</v>
      </c>
      <c r="F177" s="6"/>
      <c r="G177" s="7"/>
    </row>
    <row r="178" spans="1:7" x14ac:dyDescent="0.2">
      <c r="A178" s="4">
        <v>3045</v>
      </c>
      <c r="B178" s="1" t="s">
        <v>1</v>
      </c>
      <c r="C178">
        <v>900</v>
      </c>
      <c r="D178">
        <v>6</v>
      </c>
      <c r="E178" t="s">
        <v>10</v>
      </c>
      <c r="F178" s="6"/>
      <c r="G178" s="7"/>
    </row>
    <row r="179" spans="1:7" x14ac:dyDescent="0.2">
      <c r="A179" s="4">
        <v>917</v>
      </c>
      <c r="B179" t="s">
        <v>4</v>
      </c>
      <c r="C179" s="1">
        <v>2900</v>
      </c>
      <c r="D179">
        <v>6</v>
      </c>
      <c r="E179" t="s">
        <v>11</v>
      </c>
      <c r="F179" s="6"/>
      <c r="G179" s="7"/>
    </row>
    <row r="180" spans="1:7" x14ac:dyDescent="0.2">
      <c r="A180" s="4">
        <v>1926</v>
      </c>
      <c r="B180" t="s">
        <v>3</v>
      </c>
      <c r="C180" s="1">
        <v>2000</v>
      </c>
      <c r="D180">
        <v>6</v>
      </c>
      <c r="E180" t="s">
        <v>10</v>
      </c>
      <c r="F180" s="6"/>
      <c r="G180" s="7"/>
    </row>
    <row r="181" spans="1:7" x14ac:dyDescent="0.2">
      <c r="A181" s="4">
        <v>2696</v>
      </c>
      <c r="B181" t="s">
        <v>2</v>
      </c>
      <c r="C181" s="1">
        <v>2400</v>
      </c>
      <c r="D181">
        <v>6</v>
      </c>
      <c r="E181" t="s">
        <v>11</v>
      </c>
      <c r="F181" s="6"/>
      <c r="G181" s="7"/>
    </row>
    <row r="182" spans="1:7" x14ac:dyDescent="0.2">
      <c r="A182" s="4">
        <v>6043</v>
      </c>
      <c r="B182" t="s">
        <v>1</v>
      </c>
      <c r="C182" s="1">
        <v>3656</v>
      </c>
      <c r="D182">
        <v>6</v>
      </c>
      <c r="E182" t="s">
        <v>11</v>
      </c>
      <c r="F182" s="6"/>
      <c r="G182" s="7"/>
    </row>
    <row r="183" spans="1:7" x14ac:dyDescent="0.2">
      <c r="A183" s="4">
        <v>1405</v>
      </c>
      <c r="B183" t="s">
        <v>4</v>
      </c>
      <c r="C183" s="1">
        <v>1100</v>
      </c>
      <c r="D183">
        <v>6</v>
      </c>
      <c r="E183" t="s">
        <v>11</v>
      </c>
      <c r="F183" s="6"/>
      <c r="G183" s="7"/>
    </row>
    <row r="184" spans="1:7" x14ac:dyDescent="0.2">
      <c r="A184" s="4">
        <v>544</v>
      </c>
      <c r="B184" t="s">
        <v>4</v>
      </c>
      <c r="C184" s="1">
        <v>1200</v>
      </c>
      <c r="D184">
        <v>6</v>
      </c>
      <c r="E184" t="s">
        <v>11</v>
      </c>
      <c r="F184" s="6"/>
      <c r="G184" s="7"/>
    </row>
    <row r="185" spans="1:7" x14ac:dyDescent="0.2">
      <c r="A185" s="4">
        <v>2135</v>
      </c>
      <c r="B185" t="s">
        <v>3</v>
      </c>
      <c r="C185" s="1">
        <v>1400</v>
      </c>
      <c r="D185">
        <v>6</v>
      </c>
      <c r="E185" t="s">
        <v>11</v>
      </c>
      <c r="F185" s="6"/>
      <c r="G185" s="7"/>
    </row>
    <row r="186" spans="1:7" x14ac:dyDescent="0.2">
      <c r="A186" s="4">
        <v>2923</v>
      </c>
      <c r="B186" t="s">
        <v>1</v>
      </c>
      <c r="C186" s="1">
        <v>3000</v>
      </c>
      <c r="D186">
        <v>6</v>
      </c>
      <c r="E186" t="s">
        <v>11</v>
      </c>
      <c r="F186" s="6"/>
      <c r="G186" s="7"/>
    </row>
    <row r="187" spans="1:7" x14ac:dyDescent="0.2">
      <c r="A187" s="4">
        <v>2148</v>
      </c>
      <c r="B187" t="s">
        <v>3</v>
      </c>
      <c r="C187" s="1">
        <v>1620</v>
      </c>
      <c r="D187">
        <v>6</v>
      </c>
      <c r="E187" t="s">
        <v>11</v>
      </c>
      <c r="F187" s="6"/>
      <c r="G187" s="7"/>
    </row>
    <row r="188" spans="1:7" x14ac:dyDescent="0.2">
      <c r="A188" s="4">
        <v>805</v>
      </c>
      <c r="B188" t="s">
        <v>4</v>
      </c>
      <c r="C188" s="1">
        <v>1800</v>
      </c>
      <c r="D188">
        <v>6</v>
      </c>
      <c r="E188" t="s">
        <v>10</v>
      </c>
      <c r="F188" s="6"/>
      <c r="G188" s="7"/>
    </row>
    <row r="189" spans="1:7" x14ac:dyDescent="0.2">
      <c r="A189" s="4">
        <v>1607</v>
      </c>
      <c r="B189" t="s">
        <v>5</v>
      </c>
      <c r="C189" s="1">
        <v>4877</v>
      </c>
      <c r="D189">
        <v>6</v>
      </c>
      <c r="E189" t="s">
        <v>10</v>
      </c>
      <c r="F189" s="6"/>
      <c r="G189" s="7"/>
    </row>
    <row r="190" spans="1:7" x14ac:dyDescent="0.2">
      <c r="A190" s="4">
        <v>1959</v>
      </c>
      <c r="B190" t="s">
        <v>3</v>
      </c>
      <c r="C190" s="1">
        <v>3300</v>
      </c>
      <c r="D190">
        <v>6</v>
      </c>
      <c r="E190" t="s">
        <v>10</v>
      </c>
      <c r="F190" s="6"/>
      <c r="G190" s="7"/>
    </row>
    <row r="191" spans="1:7" x14ac:dyDescent="0.2">
      <c r="A191" s="4">
        <v>3054</v>
      </c>
      <c r="B191" t="s">
        <v>1</v>
      </c>
      <c r="C191" s="1">
        <v>2820</v>
      </c>
      <c r="D191">
        <v>6</v>
      </c>
      <c r="E191" t="s">
        <v>10</v>
      </c>
      <c r="F191" s="6"/>
      <c r="G191" s="7"/>
    </row>
    <row r="192" spans="1:7" x14ac:dyDescent="0.2">
      <c r="A192" s="4">
        <v>2053</v>
      </c>
      <c r="B192" t="s">
        <v>3</v>
      </c>
      <c r="C192" s="1">
        <v>2000</v>
      </c>
      <c r="D192">
        <v>6</v>
      </c>
      <c r="E192" t="s">
        <v>11</v>
      </c>
      <c r="F192" s="6"/>
      <c r="G192" s="7"/>
    </row>
    <row r="193" spans="1:7" x14ac:dyDescent="0.2">
      <c r="A193" s="4">
        <v>2610</v>
      </c>
      <c r="B193" t="s">
        <v>0</v>
      </c>
      <c r="C193" s="1">
        <v>2000</v>
      </c>
      <c r="D193">
        <v>6</v>
      </c>
      <c r="E193" t="s">
        <v>11</v>
      </c>
      <c r="F193" s="6"/>
      <c r="G193" s="7"/>
    </row>
    <row r="194" spans="1:7" x14ac:dyDescent="0.2">
      <c r="A194" s="4">
        <v>2652</v>
      </c>
      <c r="B194" t="s">
        <v>2</v>
      </c>
      <c r="C194" s="1">
        <v>4400</v>
      </c>
      <c r="D194">
        <v>6</v>
      </c>
      <c r="E194" t="s">
        <v>11</v>
      </c>
      <c r="F194" s="6"/>
      <c r="G194" s="7"/>
    </row>
    <row r="195" spans="1:7" x14ac:dyDescent="0.2">
      <c r="A195" s="4">
        <v>2902</v>
      </c>
      <c r="B195" t="s">
        <v>1</v>
      </c>
      <c r="C195" s="1">
        <v>2000</v>
      </c>
      <c r="D195">
        <v>6</v>
      </c>
      <c r="E195" t="s">
        <v>10</v>
      </c>
      <c r="F195" s="6"/>
      <c r="G195" s="7"/>
    </row>
    <row r="196" spans="1:7" x14ac:dyDescent="0.2">
      <c r="A196" s="4">
        <v>5143</v>
      </c>
      <c r="B196" t="s">
        <v>4</v>
      </c>
      <c r="C196" s="1">
        <v>3400</v>
      </c>
      <c r="D196">
        <v>6</v>
      </c>
      <c r="E196" t="s">
        <v>10</v>
      </c>
      <c r="F196" s="6"/>
      <c r="G196" s="7"/>
    </row>
    <row r="197" spans="1:7" x14ac:dyDescent="0.2">
      <c r="A197" s="4">
        <v>3232</v>
      </c>
      <c r="B197" t="s">
        <v>1</v>
      </c>
      <c r="C197" s="1">
        <v>2200</v>
      </c>
      <c r="D197">
        <v>6</v>
      </c>
      <c r="E197" t="s">
        <v>10</v>
      </c>
      <c r="F197" s="6"/>
      <c r="G197" s="7"/>
    </row>
    <row r="198" spans="1:7" x14ac:dyDescent="0.2">
      <c r="A198" s="4">
        <v>2367</v>
      </c>
      <c r="B198" t="s">
        <v>0</v>
      </c>
      <c r="C198" s="1">
        <v>4500</v>
      </c>
      <c r="D198">
        <v>6</v>
      </c>
      <c r="E198" t="s">
        <v>11</v>
      </c>
      <c r="F198" s="6"/>
      <c r="G198" s="7"/>
    </row>
    <row r="199" spans="1:7" x14ac:dyDescent="0.2">
      <c r="A199" s="4">
        <v>2605</v>
      </c>
      <c r="B199" t="s">
        <v>0</v>
      </c>
      <c r="C199" s="1">
        <v>2500</v>
      </c>
      <c r="D199">
        <v>6</v>
      </c>
      <c r="E199" t="s">
        <v>11</v>
      </c>
      <c r="F199" s="6"/>
      <c r="G199" s="7"/>
    </row>
    <row r="200" spans="1:7" x14ac:dyDescent="0.2">
      <c r="A200" s="4">
        <v>532</v>
      </c>
      <c r="B200" t="s">
        <v>4</v>
      </c>
      <c r="C200" s="1">
        <v>3500</v>
      </c>
      <c r="D200">
        <v>6</v>
      </c>
      <c r="E200" t="s">
        <v>10</v>
      </c>
      <c r="F200" s="6"/>
      <c r="G200" s="7"/>
    </row>
    <row r="201" spans="1:7" x14ac:dyDescent="0.2">
      <c r="A201" s="4">
        <v>3129</v>
      </c>
      <c r="B201" t="s">
        <v>1</v>
      </c>
      <c r="C201" s="1">
        <v>7400</v>
      </c>
      <c r="D201">
        <v>6</v>
      </c>
      <c r="E201" t="s">
        <v>11</v>
      </c>
      <c r="F201" s="6"/>
      <c r="G201" s="7"/>
    </row>
    <row r="202" spans="1:7" x14ac:dyDescent="0.2">
      <c r="A202" s="4">
        <v>2174</v>
      </c>
      <c r="B202" t="s">
        <v>3</v>
      </c>
      <c r="C202" s="1">
        <v>4300</v>
      </c>
      <c r="D202">
        <v>6</v>
      </c>
      <c r="E202" t="s">
        <v>11</v>
      </c>
      <c r="F202" s="6"/>
      <c r="G202" s="7"/>
    </row>
    <row r="203" spans="1:7" x14ac:dyDescent="0.2">
      <c r="A203" s="4">
        <v>1624</v>
      </c>
      <c r="B203" t="s">
        <v>5</v>
      </c>
      <c r="C203" s="1">
        <v>4526</v>
      </c>
      <c r="D203">
        <v>6</v>
      </c>
      <c r="E203" t="s">
        <v>11</v>
      </c>
      <c r="F203" s="6"/>
      <c r="G203" s="7"/>
    </row>
    <row r="204" spans="1:7" x14ac:dyDescent="0.2">
      <c r="A204" s="4">
        <v>2217</v>
      </c>
      <c r="B204" t="s">
        <v>3</v>
      </c>
      <c r="C204" s="1">
        <v>8974</v>
      </c>
      <c r="D204">
        <v>6</v>
      </c>
      <c r="E204" t="s">
        <v>11</v>
      </c>
      <c r="F204" s="6"/>
      <c r="G204" s="7"/>
    </row>
    <row r="205" spans="1:7" x14ac:dyDescent="0.2">
      <c r="A205" s="4">
        <v>2907</v>
      </c>
      <c r="B205" t="s">
        <v>1</v>
      </c>
      <c r="C205" s="1">
        <v>5000</v>
      </c>
      <c r="D205">
        <v>6</v>
      </c>
      <c r="E205" t="s">
        <v>11</v>
      </c>
      <c r="F205" s="6"/>
      <c r="G205" s="7"/>
    </row>
    <row r="206" spans="1:7" x14ac:dyDescent="0.2">
      <c r="A206" s="4">
        <v>3295</v>
      </c>
      <c r="B206" t="s">
        <v>1</v>
      </c>
      <c r="C206" s="1">
        <v>11240</v>
      </c>
      <c r="D206">
        <v>6</v>
      </c>
      <c r="E206" t="s">
        <v>11</v>
      </c>
      <c r="F206" s="6"/>
      <c r="G206" s="7"/>
    </row>
    <row r="207" spans="1:7" x14ac:dyDescent="0.2">
      <c r="A207" s="4">
        <v>83</v>
      </c>
      <c r="B207" t="s">
        <v>4</v>
      </c>
      <c r="C207">
        <v>2650</v>
      </c>
      <c r="D207">
        <v>5</v>
      </c>
      <c r="E207" t="s">
        <v>11</v>
      </c>
      <c r="F207" s="6"/>
      <c r="G207" s="7"/>
    </row>
    <row r="208" spans="1:7" x14ac:dyDescent="0.2">
      <c r="A208" s="4">
        <v>2701</v>
      </c>
      <c r="B208" t="s">
        <v>2</v>
      </c>
      <c r="C208">
        <v>1600</v>
      </c>
      <c r="D208">
        <v>5</v>
      </c>
      <c r="E208" t="s">
        <v>10</v>
      </c>
      <c r="F208" s="6"/>
      <c r="G208" s="7"/>
    </row>
    <row r="209" spans="1:7" x14ac:dyDescent="0.2">
      <c r="A209" s="4">
        <v>1934</v>
      </c>
      <c r="B209" t="s">
        <v>3</v>
      </c>
      <c r="C209">
        <v>850</v>
      </c>
      <c r="D209">
        <v>5</v>
      </c>
      <c r="E209" t="s">
        <v>10</v>
      </c>
      <c r="F209" s="6"/>
      <c r="G209" s="7"/>
    </row>
    <row r="210" spans="1:7" x14ac:dyDescent="0.2">
      <c r="A210" s="4">
        <v>2600</v>
      </c>
      <c r="B210" t="s">
        <v>0</v>
      </c>
      <c r="C210">
        <v>3000</v>
      </c>
      <c r="D210">
        <v>5</v>
      </c>
      <c r="E210" t="s">
        <v>11</v>
      </c>
      <c r="F210" s="6"/>
      <c r="G210" s="7"/>
    </row>
    <row r="211" spans="1:7" x14ac:dyDescent="0.2">
      <c r="A211" s="4">
        <v>2374</v>
      </c>
      <c r="B211" t="s">
        <v>0</v>
      </c>
      <c r="C211">
        <v>800</v>
      </c>
      <c r="D211">
        <v>5</v>
      </c>
      <c r="E211" t="s">
        <v>11</v>
      </c>
      <c r="F211" s="6"/>
      <c r="G211" s="7"/>
    </row>
    <row r="212" spans="1:7" x14ac:dyDescent="0.2">
      <c r="A212" s="4">
        <v>2765</v>
      </c>
      <c r="B212" t="s">
        <v>2</v>
      </c>
      <c r="C212">
        <v>5300</v>
      </c>
      <c r="D212">
        <v>5</v>
      </c>
      <c r="E212" t="s">
        <v>11</v>
      </c>
      <c r="F212" s="6"/>
      <c r="G212" s="7"/>
    </row>
    <row r="213" spans="1:7" x14ac:dyDescent="0.2">
      <c r="A213" s="4">
        <v>1831</v>
      </c>
      <c r="B213" t="s">
        <v>3</v>
      </c>
      <c r="C213">
        <v>980</v>
      </c>
      <c r="D213">
        <v>5</v>
      </c>
      <c r="E213" t="s">
        <v>11</v>
      </c>
      <c r="F213" s="6"/>
      <c r="G213" s="7"/>
    </row>
    <row r="214" spans="1:7" x14ac:dyDescent="0.2">
      <c r="A214" s="4">
        <v>154</v>
      </c>
      <c r="B214" t="s">
        <v>4</v>
      </c>
      <c r="C214">
        <v>400</v>
      </c>
      <c r="D214">
        <v>5</v>
      </c>
      <c r="E214" t="s">
        <v>11</v>
      </c>
      <c r="F214" s="6"/>
      <c r="G214" s="7"/>
    </row>
    <row r="215" spans="1:7" x14ac:dyDescent="0.2">
      <c r="A215" s="4">
        <v>2795</v>
      </c>
      <c r="B215" t="s">
        <v>2</v>
      </c>
      <c r="C215">
        <v>400</v>
      </c>
      <c r="D215">
        <v>5</v>
      </c>
      <c r="E215" t="s">
        <v>10</v>
      </c>
      <c r="F215" s="6"/>
      <c r="G215" s="7"/>
    </row>
    <row r="216" spans="1:7" x14ac:dyDescent="0.2">
      <c r="A216" s="4">
        <v>3258</v>
      </c>
      <c r="B216" t="s">
        <v>1</v>
      </c>
      <c r="C216">
        <v>1600</v>
      </c>
      <c r="D216">
        <v>5</v>
      </c>
      <c r="E216" t="s">
        <v>11</v>
      </c>
      <c r="F216" s="6"/>
      <c r="G216" s="7"/>
    </row>
    <row r="217" spans="1:7" x14ac:dyDescent="0.2">
      <c r="A217" s="4">
        <v>5381</v>
      </c>
      <c r="B217" t="s">
        <v>5</v>
      </c>
      <c r="C217">
        <v>400</v>
      </c>
      <c r="D217">
        <v>5</v>
      </c>
      <c r="E217" t="s">
        <v>11</v>
      </c>
      <c r="F217" s="6"/>
      <c r="G217" s="7"/>
    </row>
    <row r="218" spans="1:7" x14ac:dyDescent="0.2">
      <c r="A218" s="4">
        <v>781</v>
      </c>
      <c r="B218" t="s">
        <v>4</v>
      </c>
      <c r="C218">
        <v>500</v>
      </c>
      <c r="D218">
        <v>5</v>
      </c>
      <c r="E218" t="s">
        <v>11</v>
      </c>
      <c r="F218" s="6"/>
      <c r="G218" s="7"/>
    </row>
    <row r="219" spans="1:7" x14ac:dyDescent="0.2">
      <c r="A219" s="4">
        <v>1502</v>
      </c>
      <c r="B219" t="s">
        <v>4</v>
      </c>
      <c r="C219">
        <v>1100</v>
      </c>
      <c r="D219">
        <v>5</v>
      </c>
      <c r="E219" t="s">
        <v>11</v>
      </c>
      <c r="F219" s="6"/>
      <c r="G219" s="7"/>
    </row>
    <row r="220" spans="1:7" x14ac:dyDescent="0.2">
      <c r="A220" s="4">
        <v>2616</v>
      </c>
      <c r="B220" t="s">
        <v>0</v>
      </c>
      <c r="C220">
        <v>1000</v>
      </c>
      <c r="D220">
        <v>5</v>
      </c>
      <c r="E220" t="s">
        <v>11</v>
      </c>
      <c r="F220" s="6"/>
      <c r="G220" s="7"/>
    </row>
    <row r="221" spans="1:7" x14ac:dyDescent="0.2">
      <c r="A221" s="4">
        <v>2932</v>
      </c>
      <c r="B221" t="s">
        <v>1</v>
      </c>
      <c r="C221">
        <v>1000</v>
      </c>
      <c r="D221">
        <v>5</v>
      </c>
      <c r="E221" t="s">
        <v>10</v>
      </c>
      <c r="F221" s="6"/>
      <c r="G221" s="7"/>
    </row>
    <row r="222" spans="1:7" x14ac:dyDescent="0.2">
      <c r="A222" s="4">
        <v>3063</v>
      </c>
      <c r="B222" t="s">
        <v>1</v>
      </c>
      <c r="C222">
        <v>500</v>
      </c>
      <c r="D222">
        <v>5</v>
      </c>
      <c r="E222" t="s">
        <v>11</v>
      </c>
      <c r="F222" s="6"/>
      <c r="G222" s="7"/>
    </row>
    <row r="223" spans="1:7" x14ac:dyDescent="0.2">
      <c r="A223" s="4">
        <v>6981</v>
      </c>
      <c r="B223" s="1" t="s">
        <v>3</v>
      </c>
      <c r="C223">
        <v>3900</v>
      </c>
      <c r="D223">
        <v>5</v>
      </c>
      <c r="E223" t="s">
        <v>11</v>
      </c>
      <c r="F223" s="6"/>
      <c r="G223" s="7"/>
    </row>
    <row r="224" spans="1:7" x14ac:dyDescent="0.2">
      <c r="A224" s="4">
        <v>2515</v>
      </c>
      <c r="B224" s="1" t="s">
        <v>0</v>
      </c>
      <c r="C224">
        <v>1080</v>
      </c>
      <c r="D224">
        <v>5</v>
      </c>
      <c r="E224" t="s">
        <v>10</v>
      </c>
      <c r="F224" s="6"/>
      <c r="G224" s="7"/>
    </row>
    <row r="225" spans="1:7" x14ac:dyDescent="0.2">
      <c r="A225" s="4">
        <v>1821</v>
      </c>
      <c r="B225" s="1" t="s">
        <v>3</v>
      </c>
      <c r="C225">
        <v>600</v>
      </c>
      <c r="D225">
        <v>5</v>
      </c>
      <c r="E225" t="s">
        <v>10</v>
      </c>
      <c r="F225" s="6"/>
      <c r="G225" s="7"/>
    </row>
    <row r="226" spans="1:7" x14ac:dyDescent="0.2">
      <c r="A226" s="4">
        <v>2018</v>
      </c>
      <c r="B226" s="1" t="s">
        <v>3</v>
      </c>
      <c r="C226">
        <v>1200</v>
      </c>
      <c r="D226">
        <v>5</v>
      </c>
      <c r="E226" t="s">
        <v>10</v>
      </c>
      <c r="F226" s="6"/>
      <c r="G226" s="7"/>
    </row>
    <row r="227" spans="1:7" x14ac:dyDescent="0.2">
      <c r="A227" s="4">
        <v>3145</v>
      </c>
      <c r="B227" s="1" t="s">
        <v>1</v>
      </c>
      <c r="C227">
        <v>600</v>
      </c>
      <c r="D227">
        <v>5</v>
      </c>
      <c r="E227" t="s">
        <v>11</v>
      </c>
      <c r="F227" s="6"/>
      <c r="G227" s="7"/>
    </row>
    <row r="228" spans="1:7" x14ac:dyDescent="0.2">
      <c r="A228" s="4">
        <v>2393</v>
      </c>
      <c r="B228" s="1" t="s">
        <v>0</v>
      </c>
      <c r="C228">
        <v>700</v>
      </c>
      <c r="D228">
        <v>5</v>
      </c>
      <c r="E228" t="s">
        <v>11</v>
      </c>
      <c r="F228" s="6"/>
      <c r="G228" s="7"/>
    </row>
    <row r="229" spans="1:7" x14ac:dyDescent="0.2">
      <c r="A229" s="4">
        <v>2807</v>
      </c>
      <c r="B229" s="1" t="s">
        <v>2</v>
      </c>
      <c r="C229">
        <v>1000</v>
      </c>
      <c r="D229">
        <v>5</v>
      </c>
      <c r="E229" t="s">
        <v>10</v>
      </c>
      <c r="F229" s="6"/>
      <c r="G229" s="7"/>
    </row>
    <row r="230" spans="1:7" x14ac:dyDescent="0.2">
      <c r="A230" s="4">
        <v>3186</v>
      </c>
      <c r="B230" s="1" t="s">
        <v>1</v>
      </c>
      <c r="C230">
        <v>1400</v>
      </c>
      <c r="D230">
        <v>5</v>
      </c>
      <c r="E230" t="s">
        <v>11</v>
      </c>
      <c r="F230" s="6"/>
      <c r="G230" s="7"/>
    </row>
    <row r="231" spans="1:7" x14ac:dyDescent="0.2">
      <c r="A231" s="4">
        <v>3254</v>
      </c>
      <c r="B231" s="1" t="s">
        <v>1</v>
      </c>
      <c r="C231">
        <v>1522</v>
      </c>
      <c r="D231">
        <v>5</v>
      </c>
      <c r="E231" t="s">
        <v>10</v>
      </c>
      <c r="F231" s="6"/>
      <c r="G231" s="7"/>
    </row>
    <row r="232" spans="1:7" x14ac:dyDescent="0.2">
      <c r="A232" s="4">
        <v>2837</v>
      </c>
      <c r="B232" s="1" t="s">
        <v>2</v>
      </c>
      <c r="C232">
        <v>1020</v>
      </c>
      <c r="D232">
        <v>5</v>
      </c>
      <c r="E232" t="s">
        <v>11</v>
      </c>
      <c r="F232" s="6"/>
      <c r="G232" s="7"/>
    </row>
    <row r="233" spans="1:7" x14ac:dyDescent="0.2">
      <c r="A233" s="4">
        <v>1866</v>
      </c>
      <c r="B233" s="1" t="s">
        <v>3</v>
      </c>
      <c r="C233">
        <v>800</v>
      </c>
      <c r="D233">
        <v>5</v>
      </c>
      <c r="E233" t="s">
        <v>11</v>
      </c>
      <c r="F233" s="6"/>
      <c r="G233" s="7"/>
    </row>
    <row r="234" spans="1:7" x14ac:dyDescent="0.2">
      <c r="A234" s="4">
        <v>2912</v>
      </c>
      <c r="B234" s="1" t="s">
        <v>1</v>
      </c>
      <c r="C234">
        <v>1800</v>
      </c>
      <c r="D234">
        <v>5</v>
      </c>
      <c r="E234" t="s">
        <v>11</v>
      </c>
      <c r="F234" s="6"/>
      <c r="G234" s="7"/>
    </row>
    <row r="235" spans="1:7" x14ac:dyDescent="0.2">
      <c r="A235" s="4">
        <v>3166</v>
      </c>
      <c r="B235" s="1" t="s">
        <v>1</v>
      </c>
      <c r="C235">
        <v>3200</v>
      </c>
      <c r="D235">
        <v>5</v>
      </c>
      <c r="E235" t="s">
        <v>11</v>
      </c>
      <c r="F235" s="6"/>
      <c r="G235" s="7"/>
    </row>
    <row r="236" spans="1:7" x14ac:dyDescent="0.2">
      <c r="A236" s="4">
        <v>3120</v>
      </c>
      <c r="B236" s="1" t="s">
        <v>1</v>
      </c>
      <c r="C236">
        <v>2780</v>
      </c>
      <c r="D236">
        <v>5</v>
      </c>
      <c r="E236" t="s">
        <v>11</v>
      </c>
      <c r="F236" s="6"/>
      <c r="G236" s="7"/>
    </row>
    <row r="237" spans="1:7" x14ac:dyDescent="0.2">
      <c r="A237" s="4">
        <v>2694</v>
      </c>
      <c r="B237" s="1" t="s">
        <v>2</v>
      </c>
      <c r="C237">
        <v>2400</v>
      </c>
      <c r="D237">
        <v>5</v>
      </c>
      <c r="E237" t="s">
        <v>11</v>
      </c>
      <c r="F237" s="6"/>
      <c r="G237" s="7"/>
    </row>
    <row r="238" spans="1:7" x14ac:dyDescent="0.2">
      <c r="A238" s="4">
        <v>1819</v>
      </c>
      <c r="B238" s="1" t="s">
        <v>3</v>
      </c>
      <c r="C238">
        <v>8150</v>
      </c>
      <c r="D238">
        <v>5</v>
      </c>
      <c r="E238" t="s">
        <v>10</v>
      </c>
      <c r="F238" s="6"/>
      <c r="G238" s="7"/>
    </row>
    <row r="239" spans="1:7" x14ac:dyDescent="0.2">
      <c r="A239" s="4">
        <v>5012</v>
      </c>
      <c r="B239" s="1" t="s">
        <v>4</v>
      </c>
      <c r="C239">
        <v>1600</v>
      </c>
      <c r="D239">
        <v>5</v>
      </c>
      <c r="E239" t="s">
        <v>10</v>
      </c>
      <c r="F239" s="6"/>
      <c r="G239" s="7"/>
    </row>
    <row r="240" spans="1:7" x14ac:dyDescent="0.2">
      <c r="A240" s="4">
        <v>6244</v>
      </c>
      <c r="B240" s="1" t="s">
        <v>1</v>
      </c>
      <c r="C240">
        <v>4120</v>
      </c>
      <c r="D240">
        <v>5</v>
      </c>
      <c r="E240" t="s">
        <v>11</v>
      </c>
      <c r="F240" s="6"/>
      <c r="G240" s="7"/>
    </row>
    <row r="241" spans="1:7" x14ac:dyDescent="0.2">
      <c r="A241" s="4">
        <v>1535</v>
      </c>
      <c r="B241" s="1" t="s">
        <v>5</v>
      </c>
      <c r="C241">
        <v>1550</v>
      </c>
      <c r="D241">
        <v>5</v>
      </c>
      <c r="E241" t="s">
        <v>11</v>
      </c>
      <c r="F241" s="6"/>
      <c r="G241" s="7"/>
    </row>
    <row r="242" spans="1:7" x14ac:dyDescent="0.2">
      <c r="A242" s="4">
        <v>1703</v>
      </c>
      <c r="B242" s="1" t="s">
        <v>3</v>
      </c>
      <c r="C242">
        <v>3750</v>
      </c>
      <c r="D242">
        <v>5</v>
      </c>
      <c r="E242" t="s">
        <v>11</v>
      </c>
      <c r="F242" s="6"/>
      <c r="G242" s="7"/>
    </row>
    <row r="243" spans="1:7" x14ac:dyDescent="0.2">
      <c r="A243" s="4">
        <v>6642</v>
      </c>
      <c r="B243" s="1" t="s">
        <v>3</v>
      </c>
      <c r="C243" s="1">
        <v>3900</v>
      </c>
      <c r="D243">
        <v>5</v>
      </c>
      <c r="E243" t="s">
        <v>10</v>
      </c>
      <c r="F243" s="6"/>
      <c r="G243" s="7"/>
    </row>
    <row r="244" spans="1:7" x14ac:dyDescent="0.2">
      <c r="A244" s="4">
        <v>1813</v>
      </c>
      <c r="B244" t="s">
        <v>3</v>
      </c>
      <c r="C244" s="1">
        <v>2400</v>
      </c>
      <c r="D244">
        <v>5</v>
      </c>
      <c r="E244" t="s">
        <v>10</v>
      </c>
      <c r="F244" s="6"/>
      <c r="G244" s="7"/>
    </row>
    <row r="245" spans="1:7" x14ac:dyDescent="0.2">
      <c r="A245" s="4">
        <v>1842</v>
      </c>
      <c r="B245" t="s">
        <v>3</v>
      </c>
      <c r="C245" s="1">
        <v>2580</v>
      </c>
      <c r="D245">
        <v>5</v>
      </c>
      <c r="E245" t="s">
        <v>10</v>
      </c>
      <c r="F245" s="6"/>
      <c r="G245" s="7"/>
    </row>
    <row r="246" spans="1:7" x14ac:dyDescent="0.2">
      <c r="A246" s="4">
        <v>2389</v>
      </c>
      <c r="B246" t="s">
        <v>0</v>
      </c>
      <c r="C246" s="1">
        <v>2000</v>
      </c>
      <c r="D246">
        <v>5</v>
      </c>
      <c r="E246" t="s">
        <v>10</v>
      </c>
      <c r="F246" s="6"/>
      <c r="G246" s="7"/>
    </row>
    <row r="247" spans="1:7" x14ac:dyDescent="0.2">
      <c r="A247" s="4">
        <v>3068</v>
      </c>
      <c r="B247" t="s">
        <v>1</v>
      </c>
      <c r="C247" s="1">
        <v>1000</v>
      </c>
      <c r="D247">
        <v>5</v>
      </c>
      <c r="E247" t="s">
        <v>10</v>
      </c>
      <c r="F247" s="6"/>
      <c r="G247" s="7"/>
    </row>
    <row r="248" spans="1:7" x14ac:dyDescent="0.2">
      <c r="A248" s="4">
        <v>5208</v>
      </c>
      <c r="B248" t="s">
        <v>4</v>
      </c>
      <c r="C248" s="1">
        <v>2200</v>
      </c>
      <c r="D248">
        <v>5</v>
      </c>
      <c r="E248" t="s">
        <v>11</v>
      </c>
      <c r="F248" s="6"/>
      <c r="G248" s="7"/>
    </row>
    <row r="249" spans="1:7" x14ac:dyDescent="0.2">
      <c r="A249" s="4">
        <v>5221</v>
      </c>
      <c r="B249" t="s">
        <v>5</v>
      </c>
      <c r="C249" s="1">
        <v>3800</v>
      </c>
      <c r="D249">
        <v>5</v>
      </c>
      <c r="E249" t="s">
        <v>11</v>
      </c>
      <c r="F249" s="6"/>
      <c r="G249" s="7"/>
    </row>
    <row r="250" spans="1:7" x14ac:dyDescent="0.2">
      <c r="A250" s="4">
        <v>6247</v>
      </c>
      <c r="B250" t="s">
        <v>1</v>
      </c>
      <c r="C250" s="1">
        <v>3050</v>
      </c>
      <c r="D250">
        <v>5</v>
      </c>
      <c r="E250" t="s">
        <v>11</v>
      </c>
      <c r="F250" s="6"/>
      <c r="G250" s="7"/>
    </row>
    <row r="251" spans="1:7" x14ac:dyDescent="0.2">
      <c r="A251" s="4">
        <v>6361</v>
      </c>
      <c r="B251" t="s">
        <v>1</v>
      </c>
      <c r="C251" s="1">
        <v>2500</v>
      </c>
      <c r="D251">
        <v>5</v>
      </c>
      <c r="E251" t="s">
        <v>11</v>
      </c>
      <c r="F251" s="6"/>
      <c r="G251" s="7"/>
    </row>
    <row r="252" spans="1:7" x14ac:dyDescent="0.2">
      <c r="A252" s="4">
        <v>2678</v>
      </c>
      <c r="B252" t="s">
        <v>2</v>
      </c>
      <c r="C252" s="1">
        <v>3300</v>
      </c>
      <c r="D252">
        <v>5</v>
      </c>
      <c r="E252" t="s">
        <v>11</v>
      </c>
      <c r="F252" s="6"/>
      <c r="G252" s="7"/>
    </row>
    <row r="253" spans="1:7" x14ac:dyDescent="0.2">
      <c r="A253" s="4">
        <v>5002</v>
      </c>
      <c r="B253" t="s">
        <v>4</v>
      </c>
      <c r="C253" s="1">
        <v>1300</v>
      </c>
      <c r="D253">
        <v>5</v>
      </c>
      <c r="E253" t="s">
        <v>10</v>
      </c>
      <c r="F253" s="6"/>
      <c r="G253" s="7"/>
    </row>
    <row r="254" spans="1:7" x14ac:dyDescent="0.2">
      <c r="A254" s="4">
        <v>2009</v>
      </c>
      <c r="B254" t="s">
        <v>3</v>
      </c>
      <c r="C254" s="1">
        <v>2800</v>
      </c>
      <c r="D254">
        <v>5</v>
      </c>
      <c r="E254" t="s">
        <v>11</v>
      </c>
      <c r="F254" s="6"/>
      <c r="G254" s="7"/>
    </row>
    <row r="255" spans="1:7" x14ac:dyDescent="0.2">
      <c r="A255" s="4">
        <v>2197</v>
      </c>
      <c r="B255" t="s">
        <v>3</v>
      </c>
      <c r="C255" s="1">
        <v>1500</v>
      </c>
      <c r="D255">
        <v>5</v>
      </c>
      <c r="E255" t="s">
        <v>11</v>
      </c>
      <c r="F255" s="6"/>
      <c r="G255" s="7"/>
    </row>
    <row r="256" spans="1:7" x14ac:dyDescent="0.2">
      <c r="A256" s="4">
        <v>1247</v>
      </c>
      <c r="B256" t="s">
        <v>4</v>
      </c>
      <c r="C256" s="1">
        <v>1500</v>
      </c>
      <c r="D256">
        <v>5</v>
      </c>
      <c r="E256" t="s">
        <v>10</v>
      </c>
      <c r="F256" s="6"/>
      <c r="G256" s="7"/>
    </row>
    <row r="257" spans="1:7" x14ac:dyDescent="0.2">
      <c r="A257" s="4">
        <v>1948</v>
      </c>
      <c r="B257" t="s">
        <v>3</v>
      </c>
      <c r="C257" s="1">
        <v>2500</v>
      </c>
      <c r="D257">
        <v>5</v>
      </c>
      <c r="E257" t="s">
        <v>10</v>
      </c>
      <c r="F257" s="6"/>
      <c r="G257" s="7"/>
    </row>
    <row r="258" spans="1:7" x14ac:dyDescent="0.2">
      <c r="A258" s="4">
        <v>2581</v>
      </c>
      <c r="B258" t="s">
        <v>0</v>
      </c>
      <c r="C258" s="1">
        <v>3000</v>
      </c>
      <c r="D258">
        <v>5</v>
      </c>
      <c r="E258" t="s">
        <v>10</v>
      </c>
      <c r="F258" s="6"/>
      <c r="G258" s="7"/>
    </row>
    <row r="259" spans="1:7" x14ac:dyDescent="0.2">
      <c r="A259" s="4">
        <v>2649</v>
      </c>
      <c r="B259" t="s">
        <v>2</v>
      </c>
      <c r="C259" s="1">
        <v>3000</v>
      </c>
      <c r="D259">
        <v>5</v>
      </c>
      <c r="E259" t="s">
        <v>11</v>
      </c>
      <c r="F259" s="6"/>
      <c r="G259" s="7"/>
    </row>
    <row r="260" spans="1:7" x14ac:dyDescent="0.2">
      <c r="A260" s="4">
        <v>2913</v>
      </c>
      <c r="B260" t="s">
        <v>1</v>
      </c>
      <c r="C260" s="1">
        <v>1500</v>
      </c>
      <c r="D260">
        <v>5</v>
      </c>
      <c r="E260" t="s">
        <v>11</v>
      </c>
      <c r="F260" s="6"/>
      <c r="G260" s="7"/>
    </row>
    <row r="261" spans="1:7" x14ac:dyDescent="0.2">
      <c r="A261" s="4">
        <v>3049</v>
      </c>
      <c r="B261" t="s">
        <v>1</v>
      </c>
      <c r="C261" s="1">
        <v>6000</v>
      </c>
      <c r="D261">
        <v>5</v>
      </c>
      <c r="E261" t="s">
        <v>11</v>
      </c>
      <c r="F261" s="6"/>
      <c r="G261" s="7"/>
    </row>
    <row r="262" spans="1:7" x14ac:dyDescent="0.2">
      <c r="A262" s="4">
        <v>3229</v>
      </c>
      <c r="B262" t="s">
        <v>1</v>
      </c>
      <c r="C262" s="1">
        <v>2700</v>
      </c>
      <c r="D262">
        <v>5</v>
      </c>
      <c r="E262" t="s">
        <v>10</v>
      </c>
      <c r="F262" s="6"/>
      <c r="G262" s="7"/>
    </row>
    <row r="263" spans="1:7" x14ac:dyDescent="0.2">
      <c r="A263" s="4">
        <v>1397</v>
      </c>
      <c r="B263" t="s">
        <v>4</v>
      </c>
      <c r="C263" s="1">
        <v>2000</v>
      </c>
      <c r="D263">
        <v>5</v>
      </c>
      <c r="E263" t="s">
        <v>10</v>
      </c>
      <c r="F263" s="6"/>
      <c r="G263" s="7"/>
    </row>
    <row r="264" spans="1:7" x14ac:dyDescent="0.2">
      <c r="A264" s="4">
        <v>1967</v>
      </c>
      <c r="B264" t="s">
        <v>3</v>
      </c>
      <c r="C264" s="1">
        <v>3500</v>
      </c>
      <c r="D264">
        <v>5</v>
      </c>
      <c r="E264" t="s">
        <v>11</v>
      </c>
      <c r="F264" s="6"/>
      <c r="G264" s="7"/>
    </row>
    <row r="265" spans="1:7" x14ac:dyDescent="0.2">
      <c r="A265" s="4">
        <v>2558</v>
      </c>
      <c r="B265" t="s">
        <v>0</v>
      </c>
      <c r="C265" s="1">
        <v>2000</v>
      </c>
      <c r="D265">
        <v>5</v>
      </c>
      <c r="E265" t="s">
        <v>10</v>
      </c>
      <c r="F265" s="6"/>
      <c r="G265" s="7"/>
    </row>
    <row r="266" spans="1:7" x14ac:dyDescent="0.2">
      <c r="A266" s="4">
        <v>2646</v>
      </c>
      <c r="B266" t="s">
        <v>2</v>
      </c>
      <c r="C266" s="1">
        <v>2000</v>
      </c>
      <c r="D266">
        <v>5</v>
      </c>
      <c r="E266" t="s">
        <v>10</v>
      </c>
      <c r="F266" s="6"/>
      <c r="G266" s="7"/>
    </row>
    <row r="267" spans="1:7" x14ac:dyDescent="0.2">
      <c r="A267" s="4">
        <v>2755</v>
      </c>
      <c r="B267" t="s">
        <v>2</v>
      </c>
      <c r="C267" s="1">
        <v>8000</v>
      </c>
      <c r="D267">
        <v>5</v>
      </c>
      <c r="E267" t="s">
        <v>10</v>
      </c>
      <c r="F267" s="6"/>
      <c r="G267" s="7"/>
    </row>
    <row r="268" spans="1:7" x14ac:dyDescent="0.2">
      <c r="A268" s="4">
        <v>1980</v>
      </c>
      <c r="B268" t="s">
        <v>3</v>
      </c>
      <c r="C268" s="1">
        <v>5000</v>
      </c>
      <c r="D268">
        <v>5</v>
      </c>
      <c r="E268" t="s">
        <v>10</v>
      </c>
      <c r="F268" s="6"/>
      <c r="G268" s="7"/>
    </row>
    <row r="269" spans="1:7" x14ac:dyDescent="0.2">
      <c r="A269" s="4">
        <v>2653</v>
      </c>
      <c r="B269" t="s">
        <v>2</v>
      </c>
      <c r="C269" s="1">
        <v>35000</v>
      </c>
      <c r="D269">
        <v>5</v>
      </c>
      <c r="E269" t="s">
        <v>11</v>
      </c>
      <c r="F269" s="6"/>
      <c r="G269" s="7"/>
    </row>
    <row r="270" spans="1:7" x14ac:dyDescent="0.2">
      <c r="A270" s="4">
        <v>2108</v>
      </c>
      <c r="B270" t="s">
        <v>3</v>
      </c>
      <c r="C270" s="1">
        <v>7500</v>
      </c>
      <c r="D270">
        <v>5</v>
      </c>
      <c r="E270" t="s">
        <v>11</v>
      </c>
      <c r="F270" s="6"/>
      <c r="G270" s="7"/>
    </row>
    <row r="271" spans="1:7" x14ac:dyDescent="0.2">
      <c r="A271" s="4">
        <v>2473</v>
      </c>
      <c r="B271" t="s">
        <v>0</v>
      </c>
      <c r="C271" s="1">
        <v>3000</v>
      </c>
      <c r="D271">
        <v>5</v>
      </c>
      <c r="E271" t="s">
        <v>10</v>
      </c>
      <c r="F271" s="6"/>
      <c r="G271" s="7"/>
    </row>
    <row r="272" spans="1:7" x14ac:dyDescent="0.2">
      <c r="A272" s="4">
        <v>1954</v>
      </c>
      <c r="B272" t="s">
        <v>3</v>
      </c>
      <c r="C272" s="1">
        <v>7000</v>
      </c>
      <c r="D272">
        <v>5</v>
      </c>
      <c r="E272" t="s">
        <v>11</v>
      </c>
      <c r="F272" s="6"/>
      <c r="G272" s="7"/>
    </row>
    <row r="273" spans="1:7" x14ac:dyDescent="0.2">
      <c r="A273" s="4">
        <v>2211</v>
      </c>
      <c r="B273" t="s">
        <v>3</v>
      </c>
      <c r="C273" s="1">
        <v>8000</v>
      </c>
      <c r="D273">
        <v>5</v>
      </c>
      <c r="E273" t="s">
        <v>11</v>
      </c>
      <c r="F273" s="6"/>
      <c r="G273" s="7"/>
    </row>
    <row r="274" spans="1:7" x14ac:dyDescent="0.2">
      <c r="A274" s="4">
        <v>2882</v>
      </c>
      <c r="B274" t="s">
        <v>1</v>
      </c>
      <c r="C274" s="1">
        <v>4500</v>
      </c>
      <c r="D274">
        <v>5</v>
      </c>
      <c r="E274" t="s">
        <v>11</v>
      </c>
      <c r="F274" s="6"/>
      <c r="G274" s="7"/>
    </row>
    <row r="275" spans="1:7" x14ac:dyDescent="0.2">
      <c r="A275" s="4">
        <v>1836</v>
      </c>
      <c r="B275" t="s">
        <v>3</v>
      </c>
      <c r="C275" s="1">
        <v>4500</v>
      </c>
      <c r="D275">
        <v>5</v>
      </c>
      <c r="E275" t="s">
        <v>11</v>
      </c>
      <c r="F275" s="6"/>
      <c r="G275" s="7"/>
    </row>
    <row r="276" spans="1:7" x14ac:dyDescent="0.2">
      <c r="A276" s="4">
        <v>2776</v>
      </c>
      <c r="B276" t="s">
        <v>2</v>
      </c>
      <c r="C276" s="1">
        <v>9000</v>
      </c>
      <c r="D276">
        <v>5</v>
      </c>
      <c r="E276" t="s">
        <v>11</v>
      </c>
      <c r="F276" s="6"/>
      <c r="G276" s="7"/>
    </row>
    <row r="277" spans="1:7" x14ac:dyDescent="0.2">
      <c r="A277" s="4">
        <v>1805</v>
      </c>
      <c r="B277" t="s">
        <v>3</v>
      </c>
      <c r="C277" s="1">
        <v>19755</v>
      </c>
      <c r="D277">
        <v>5</v>
      </c>
      <c r="E277" t="s">
        <v>10</v>
      </c>
      <c r="F277" s="6"/>
      <c r="G277" s="7"/>
    </row>
    <row r="278" spans="1:7" x14ac:dyDescent="0.2">
      <c r="A278" s="4">
        <v>3097</v>
      </c>
      <c r="B278" t="s">
        <v>1</v>
      </c>
      <c r="C278">
        <v>1010</v>
      </c>
      <c r="D278">
        <v>4</v>
      </c>
      <c r="E278" t="s">
        <v>11</v>
      </c>
      <c r="F278" s="6"/>
      <c r="G278" s="7"/>
    </row>
    <row r="279" spans="1:7" x14ac:dyDescent="0.2">
      <c r="A279" s="4">
        <v>2927</v>
      </c>
      <c r="B279" t="s">
        <v>1</v>
      </c>
      <c r="C279">
        <v>80</v>
      </c>
      <c r="D279">
        <v>4</v>
      </c>
      <c r="E279" t="s">
        <v>11</v>
      </c>
      <c r="F279" s="6"/>
      <c r="G279" s="7"/>
    </row>
    <row r="280" spans="1:7" x14ac:dyDescent="0.2">
      <c r="A280" s="4">
        <v>2338</v>
      </c>
      <c r="B280" t="s">
        <v>0</v>
      </c>
      <c r="C280">
        <v>600</v>
      </c>
      <c r="D280">
        <v>4</v>
      </c>
      <c r="E280" t="s">
        <v>11</v>
      </c>
      <c r="F280" s="6"/>
      <c r="G280" s="7"/>
    </row>
    <row r="281" spans="1:7" x14ac:dyDescent="0.2">
      <c r="A281" s="4">
        <v>1901</v>
      </c>
      <c r="B281" t="s">
        <v>3</v>
      </c>
      <c r="C281">
        <v>3315</v>
      </c>
      <c r="D281">
        <v>4</v>
      </c>
      <c r="E281" t="s">
        <v>11</v>
      </c>
      <c r="F281" s="6"/>
      <c r="G281" s="7"/>
    </row>
    <row r="282" spans="1:7" x14ac:dyDescent="0.2">
      <c r="A282" s="4">
        <v>2711</v>
      </c>
      <c r="B282" t="s">
        <v>2</v>
      </c>
      <c r="C282">
        <v>120</v>
      </c>
      <c r="D282">
        <v>4</v>
      </c>
      <c r="E282" t="s">
        <v>10</v>
      </c>
      <c r="F282" s="6"/>
      <c r="G282" s="7"/>
    </row>
    <row r="283" spans="1:7" x14ac:dyDescent="0.2">
      <c r="A283" s="4">
        <v>2378</v>
      </c>
      <c r="B283" t="s">
        <v>0</v>
      </c>
      <c r="C283">
        <v>2200</v>
      </c>
      <c r="D283">
        <v>4</v>
      </c>
      <c r="E283" t="s">
        <v>11</v>
      </c>
      <c r="F283" s="6"/>
      <c r="G283" s="7"/>
    </row>
    <row r="284" spans="1:7" x14ac:dyDescent="0.2">
      <c r="A284" s="4">
        <v>2434</v>
      </c>
      <c r="B284" t="s">
        <v>0</v>
      </c>
      <c r="C284">
        <v>600</v>
      </c>
      <c r="D284">
        <v>4</v>
      </c>
      <c r="E284" t="s">
        <v>11</v>
      </c>
      <c r="F284" s="6"/>
      <c r="G284" s="7"/>
    </row>
    <row r="285" spans="1:7" x14ac:dyDescent="0.2">
      <c r="A285" s="4">
        <v>1665</v>
      </c>
      <c r="B285" t="s">
        <v>5</v>
      </c>
      <c r="C285">
        <v>250</v>
      </c>
      <c r="D285">
        <v>4</v>
      </c>
      <c r="E285" t="s">
        <v>10</v>
      </c>
      <c r="F285" s="6"/>
      <c r="G285" s="7"/>
    </row>
    <row r="286" spans="1:7" x14ac:dyDescent="0.2">
      <c r="A286" s="4">
        <v>2185</v>
      </c>
      <c r="B286" t="s">
        <v>3</v>
      </c>
      <c r="C286">
        <v>250</v>
      </c>
      <c r="D286">
        <v>4</v>
      </c>
      <c r="E286" t="s">
        <v>11</v>
      </c>
      <c r="F286" s="6"/>
      <c r="G286" s="7"/>
    </row>
    <row r="287" spans="1:7" x14ac:dyDescent="0.2">
      <c r="A287" s="4">
        <v>2633</v>
      </c>
      <c r="B287" t="s">
        <v>0</v>
      </c>
      <c r="C287">
        <v>861</v>
      </c>
      <c r="D287">
        <v>4</v>
      </c>
      <c r="E287" t="s">
        <v>10</v>
      </c>
      <c r="F287" s="6"/>
      <c r="G287" s="7"/>
    </row>
    <row r="288" spans="1:7" x14ac:dyDescent="0.2">
      <c r="A288" s="4">
        <v>3282</v>
      </c>
      <c r="B288" t="s">
        <v>1</v>
      </c>
      <c r="C288">
        <v>997</v>
      </c>
      <c r="D288">
        <v>4</v>
      </c>
      <c r="E288" t="s">
        <v>11</v>
      </c>
      <c r="F288" s="6"/>
      <c r="G288" s="7"/>
    </row>
    <row r="289" spans="1:7" x14ac:dyDescent="0.2">
      <c r="A289" s="4">
        <v>2263</v>
      </c>
      <c r="B289" t="s">
        <v>3</v>
      </c>
      <c r="C289">
        <v>300</v>
      </c>
      <c r="D289">
        <v>4</v>
      </c>
      <c r="E289" t="s">
        <v>11</v>
      </c>
      <c r="F289" s="6"/>
      <c r="G289" s="7"/>
    </row>
    <row r="290" spans="1:7" x14ac:dyDescent="0.2">
      <c r="A290" s="4">
        <v>1567</v>
      </c>
      <c r="B290" t="s">
        <v>5</v>
      </c>
      <c r="C290">
        <v>1300</v>
      </c>
      <c r="D290">
        <v>4</v>
      </c>
      <c r="E290" t="s">
        <v>11</v>
      </c>
      <c r="F290" s="6"/>
      <c r="G290" s="7"/>
    </row>
    <row r="291" spans="1:7" x14ac:dyDescent="0.2">
      <c r="A291" s="4">
        <v>1983</v>
      </c>
      <c r="B291" t="s">
        <v>3</v>
      </c>
      <c r="C291">
        <v>1000</v>
      </c>
      <c r="D291">
        <v>4</v>
      </c>
      <c r="E291" t="s">
        <v>11</v>
      </c>
      <c r="F291" s="6"/>
      <c r="G291" s="7"/>
    </row>
    <row r="292" spans="1:7" x14ac:dyDescent="0.2">
      <c r="A292" s="4">
        <v>2288</v>
      </c>
      <c r="B292" t="s">
        <v>3</v>
      </c>
      <c r="C292">
        <v>900</v>
      </c>
      <c r="D292">
        <v>4</v>
      </c>
      <c r="E292" t="s">
        <v>11</v>
      </c>
      <c r="F292" s="6"/>
      <c r="G292" s="7"/>
    </row>
    <row r="293" spans="1:7" x14ac:dyDescent="0.2">
      <c r="A293" s="4">
        <v>5124</v>
      </c>
      <c r="B293" t="s">
        <v>4</v>
      </c>
      <c r="C293">
        <v>800</v>
      </c>
      <c r="D293">
        <v>4</v>
      </c>
      <c r="E293" t="s">
        <v>10</v>
      </c>
      <c r="F293" s="6"/>
      <c r="G293" s="7"/>
    </row>
    <row r="294" spans="1:7" x14ac:dyDescent="0.2">
      <c r="A294" s="4">
        <v>6163</v>
      </c>
      <c r="B294" t="s">
        <v>1</v>
      </c>
      <c r="C294">
        <v>1500</v>
      </c>
      <c r="D294">
        <v>4</v>
      </c>
      <c r="E294" t="s">
        <v>10</v>
      </c>
      <c r="F294" s="6"/>
      <c r="G294" s="7"/>
    </row>
    <row r="295" spans="1:7" x14ac:dyDescent="0.2">
      <c r="A295" s="4">
        <v>2609</v>
      </c>
      <c r="B295" t="s">
        <v>0</v>
      </c>
      <c r="C295">
        <v>1820</v>
      </c>
      <c r="D295">
        <v>4</v>
      </c>
      <c r="E295" t="s">
        <v>11</v>
      </c>
      <c r="F295" s="6"/>
      <c r="G295" s="7"/>
    </row>
    <row r="296" spans="1:7" x14ac:dyDescent="0.2">
      <c r="A296" s="4">
        <v>2157</v>
      </c>
      <c r="B296" t="s">
        <v>3</v>
      </c>
      <c r="C296">
        <v>350</v>
      </c>
      <c r="D296">
        <v>4</v>
      </c>
      <c r="E296" t="s">
        <v>11</v>
      </c>
      <c r="F296" s="6"/>
      <c r="G296" s="7"/>
    </row>
    <row r="297" spans="1:7" x14ac:dyDescent="0.2">
      <c r="A297" s="4">
        <v>2623</v>
      </c>
      <c r="B297" t="s">
        <v>0</v>
      </c>
      <c r="C297">
        <v>1861</v>
      </c>
      <c r="D297">
        <v>4</v>
      </c>
      <c r="E297" t="s">
        <v>10</v>
      </c>
      <c r="F297" s="6"/>
      <c r="G297" s="7"/>
    </row>
    <row r="298" spans="1:7" x14ac:dyDescent="0.2">
      <c r="A298" s="4">
        <v>3101</v>
      </c>
      <c r="B298" t="s">
        <v>1</v>
      </c>
      <c r="C298">
        <v>350</v>
      </c>
      <c r="D298">
        <v>4</v>
      </c>
      <c r="E298" t="s">
        <v>11</v>
      </c>
      <c r="F298" s="6"/>
      <c r="G298" s="7"/>
    </row>
    <row r="299" spans="1:7" x14ac:dyDescent="0.2">
      <c r="A299" s="4">
        <v>2032</v>
      </c>
      <c r="B299" t="s">
        <v>3</v>
      </c>
      <c r="C299">
        <v>353</v>
      </c>
      <c r="D299">
        <v>4</v>
      </c>
      <c r="E299" t="s">
        <v>10</v>
      </c>
      <c r="F299" s="6"/>
      <c r="G299" s="7"/>
    </row>
    <row r="300" spans="1:7" x14ac:dyDescent="0.2">
      <c r="A300" s="4">
        <v>3244</v>
      </c>
      <c r="B300" t="s">
        <v>1</v>
      </c>
      <c r="C300">
        <v>710</v>
      </c>
      <c r="D300">
        <v>4</v>
      </c>
      <c r="E300" t="s">
        <v>10</v>
      </c>
      <c r="F300" s="6"/>
      <c r="G300" s="7"/>
    </row>
    <row r="301" spans="1:7" x14ac:dyDescent="0.2">
      <c r="A301" s="4">
        <v>1292</v>
      </c>
      <c r="B301" t="s">
        <v>4</v>
      </c>
      <c r="C301">
        <v>1200</v>
      </c>
      <c r="D301">
        <v>4</v>
      </c>
      <c r="E301" t="s">
        <v>10</v>
      </c>
      <c r="F301" s="6"/>
      <c r="G301" s="7"/>
    </row>
    <row r="302" spans="1:7" x14ac:dyDescent="0.2">
      <c r="A302" s="4">
        <v>1560</v>
      </c>
      <c r="B302" t="s">
        <v>5</v>
      </c>
      <c r="C302">
        <v>1300</v>
      </c>
      <c r="D302">
        <v>4</v>
      </c>
      <c r="E302" t="s">
        <v>11</v>
      </c>
      <c r="F302" s="6"/>
      <c r="G302" s="7"/>
    </row>
    <row r="303" spans="1:7" x14ac:dyDescent="0.2">
      <c r="A303" s="4">
        <v>1573</v>
      </c>
      <c r="B303" t="s">
        <v>5</v>
      </c>
      <c r="C303">
        <v>3600</v>
      </c>
      <c r="D303">
        <v>4</v>
      </c>
      <c r="E303" t="s">
        <v>11</v>
      </c>
      <c r="F303" s="6"/>
      <c r="G303" s="7"/>
    </row>
    <row r="304" spans="1:7" x14ac:dyDescent="0.2">
      <c r="A304" s="4">
        <v>1709</v>
      </c>
      <c r="B304" t="s">
        <v>3</v>
      </c>
      <c r="C304">
        <v>400</v>
      </c>
      <c r="D304">
        <v>4</v>
      </c>
      <c r="E304" t="s">
        <v>11</v>
      </c>
      <c r="F304" s="6"/>
      <c r="G304" s="7"/>
    </row>
    <row r="305" spans="1:7" x14ac:dyDescent="0.2">
      <c r="A305" s="4">
        <v>1965</v>
      </c>
      <c r="B305" t="s">
        <v>3</v>
      </c>
      <c r="C305">
        <v>2200</v>
      </c>
      <c r="D305">
        <v>4</v>
      </c>
      <c r="E305" t="s">
        <v>10</v>
      </c>
      <c r="F305" s="6"/>
      <c r="G305" s="7"/>
    </row>
    <row r="306" spans="1:7" x14ac:dyDescent="0.2">
      <c r="A306" s="4">
        <v>2348</v>
      </c>
      <c r="B306" t="s">
        <v>0</v>
      </c>
      <c r="C306">
        <v>400</v>
      </c>
      <c r="D306">
        <v>4</v>
      </c>
      <c r="E306" t="s">
        <v>11</v>
      </c>
      <c r="F306" s="6"/>
      <c r="G306" s="7"/>
    </row>
    <row r="307" spans="1:7" x14ac:dyDescent="0.2">
      <c r="A307" s="4">
        <v>2458</v>
      </c>
      <c r="B307" t="s">
        <v>0</v>
      </c>
      <c r="C307">
        <v>400</v>
      </c>
      <c r="D307">
        <v>4</v>
      </c>
      <c r="E307" t="s">
        <v>11</v>
      </c>
      <c r="F307" s="6"/>
      <c r="G307" s="7"/>
    </row>
    <row r="308" spans="1:7" x14ac:dyDescent="0.2">
      <c r="A308" s="4">
        <v>2535</v>
      </c>
      <c r="B308" t="s">
        <v>0</v>
      </c>
      <c r="C308">
        <v>5248</v>
      </c>
      <c r="D308">
        <v>4</v>
      </c>
      <c r="E308" t="s">
        <v>10</v>
      </c>
      <c r="F308" s="6"/>
      <c r="G308" s="7"/>
    </row>
    <row r="309" spans="1:7" x14ac:dyDescent="0.2">
      <c r="A309" s="4">
        <v>2588</v>
      </c>
      <c r="B309" t="s">
        <v>0</v>
      </c>
      <c r="C309">
        <v>2400</v>
      </c>
      <c r="D309">
        <v>4</v>
      </c>
      <c r="E309" t="s">
        <v>11</v>
      </c>
      <c r="F309" s="6"/>
      <c r="G309" s="7"/>
    </row>
    <row r="310" spans="1:7" x14ac:dyDescent="0.2">
      <c r="A310" s="4">
        <v>2972</v>
      </c>
      <c r="B310" t="s">
        <v>1</v>
      </c>
      <c r="C310">
        <v>417</v>
      </c>
      <c r="D310">
        <v>4</v>
      </c>
      <c r="E310" t="s">
        <v>11</v>
      </c>
      <c r="F310" s="6"/>
      <c r="G310" s="7"/>
    </row>
    <row r="311" spans="1:7" x14ac:dyDescent="0.2">
      <c r="A311" s="4">
        <v>1956</v>
      </c>
      <c r="B311" t="s">
        <v>3</v>
      </c>
      <c r="C311">
        <v>1020</v>
      </c>
      <c r="D311">
        <v>4</v>
      </c>
      <c r="E311" t="s">
        <v>10</v>
      </c>
      <c r="F311" s="6"/>
      <c r="G311" s="7"/>
    </row>
    <row r="312" spans="1:7" x14ac:dyDescent="0.2">
      <c r="A312" s="4">
        <v>2873</v>
      </c>
      <c r="B312" t="s">
        <v>2</v>
      </c>
      <c r="C312">
        <v>440</v>
      </c>
      <c r="D312">
        <v>4</v>
      </c>
      <c r="E312" t="s">
        <v>11</v>
      </c>
      <c r="F312" s="6"/>
      <c r="G312" s="7"/>
    </row>
    <row r="313" spans="1:7" x14ac:dyDescent="0.2">
      <c r="A313" s="4">
        <v>5822</v>
      </c>
      <c r="B313" t="s">
        <v>2</v>
      </c>
      <c r="C313">
        <v>800</v>
      </c>
      <c r="D313">
        <v>4</v>
      </c>
      <c r="E313" t="s">
        <v>11</v>
      </c>
      <c r="F313" s="6"/>
      <c r="G313" s="7"/>
    </row>
    <row r="314" spans="1:7" x14ac:dyDescent="0.2">
      <c r="A314" s="4">
        <v>1736</v>
      </c>
      <c r="B314" t="s">
        <v>3</v>
      </c>
      <c r="C314">
        <v>10500</v>
      </c>
      <c r="D314">
        <v>4</v>
      </c>
      <c r="E314" t="s">
        <v>10</v>
      </c>
      <c r="F314" s="6"/>
      <c r="G314" s="7"/>
    </row>
    <row r="315" spans="1:7" x14ac:dyDescent="0.2">
      <c r="A315" s="4">
        <v>1576</v>
      </c>
      <c r="B315" t="s">
        <v>5</v>
      </c>
      <c r="C315">
        <v>500</v>
      </c>
      <c r="D315">
        <v>4</v>
      </c>
      <c r="E315" t="s">
        <v>10</v>
      </c>
      <c r="F315" s="6"/>
      <c r="G315" s="7"/>
    </row>
    <row r="316" spans="1:7" x14ac:dyDescent="0.2">
      <c r="A316" s="4">
        <v>1654</v>
      </c>
      <c r="B316" t="s">
        <v>5</v>
      </c>
      <c r="C316">
        <v>15600</v>
      </c>
      <c r="D316">
        <v>4</v>
      </c>
      <c r="E316" t="s">
        <v>10</v>
      </c>
      <c r="F316" s="6"/>
      <c r="G316" s="7"/>
    </row>
    <row r="317" spans="1:7" x14ac:dyDescent="0.2">
      <c r="A317" s="4">
        <v>2132</v>
      </c>
      <c r="B317" t="s">
        <v>3</v>
      </c>
      <c r="C317">
        <v>500</v>
      </c>
      <c r="D317">
        <v>4</v>
      </c>
      <c r="E317" t="s">
        <v>11</v>
      </c>
      <c r="F317" s="6"/>
      <c r="G317" s="7"/>
    </row>
    <row r="318" spans="1:7" x14ac:dyDescent="0.2">
      <c r="A318" s="4">
        <v>2291</v>
      </c>
      <c r="B318" t="s">
        <v>3</v>
      </c>
      <c r="C318">
        <v>500</v>
      </c>
      <c r="D318">
        <v>4</v>
      </c>
      <c r="E318" t="s">
        <v>11</v>
      </c>
      <c r="F318" s="6"/>
      <c r="G318" s="7"/>
    </row>
    <row r="319" spans="1:7" x14ac:dyDescent="0.2">
      <c r="A319" s="4">
        <v>2305</v>
      </c>
      <c r="B319" t="s">
        <v>0</v>
      </c>
      <c r="C319">
        <v>1400</v>
      </c>
      <c r="D319">
        <v>4</v>
      </c>
      <c r="E319" t="s">
        <v>11</v>
      </c>
      <c r="F319" s="6"/>
      <c r="G319" s="7"/>
    </row>
    <row r="320" spans="1:7" x14ac:dyDescent="0.2">
      <c r="A320" s="4">
        <v>2306</v>
      </c>
      <c r="B320" t="s">
        <v>0</v>
      </c>
      <c r="C320">
        <v>1500</v>
      </c>
      <c r="D320">
        <v>4</v>
      </c>
      <c r="E320" t="s">
        <v>10</v>
      </c>
      <c r="F320" s="6"/>
      <c r="G320" s="7"/>
    </row>
    <row r="321" spans="1:7" x14ac:dyDescent="0.2">
      <c r="A321" s="4">
        <v>2350</v>
      </c>
      <c r="B321" t="s">
        <v>0</v>
      </c>
      <c r="C321">
        <v>1000</v>
      </c>
      <c r="D321">
        <v>4</v>
      </c>
      <c r="E321" t="s">
        <v>10</v>
      </c>
      <c r="F321" s="6"/>
      <c r="G321" s="7"/>
    </row>
    <row r="322" spans="1:7" x14ac:dyDescent="0.2">
      <c r="A322" s="4">
        <v>2480</v>
      </c>
      <c r="B322" t="s">
        <v>0</v>
      </c>
      <c r="C322">
        <v>2500</v>
      </c>
      <c r="D322">
        <v>4</v>
      </c>
      <c r="E322" t="s">
        <v>11</v>
      </c>
      <c r="F322" s="6"/>
      <c r="G322" s="7"/>
    </row>
    <row r="323" spans="1:7" x14ac:dyDescent="0.2">
      <c r="A323" s="4">
        <v>2743</v>
      </c>
      <c r="B323" t="s">
        <v>2</v>
      </c>
      <c r="C323">
        <v>1900</v>
      </c>
      <c r="D323">
        <v>4</v>
      </c>
      <c r="E323" t="s">
        <v>10</v>
      </c>
      <c r="F323" s="6"/>
      <c r="G323" s="7"/>
    </row>
    <row r="324" spans="1:7" x14ac:dyDescent="0.2">
      <c r="A324" s="4">
        <v>3275</v>
      </c>
      <c r="B324" s="1" t="s">
        <v>1</v>
      </c>
      <c r="C324">
        <v>500</v>
      </c>
      <c r="D324">
        <v>4</v>
      </c>
      <c r="E324" t="s">
        <v>11</v>
      </c>
      <c r="F324" s="6"/>
      <c r="G324" s="7"/>
    </row>
    <row r="325" spans="1:7" x14ac:dyDescent="0.2">
      <c r="A325" s="4">
        <v>1978</v>
      </c>
      <c r="B325" s="1" t="s">
        <v>3</v>
      </c>
      <c r="C325">
        <v>620</v>
      </c>
      <c r="D325">
        <v>4</v>
      </c>
      <c r="E325" t="s">
        <v>11</v>
      </c>
      <c r="F325" s="6"/>
      <c r="G325" s="7"/>
    </row>
    <row r="326" spans="1:7" x14ac:dyDescent="0.2">
      <c r="A326" s="4">
        <v>1720</v>
      </c>
      <c r="B326" s="1" t="s">
        <v>3</v>
      </c>
      <c r="C326">
        <v>600</v>
      </c>
      <c r="D326">
        <v>4</v>
      </c>
      <c r="E326" t="s">
        <v>11</v>
      </c>
      <c r="F326" s="6"/>
      <c r="G326" s="7"/>
    </row>
    <row r="327" spans="1:7" x14ac:dyDescent="0.2">
      <c r="A327" s="4">
        <v>1739</v>
      </c>
      <c r="B327" s="1" t="s">
        <v>3</v>
      </c>
      <c r="C327">
        <v>600</v>
      </c>
      <c r="D327">
        <v>4</v>
      </c>
      <c r="E327" t="s">
        <v>10</v>
      </c>
      <c r="F327" s="6"/>
      <c r="G327" s="7"/>
    </row>
    <row r="328" spans="1:7" x14ac:dyDescent="0.2">
      <c r="A328" s="4">
        <v>1738</v>
      </c>
      <c r="B328" s="1" t="s">
        <v>3</v>
      </c>
      <c r="C328">
        <v>600</v>
      </c>
      <c r="D328">
        <v>4</v>
      </c>
      <c r="E328" t="s">
        <v>10</v>
      </c>
      <c r="F328" s="6"/>
      <c r="G328" s="7"/>
    </row>
    <row r="329" spans="1:7" x14ac:dyDescent="0.2">
      <c r="A329" s="4">
        <v>1260</v>
      </c>
      <c r="B329" s="1" t="s">
        <v>4</v>
      </c>
      <c r="C329">
        <v>600</v>
      </c>
      <c r="D329">
        <v>4</v>
      </c>
      <c r="E329" t="s">
        <v>10</v>
      </c>
      <c r="F329" s="6"/>
      <c r="G329" s="7"/>
    </row>
    <row r="330" spans="1:7" x14ac:dyDescent="0.2">
      <c r="A330" s="4">
        <v>2692</v>
      </c>
      <c r="B330" s="1" t="s">
        <v>2</v>
      </c>
      <c r="C330">
        <v>600</v>
      </c>
      <c r="D330">
        <v>4</v>
      </c>
      <c r="E330" t="s">
        <v>11</v>
      </c>
      <c r="F330" s="6"/>
      <c r="G330" s="7"/>
    </row>
    <row r="331" spans="1:7" x14ac:dyDescent="0.2">
      <c r="A331" s="4">
        <v>2811</v>
      </c>
      <c r="B331" s="1" t="s">
        <v>2</v>
      </c>
      <c r="C331">
        <v>5100</v>
      </c>
      <c r="D331">
        <v>4</v>
      </c>
      <c r="E331" t="s">
        <v>11</v>
      </c>
      <c r="F331" s="6"/>
      <c r="G331" s="7"/>
    </row>
    <row r="332" spans="1:7" x14ac:dyDescent="0.2">
      <c r="A332" s="4">
        <v>3118</v>
      </c>
      <c r="B332" s="1" t="s">
        <v>1</v>
      </c>
      <c r="C332">
        <v>2000</v>
      </c>
      <c r="D332">
        <v>4</v>
      </c>
      <c r="E332" t="s">
        <v>10</v>
      </c>
      <c r="F332" s="6"/>
      <c r="G332" s="7"/>
    </row>
    <row r="333" spans="1:7" x14ac:dyDescent="0.2">
      <c r="A333" s="4">
        <v>3226</v>
      </c>
      <c r="B333" s="1" t="s">
        <v>1</v>
      </c>
      <c r="C333">
        <v>4500</v>
      </c>
      <c r="D333">
        <v>4</v>
      </c>
      <c r="E333" t="s">
        <v>10</v>
      </c>
      <c r="F333" s="6"/>
      <c r="G333" s="7"/>
    </row>
    <row r="334" spans="1:7" x14ac:dyDescent="0.2">
      <c r="A334" s="4">
        <v>2065</v>
      </c>
      <c r="B334" s="1" t="s">
        <v>3</v>
      </c>
      <c r="C334">
        <v>620</v>
      </c>
      <c r="D334">
        <v>4</v>
      </c>
      <c r="E334" t="s">
        <v>11</v>
      </c>
      <c r="F334" s="6"/>
      <c r="G334" s="7"/>
    </row>
    <row r="335" spans="1:7" x14ac:dyDescent="0.2">
      <c r="A335" s="4">
        <v>2080</v>
      </c>
      <c r="B335" s="1" t="s">
        <v>3</v>
      </c>
      <c r="C335">
        <v>1750</v>
      </c>
      <c r="D335">
        <v>4</v>
      </c>
      <c r="E335" t="s">
        <v>11</v>
      </c>
      <c r="F335" s="6"/>
      <c r="G335" s="7"/>
    </row>
    <row r="336" spans="1:7" x14ac:dyDescent="0.2">
      <c r="A336" s="4">
        <v>6667</v>
      </c>
      <c r="B336" s="1" t="s">
        <v>3</v>
      </c>
      <c r="C336">
        <v>1750</v>
      </c>
      <c r="D336">
        <v>4</v>
      </c>
      <c r="E336" t="s">
        <v>11</v>
      </c>
      <c r="F336" s="6"/>
      <c r="G336" s="7"/>
    </row>
    <row r="337" spans="1:7" x14ac:dyDescent="0.2">
      <c r="A337" s="4">
        <v>2134</v>
      </c>
      <c r="B337" s="1" t="s">
        <v>3</v>
      </c>
      <c r="C337">
        <v>1000</v>
      </c>
      <c r="D337">
        <v>4</v>
      </c>
      <c r="E337" t="s">
        <v>11</v>
      </c>
      <c r="F337" s="6"/>
      <c r="G337" s="7"/>
    </row>
    <row r="338" spans="1:7" x14ac:dyDescent="0.2">
      <c r="A338" s="4">
        <v>3081</v>
      </c>
      <c r="B338" s="1" t="s">
        <v>1</v>
      </c>
      <c r="C338">
        <v>700</v>
      </c>
      <c r="D338">
        <v>4</v>
      </c>
      <c r="E338" t="s">
        <v>11</v>
      </c>
      <c r="F338" s="6"/>
      <c r="G338" s="7"/>
    </row>
    <row r="339" spans="1:7" x14ac:dyDescent="0.2">
      <c r="A339" s="4">
        <v>5162</v>
      </c>
      <c r="B339" s="1" t="s">
        <v>4</v>
      </c>
      <c r="C339">
        <v>1060</v>
      </c>
      <c r="D339">
        <v>4</v>
      </c>
      <c r="E339" t="s">
        <v>11</v>
      </c>
      <c r="F339" s="6"/>
      <c r="G339" s="7"/>
    </row>
    <row r="340" spans="1:7" x14ac:dyDescent="0.2">
      <c r="A340" s="4">
        <v>1835</v>
      </c>
      <c r="B340" s="1" t="s">
        <v>3</v>
      </c>
      <c r="C340">
        <v>2220</v>
      </c>
      <c r="D340">
        <v>4</v>
      </c>
      <c r="E340" t="s">
        <v>11</v>
      </c>
      <c r="F340" s="6"/>
      <c r="G340" s="7"/>
    </row>
    <row r="341" spans="1:7" x14ac:dyDescent="0.2">
      <c r="A341" s="4">
        <v>2732</v>
      </c>
      <c r="B341" s="1" t="s">
        <v>2</v>
      </c>
      <c r="C341">
        <v>800</v>
      </c>
      <c r="D341">
        <v>4</v>
      </c>
      <c r="E341" t="s">
        <v>11</v>
      </c>
      <c r="F341" s="6"/>
      <c r="G341" s="7"/>
    </row>
    <row r="342" spans="1:7" x14ac:dyDescent="0.2">
      <c r="A342" s="4">
        <v>2802</v>
      </c>
      <c r="B342" s="1" t="s">
        <v>2</v>
      </c>
      <c r="C342">
        <v>1950</v>
      </c>
      <c r="D342">
        <v>4</v>
      </c>
      <c r="E342" t="s">
        <v>10</v>
      </c>
      <c r="F342" s="6"/>
      <c r="G342" s="7"/>
    </row>
    <row r="343" spans="1:7" x14ac:dyDescent="0.2">
      <c r="A343" s="4">
        <v>2004</v>
      </c>
      <c r="B343" s="1" t="s">
        <v>3</v>
      </c>
      <c r="C343">
        <v>1900</v>
      </c>
      <c r="D343">
        <v>4</v>
      </c>
      <c r="E343" t="s">
        <v>10</v>
      </c>
      <c r="F343" s="6"/>
      <c r="G343" s="7"/>
    </row>
    <row r="344" spans="1:7" x14ac:dyDescent="0.2">
      <c r="A344" s="4">
        <v>5102</v>
      </c>
      <c r="B344" s="1" t="s">
        <v>4</v>
      </c>
      <c r="C344">
        <v>900</v>
      </c>
      <c r="D344">
        <v>4</v>
      </c>
      <c r="E344" t="s">
        <v>11</v>
      </c>
      <c r="F344" s="6"/>
      <c r="G344" s="7"/>
    </row>
    <row r="345" spans="1:7" x14ac:dyDescent="0.2">
      <c r="A345" s="4">
        <v>769</v>
      </c>
      <c r="B345" s="1" t="s">
        <v>4</v>
      </c>
      <c r="C345">
        <v>903</v>
      </c>
      <c r="D345">
        <v>4</v>
      </c>
      <c r="E345" t="s">
        <v>11</v>
      </c>
      <c r="F345" s="6"/>
      <c r="G345" s="7"/>
    </row>
    <row r="346" spans="1:7" x14ac:dyDescent="0.2">
      <c r="A346" s="4">
        <v>2630</v>
      </c>
      <c r="B346" s="1" t="s">
        <v>0</v>
      </c>
      <c r="C346" s="1">
        <v>2400</v>
      </c>
      <c r="D346">
        <v>4</v>
      </c>
      <c r="E346" t="s">
        <v>10</v>
      </c>
      <c r="F346" s="6"/>
      <c r="G346" s="7"/>
    </row>
    <row r="347" spans="1:7" x14ac:dyDescent="0.2">
      <c r="A347" s="4">
        <v>530</v>
      </c>
      <c r="B347" t="s">
        <v>4</v>
      </c>
      <c r="C347" s="1">
        <v>1000</v>
      </c>
      <c r="D347">
        <v>4</v>
      </c>
      <c r="E347" t="s">
        <v>11</v>
      </c>
      <c r="F347" s="6"/>
      <c r="G347" s="7"/>
    </row>
    <row r="348" spans="1:7" x14ac:dyDescent="0.2">
      <c r="A348" s="4">
        <v>1534</v>
      </c>
      <c r="B348" t="s">
        <v>5</v>
      </c>
      <c r="C348" s="1">
        <v>3450</v>
      </c>
      <c r="D348">
        <v>4</v>
      </c>
      <c r="E348" t="s">
        <v>11</v>
      </c>
      <c r="F348" s="6"/>
      <c r="G348" s="7"/>
    </row>
    <row r="349" spans="1:7" x14ac:dyDescent="0.2">
      <c r="A349" s="4">
        <v>1995</v>
      </c>
      <c r="B349" t="s">
        <v>3</v>
      </c>
      <c r="C349" s="1">
        <v>1000</v>
      </c>
      <c r="D349">
        <v>4</v>
      </c>
      <c r="E349" t="s">
        <v>10</v>
      </c>
      <c r="F349" s="6"/>
      <c r="G349" s="7"/>
    </row>
    <row r="350" spans="1:7" x14ac:dyDescent="0.2">
      <c r="A350" s="4">
        <v>2033</v>
      </c>
      <c r="B350" t="s">
        <v>3</v>
      </c>
      <c r="C350" s="1">
        <v>2000</v>
      </c>
      <c r="D350">
        <v>4</v>
      </c>
      <c r="E350" t="s">
        <v>11</v>
      </c>
      <c r="F350" s="6"/>
      <c r="G350" s="7"/>
    </row>
    <row r="351" spans="1:7" x14ac:dyDescent="0.2">
      <c r="A351" s="4">
        <v>2680</v>
      </c>
      <c r="B351" t="s">
        <v>2</v>
      </c>
      <c r="C351" s="1">
        <v>1450</v>
      </c>
      <c r="D351">
        <v>4</v>
      </c>
      <c r="E351" t="s">
        <v>10</v>
      </c>
      <c r="F351" s="6"/>
      <c r="G351" s="7"/>
    </row>
    <row r="352" spans="1:7" x14ac:dyDescent="0.2">
      <c r="A352" s="4">
        <v>2872</v>
      </c>
      <c r="B352" t="s">
        <v>2</v>
      </c>
      <c r="C352" s="1">
        <v>3960</v>
      </c>
      <c r="D352">
        <v>4</v>
      </c>
      <c r="E352" t="s">
        <v>11</v>
      </c>
      <c r="F352" s="6"/>
      <c r="G352" s="7"/>
    </row>
    <row r="353" spans="1:7" x14ac:dyDescent="0.2">
      <c r="A353" s="4">
        <v>2985</v>
      </c>
      <c r="B353" t="s">
        <v>1</v>
      </c>
      <c r="C353" s="1">
        <v>4130</v>
      </c>
      <c r="D353">
        <v>4</v>
      </c>
      <c r="E353" t="s">
        <v>10</v>
      </c>
      <c r="F353" s="6"/>
      <c r="G353" s="7"/>
    </row>
    <row r="354" spans="1:7" x14ac:dyDescent="0.2">
      <c r="A354" s="4">
        <v>3249</v>
      </c>
      <c r="B354" t="s">
        <v>1</v>
      </c>
      <c r="C354" s="1">
        <v>2500</v>
      </c>
      <c r="D354">
        <v>4</v>
      </c>
      <c r="E354" t="s">
        <v>10</v>
      </c>
      <c r="F354" s="6"/>
      <c r="G354" s="7"/>
    </row>
    <row r="355" spans="1:7" x14ac:dyDescent="0.2">
      <c r="A355" s="4">
        <v>1712</v>
      </c>
      <c r="B355" t="s">
        <v>3</v>
      </c>
      <c r="C355" s="1">
        <v>1083</v>
      </c>
      <c r="D355">
        <v>4</v>
      </c>
      <c r="E355" t="s">
        <v>11</v>
      </c>
      <c r="F355" s="6"/>
      <c r="G355" s="7"/>
    </row>
    <row r="356" spans="1:7" x14ac:dyDescent="0.2">
      <c r="A356" s="4">
        <v>1555</v>
      </c>
      <c r="B356" t="s">
        <v>5</v>
      </c>
      <c r="C356" s="1">
        <v>2900</v>
      </c>
      <c r="D356">
        <v>4</v>
      </c>
      <c r="E356" t="s">
        <v>10</v>
      </c>
      <c r="F356" s="6"/>
      <c r="G356" s="7"/>
    </row>
    <row r="357" spans="1:7" x14ac:dyDescent="0.2">
      <c r="A357" s="4">
        <v>1824</v>
      </c>
      <c r="B357" t="s">
        <v>3</v>
      </c>
      <c r="C357" s="1">
        <v>4450</v>
      </c>
      <c r="D357">
        <v>4</v>
      </c>
      <c r="E357" t="s">
        <v>10</v>
      </c>
      <c r="F357" s="6"/>
      <c r="G357" s="7"/>
    </row>
    <row r="358" spans="1:7" x14ac:dyDescent="0.2">
      <c r="A358" s="4">
        <v>3057</v>
      </c>
      <c r="B358" t="s">
        <v>1</v>
      </c>
      <c r="C358" s="1">
        <v>1700</v>
      </c>
      <c r="D358">
        <v>4</v>
      </c>
      <c r="E358" t="s">
        <v>11</v>
      </c>
      <c r="F358" s="6"/>
      <c r="G358" s="7"/>
    </row>
    <row r="359" spans="1:7" x14ac:dyDescent="0.2">
      <c r="A359" s="4">
        <v>3074</v>
      </c>
      <c r="B359" t="s">
        <v>1</v>
      </c>
      <c r="C359" s="1">
        <v>2400</v>
      </c>
      <c r="D359">
        <v>4</v>
      </c>
      <c r="E359" t="s">
        <v>11</v>
      </c>
      <c r="F359" s="6"/>
      <c r="G359" s="7"/>
    </row>
    <row r="360" spans="1:7" x14ac:dyDescent="0.2">
      <c r="A360" s="4">
        <v>3174</v>
      </c>
      <c r="B360" t="s">
        <v>1</v>
      </c>
      <c r="C360" s="1">
        <v>2700</v>
      </c>
      <c r="D360">
        <v>4</v>
      </c>
      <c r="E360" t="s">
        <v>11</v>
      </c>
      <c r="F360" s="6"/>
      <c r="G360" s="7"/>
    </row>
    <row r="361" spans="1:7" x14ac:dyDescent="0.2">
      <c r="A361" s="4">
        <v>1937</v>
      </c>
      <c r="B361" t="s">
        <v>3</v>
      </c>
      <c r="C361" s="1">
        <v>1400</v>
      </c>
      <c r="D361">
        <v>4</v>
      </c>
      <c r="E361" t="s">
        <v>10</v>
      </c>
      <c r="F361" s="6"/>
      <c r="G361" s="7"/>
    </row>
    <row r="362" spans="1:7" x14ac:dyDescent="0.2">
      <c r="A362" s="4">
        <v>2236</v>
      </c>
      <c r="B362" t="s">
        <v>3</v>
      </c>
      <c r="C362" s="1">
        <v>1400</v>
      </c>
      <c r="D362">
        <v>4</v>
      </c>
      <c r="E362" t="s">
        <v>11</v>
      </c>
      <c r="F362" s="6"/>
      <c r="G362" s="7"/>
    </row>
    <row r="363" spans="1:7" x14ac:dyDescent="0.2">
      <c r="A363" s="4">
        <v>2281</v>
      </c>
      <c r="B363" t="s">
        <v>3</v>
      </c>
      <c r="C363" s="1">
        <v>4400</v>
      </c>
      <c r="D363">
        <v>4</v>
      </c>
      <c r="E363" t="s">
        <v>11</v>
      </c>
      <c r="F363" s="6"/>
      <c r="G363" s="7"/>
    </row>
    <row r="364" spans="1:7" x14ac:dyDescent="0.2">
      <c r="A364" s="4">
        <v>2672</v>
      </c>
      <c r="B364" t="s">
        <v>2</v>
      </c>
      <c r="C364" s="1">
        <v>3320</v>
      </c>
      <c r="D364">
        <v>4</v>
      </c>
      <c r="E364" t="s">
        <v>11</v>
      </c>
      <c r="F364" s="6"/>
      <c r="G364" s="7"/>
    </row>
    <row r="365" spans="1:7" x14ac:dyDescent="0.2">
      <c r="A365" s="4">
        <v>2760</v>
      </c>
      <c r="B365" t="s">
        <v>2</v>
      </c>
      <c r="C365" s="1">
        <v>4000</v>
      </c>
      <c r="D365">
        <v>4</v>
      </c>
      <c r="E365" t="s">
        <v>10</v>
      </c>
      <c r="F365" s="6"/>
      <c r="G365" s="7"/>
    </row>
    <row r="366" spans="1:7" x14ac:dyDescent="0.2">
      <c r="A366" s="4">
        <v>2763</v>
      </c>
      <c r="B366" t="s">
        <v>2</v>
      </c>
      <c r="C366" s="1">
        <v>1500</v>
      </c>
      <c r="D366">
        <v>4</v>
      </c>
      <c r="E366" t="s">
        <v>10</v>
      </c>
      <c r="F366" s="6"/>
      <c r="G366" s="7"/>
    </row>
    <row r="367" spans="1:7" x14ac:dyDescent="0.2">
      <c r="A367" s="4">
        <v>2294</v>
      </c>
      <c r="B367" t="s">
        <v>3</v>
      </c>
      <c r="C367" s="1">
        <v>1500</v>
      </c>
      <c r="D367">
        <v>4</v>
      </c>
      <c r="E367" t="s">
        <v>10</v>
      </c>
      <c r="F367" s="6"/>
      <c r="G367" s="7"/>
    </row>
    <row r="368" spans="1:7" x14ac:dyDescent="0.2">
      <c r="A368" s="4">
        <v>2047</v>
      </c>
      <c r="B368" t="s">
        <v>3</v>
      </c>
      <c r="C368" s="1">
        <v>1500</v>
      </c>
      <c r="D368">
        <v>4</v>
      </c>
      <c r="E368" t="s">
        <v>11</v>
      </c>
      <c r="F368" s="6"/>
      <c r="G368" s="7"/>
    </row>
    <row r="369" spans="1:7" x14ac:dyDescent="0.2">
      <c r="A369" s="4">
        <v>2051</v>
      </c>
      <c r="B369" t="s">
        <v>3</v>
      </c>
      <c r="C369" s="1">
        <v>1800</v>
      </c>
      <c r="D369">
        <v>4</v>
      </c>
      <c r="E369" t="s">
        <v>10</v>
      </c>
      <c r="F369" s="6"/>
      <c r="G369" s="7"/>
    </row>
    <row r="370" spans="1:7" x14ac:dyDescent="0.2">
      <c r="A370" s="4">
        <v>2216</v>
      </c>
      <c r="B370" t="s">
        <v>3</v>
      </c>
      <c r="C370" s="1">
        <v>1500</v>
      </c>
      <c r="D370">
        <v>4</v>
      </c>
      <c r="E370" t="s">
        <v>11</v>
      </c>
      <c r="F370" s="6"/>
      <c r="G370" s="7"/>
    </row>
    <row r="371" spans="1:7" x14ac:dyDescent="0.2">
      <c r="A371" s="4">
        <v>1705</v>
      </c>
      <c r="B371" t="s">
        <v>3</v>
      </c>
      <c r="C371" s="1">
        <v>1500</v>
      </c>
      <c r="D371">
        <v>4</v>
      </c>
      <c r="E371" t="s">
        <v>10</v>
      </c>
      <c r="F371" s="6"/>
      <c r="G371" s="7"/>
    </row>
    <row r="372" spans="1:7" x14ac:dyDescent="0.2">
      <c r="A372" s="4">
        <v>1950</v>
      </c>
      <c r="B372" t="s">
        <v>3</v>
      </c>
      <c r="C372" s="1">
        <v>2700</v>
      </c>
      <c r="D372">
        <v>4</v>
      </c>
      <c r="E372" t="s">
        <v>11</v>
      </c>
      <c r="F372" s="6"/>
      <c r="G372" s="7"/>
    </row>
    <row r="373" spans="1:7" x14ac:dyDescent="0.2">
      <c r="A373" s="4">
        <v>2813</v>
      </c>
      <c r="B373" t="s">
        <v>2</v>
      </c>
      <c r="C373" s="1">
        <v>2100</v>
      </c>
      <c r="D373">
        <v>4</v>
      </c>
      <c r="E373" t="s">
        <v>11</v>
      </c>
      <c r="F373" s="6"/>
      <c r="G373" s="7"/>
    </row>
    <row r="374" spans="1:7" x14ac:dyDescent="0.2">
      <c r="A374" s="4">
        <v>5262</v>
      </c>
      <c r="B374" t="s">
        <v>5</v>
      </c>
      <c r="C374" s="1">
        <v>3900</v>
      </c>
      <c r="D374">
        <v>4</v>
      </c>
      <c r="E374" t="s">
        <v>11</v>
      </c>
      <c r="F374" s="6"/>
      <c r="G374" s="7"/>
    </row>
    <row r="375" spans="1:7" x14ac:dyDescent="0.2">
      <c r="A375" s="4">
        <v>2027</v>
      </c>
      <c r="B375" t="s">
        <v>3</v>
      </c>
      <c r="C375" s="1">
        <v>2460</v>
      </c>
      <c r="D375">
        <v>4</v>
      </c>
      <c r="E375" t="s">
        <v>10</v>
      </c>
      <c r="F375" s="6"/>
      <c r="G375" s="7"/>
    </row>
    <row r="376" spans="1:7" x14ac:dyDescent="0.2">
      <c r="A376" s="4">
        <v>2684</v>
      </c>
      <c r="B376" t="s">
        <v>2</v>
      </c>
      <c r="C376" s="1">
        <v>1800</v>
      </c>
      <c r="D376">
        <v>4</v>
      </c>
      <c r="E376" t="s">
        <v>10</v>
      </c>
      <c r="F376" s="6"/>
      <c r="G376" s="7"/>
    </row>
    <row r="377" spans="1:7" x14ac:dyDescent="0.2">
      <c r="A377" s="4">
        <v>2151</v>
      </c>
      <c r="B377" t="s">
        <v>3</v>
      </c>
      <c r="C377" s="1">
        <v>4200</v>
      </c>
      <c r="D377">
        <v>4</v>
      </c>
      <c r="E377" t="s">
        <v>11</v>
      </c>
      <c r="F377" s="6"/>
      <c r="G377" s="7"/>
    </row>
    <row r="378" spans="1:7" x14ac:dyDescent="0.2">
      <c r="A378" s="4">
        <v>3235</v>
      </c>
      <c r="B378" t="s">
        <v>1</v>
      </c>
      <c r="C378" s="1">
        <v>4732</v>
      </c>
      <c r="D378">
        <v>4</v>
      </c>
      <c r="E378" t="s">
        <v>11</v>
      </c>
      <c r="F378" s="6"/>
      <c r="G378" s="7"/>
    </row>
    <row r="379" spans="1:7" x14ac:dyDescent="0.2">
      <c r="A379" s="4">
        <v>1621</v>
      </c>
      <c r="B379" t="s">
        <v>5</v>
      </c>
      <c r="C379" s="1">
        <v>2000</v>
      </c>
      <c r="D379">
        <v>4</v>
      </c>
      <c r="E379" t="s">
        <v>11</v>
      </c>
      <c r="F379" s="6"/>
      <c r="G379" s="7"/>
    </row>
    <row r="380" spans="1:7" x14ac:dyDescent="0.2">
      <c r="A380" s="4">
        <v>2671</v>
      </c>
      <c r="B380" t="s">
        <v>2</v>
      </c>
      <c r="C380" s="1">
        <v>3200</v>
      </c>
      <c r="D380">
        <v>4</v>
      </c>
      <c r="E380" t="s">
        <v>11</v>
      </c>
      <c r="F380" s="6"/>
      <c r="G380" s="7"/>
    </row>
    <row r="381" spans="1:7" x14ac:dyDescent="0.2">
      <c r="A381" s="4">
        <v>2677</v>
      </c>
      <c r="B381" t="s">
        <v>2</v>
      </c>
      <c r="C381" s="1">
        <v>4275</v>
      </c>
      <c r="D381">
        <v>4</v>
      </c>
      <c r="E381" t="s">
        <v>10</v>
      </c>
      <c r="F381" s="6"/>
      <c r="G381" s="7"/>
    </row>
    <row r="382" spans="1:7" x14ac:dyDescent="0.2">
      <c r="A382" s="4">
        <v>6580</v>
      </c>
      <c r="B382" t="s">
        <v>3</v>
      </c>
      <c r="C382" s="1">
        <v>3500</v>
      </c>
      <c r="D382">
        <v>4</v>
      </c>
      <c r="E382" t="s">
        <v>10</v>
      </c>
      <c r="F382" s="6"/>
      <c r="G382" s="7"/>
    </row>
    <row r="383" spans="1:7" x14ac:dyDescent="0.2">
      <c r="A383" s="4">
        <v>2190</v>
      </c>
      <c r="B383" t="s">
        <v>3</v>
      </c>
      <c r="C383" s="1">
        <v>2300</v>
      </c>
      <c r="D383">
        <v>4</v>
      </c>
      <c r="E383" t="s">
        <v>10</v>
      </c>
      <c r="F383" s="6"/>
      <c r="G383" s="7"/>
    </row>
    <row r="384" spans="1:7" x14ac:dyDescent="0.2">
      <c r="A384" s="4">
        <v>6746</v>
      </c>
      <c r="B384" t="s">
        <v>3</v>
      </c>
      <c r="C384" s="1">
        <v>2850</v>
      </c>
      <c r="D384">
        <v>4</v>
      </c>
      <c r="E384" t="s">
        <v>11</v>
      </c>
      <c r="F384" s="6"/>
      <c r="G384" s="7"/>
    </row>
    <row r="385" spans="1:7" x14ac:dyDescent="0.2">
      <c r="A385" s="4">
        <v>3104</v>
      </c>
      <c r="B385" t="s">
        <v>1</v>
      </c>
      <c r="C385" s="1">
        <v>2400</v>
      </c>
      <c r="D385">
        <v>4</v>
      </c>
      <c r="E385" t="s">
        <v>11</v>
      </c>
      <c r="F385" s="6"/>
      <c r="G385" s="7"/>
    </row>
    <row r="386" spans="1:7" x14ac:dyDescent="0.2">
      <c r="A386" s="4">
        <v>3043</v>
      </c>
      <c r="B386" t="s">
        <v>1</v>
      </c>
      <c r="C386" s="1">
        <v>6500</v>
      </c>
      <c r="D386">
        <v>4</v>
      </c>
      <c r="E386" t="s">
        <v>11</v>
      </c>
      <c r="F386" s="6"/>
      <c r="G386" s="7"/>
    </row>
    <row r="387" spans="1:7" x14ac:dyDescent="0.2">
      <c r="A387" s="4">
        <v>2965</v>
      </c>
      <c r="B387" t="s">
        <v>1</v>
      </c>
      <c r="C387" s="1">
        <v>3300</v>
      </c>
      <c r="D387">
        <v>4</v>
      </c>
      <c r="E387" t="s">
        <v>10</v>
      </c>
      <c r="F387" s="6"/>
      <c r="G387" s="7"/>
    </row>
    <row r="388" spans="1:7" x14ac:dyDescent="0.2">
      <c r="A388" s="4">
        <v>3099</v>
      </c>
      <c r="B388" t="s">
        <v>1</v>
      </c>
      <c r="C388" s="1">
        <v>7500</v>
      </c>
      <c r="D388">
        <v>4</v>
      </c>
      <c r="E388" t="s">
        <v>11</v>
      </c>
      <c r="F388" s="6"/>
      <c r="G388" s="7"/>
    </row>
    <row r="389" spans="1:7" x14ac:dyDescent="0.2">
      <c r="A389" s="4">
        <v>2285</v>
      </c>
      <c r="B389" t="s">
        <v>3</v>
      </c>
      <c r="C389" s="1">
        <v>3350</v>
      </c>
      <c r="D389">
        <v>4</v>
      </c>
      <c r="E389" t="s">
        <v>10</v>
      </c>
      <c r="F389" s="6"/>
      <c r="G389" s="7"/>
    </row>
    <row r="390" spans="1:7" x14ac:dyDescent="0.2">
      <c r="A390" s="4">
        <v>1719</v>
      </c>
      <c r="B390" t="s">
        <v>3</v>
      </c>
      <c r="C390" s="1">
        <v>3740</v>
      </c>
      <c r="D390">
        <v>4</v>
      </c>
      <c r="E390" t="s">
        <v>10</v>
      </c>
      <c r="F390" s="6"/>
      <c r="G390" s="7"/>
    </row>
    <row r="391" spans="1:7" x14ac:dyDescent="0.2">
      <c r="A391" s="4">
        <v>2251</v>
      </c>
      <c r="B391" t="s">
        <v>3</v>
      </c>
      <c r="C391" s="1">
        <v>8000</v>
      </c>
      <c r="D391">
        <v>4</v>
      </c>
      <c r="E391" t="s">
        <v>10</v>
      </c>
      <c r="F391" s="6"/>
      <c r="G391" s="7"/>
    </row>
    <row r="392" spans="1:7" x14ac:dyDescent="0.2">
      <c r="A392" s="4">
        <v>2253</v>
      </c>
      <c r="B392" t="s">
        <v>3</v>
      </c>
      <c r="C392" s="1">
        <v>6000</v>
      </c>
      <c r="D392">
        <v>4</v>
      </c>
      <c r="E392" t="s">
        <v>11</v>
      </c>
      <c r="F392" s="6"/>
      <c r="G392" s="7"/>
    </row>
    <row r="393" spans="1:7" x14ac:dyDescent="0.2">
      <c r="A393" s="4">
        <v>3192</v>
      </c>
      <c r="B393" t="s">
        <v>1</v>
      </c>
      <c r="C393" s="1">
        <v>3700</v>
      </c>
      <c r="D393">
        <v>4</v>
      </c>
      <c r="E393" t="s">
        <v>11</v>
      </c>
      <c r="F393" s="6"/>
      <c r="G393" s="7"/>
    </row>
    <row r="394" spans="1:7" x14ac:dyDescent="0.2">
      <c r="A394" s="4">
        <v>5241</v>
      </c>
      <c r="B394" t="s">
        <v>5</v>
      </c>
      <c r="C394" s="1">
        <v>4280</v>
      </c>
      <c r="D394">
        <v>4</v>
      </c>
      <c r="E394" t="s">
        <v>11</v>
      </c>
      <c r="F394" s="6"/>
      <c r="G394" s="7"/>
    </row>
    <row r="395" spans="1:7" x14ac:dyDescent="0.2">
      <c r="A395" s="4">
        <v>1529</v>
      </c>
      <c r="B395" t="s">
        <v>5</v>
      </c>
      <c r="C395" s="1">
        <v>8500</v>
      </c>
      <c r="D395">
        <v>4</v>
      </c>
      <c r="E395" t="s">
        <v>11</v>
      </c>
      <c r="F395" s="6"/>
      <c r="G395" s="7"/>
    </row>
    <row r="396" spans="1:7" x14ac:dyDescent="0.2">
      <c r="A396" s="4">
        <v>2179</v>
      </c>
      <c r="B396" t="s">
        <v>3</v>
      </c>
      <c r="C396" s="1">
        <v>8000</v>
      </c>
      <c r="D396">
        <v>4</v>
      </c>
      <c r="E396" t="s">
        <v>11</v>
      </c>
      <c r="F396" s="6"/>
      <c r="G396" s="7"/>
    </row>
    <row r="397" spans="1:7" x14ac:dyDescent="0.2">
      <c r="A397" s="4">
        <v>2513</v>
      </c>
      <c r="B397" t="s">
        <v>0</v>
      </c>
      <c r="C397" s="1">
        <v>3500</v>
      </c>
      <c r="D397">
        <v>4</v>
      </c>
      <c r="E397" t="s">
        <v>10</v>
      </c>
      <c r="F397" s="6"/>
      <c r="G397" s="7"/>
    </row>
    <row r="398" spans="1:7" x14ac:dyDescent="0.2">
      <c r="A398" s="4">
        <v>2234</v>
      </c>
      <c r="B398" t="s">
        <v>3</v>
      </c>
      <c r="C398" s="1">
        <v>6390</v>
      </c>
      <c r="D398">
        <v>4</v>
      </c>
      <c r="E398" t="s">
        <v>11</v>
      </c>
      <c r="F398" s="6"/>
      <c r="G398" s="7"/>
    </row>
    <row r="399" spans="1:7" x14ac:dyDescent="0.2">
      <c r="A399" s="4">
        <v>5621</v>
      </c>
      <c r="B399" t="s">
        <v>0</v>
      </c>
      <c r="C399" s="1">
        <v>3700</v>
      </c>
      <c r="D399">
        <v>4</v>
      </c>
      <c r="E399" t="s">
        <v>11</v>
      </c>
      <c r="F399" s="6"/>
      <c r="G399" s="7"/>
    </row>
    <row r="400" spans="1:7" x14ac:dyDescent="0.2">
      <c r="A400" s="4">
        <v>2098</v>
      </c>
      <c r="B400" t="s">
        <v>3</v>
      </c>
      <c r="C400" s="1">
        <v>8500</v>
      </c>
      <c r="D400">
        <v>4</v>
      </c>
      <c r="E400" t="s">
        <v>11</v>
      </c>
      <c r="F400" s="6"/>
      <c r="G400" s="7"/>
    </row>
    <row r="401" spans="1:7" x14ac:dyDescent="0.2">
      <c r="A401" s="4">
        <v>1571</v>
      </c>
      <c r="B401" t="s">
        <v>5</v>
      </c>
      <c r="C401" s="1">
        <v>6300</v>
      </c>
      <c r="D401">
        <v>4</v>
      </c>
      <c r="E401" t="s">
        <v>11</v>
      </c>
      <c r="F401" s="6"/>
      <c r="G401" s="7"/>
    </row>
    <row r="402" spans="1:7" x14ac:dyDescent="0.2">
      <c r="A402" s="4">
        <v>2101</v>
      </c>
      <c r="B402" t="s">
        <v>3</v>
      </c>
      <c r="C402" s="1">
        <v>5000</v>
      </c>
      <c r="D402">
        <v>4</v>
      </c>
      <c r="E402" t="s">
        <v>11</v>
      </c>
      <c r="F402" s="6"/>
      <c r="G402" s="7"/>
    </row>
    <row r="403" spans="1:7" x14ac:dyDescent="0.2">
      <c r="A403" s="4">
        <v>1669</v>
      </c>
      <c r="B403" t="s">
        <v>5</v>
      </c>
      <c r="C403" s="1">
        <v>14406</v>
      </c>
      <c r="D403">
        <v>4</v>
      </c>
      <c r="E403" t="s">
        <v>11</v>
      </c>
      <c r="F403" s="6"/>
      <c r="G403" s="7"/>
    </row>
    <row r="404" spans="1:7" x14ac:dyDescent="0.2">
      <c r="A404" s="4">
        <v>2769</v>
      </c>
      <c r="B404" t="s">
        <v>2</v>
      </c>
      <c r="C404" s="1">
        <v>15000</v>
      </c>
      <c r="D404">
        <v>4</v>
      </c>
      <c r="E404" t="s">
        <v>10</v>
      </c>
      <c r="F404" s="6"/>
      <c r="G404" s="7"/>
    </row>
    <row r="405" spans="1:7" x14ac:dyDescent="0.2">
      <c r="A405" s="4">
        <v>5189</v>
      </c>
      <c r="B405" t="s">
        <v>4</v>
      </c>
      <c r="C405" s="1">
        <v>18000</v>
      </c>
      <c r="D405">
        <v>4</v>
      </c>
      <c r="E405" t="s">
        <v>11</v>
      </c>
      <c r="F405" s="6"/>
      <c r="G405" s="7"/>
    </row>
    <row r="406" spans="1:7" x14ac:dyDescent="0.2">
      <c r="A406" s="4">
        <v>2744</v>
      </c>
      <c r="B406" t="s">
        <v>2</v>
      </c>
      <c r="C406">
        <v>75</v>
      </c>
      <c r="D406">
        <v>3</v>
      </c>
      <c r="E406" t="s">
        <v>10</v>
      </c>
      <c r="F406" s="6"/>
      <c r="G406" s="7"/>
    </row>
    <row r="407" spans="1:7" x14ac:dyDescent="0.2">
      <c r="A407" s="4">
        <v>2189</v>
      </c>
      <c r="B407" t="s">
        <v>3</v>
      </c>
      <c r="C407">
        <v>630</v>
      </c>
      <c r="D407">
        <v>3</v>
      </c>
      <c r="E407" t="s">
        <v>11</v>
      </c>
      <c r="F407" s="6"/>
      <c r="G407" s="7"/>
    </row>
    <row r="408" spans="1:7" x14ac:dyDescent="0.2">
      <c r="A408" s="4">
        <v>2990</v>
      </c>
      <c r="B408" t="s">
        <v>1</v>
      </c>
      <c r="C408">
        <v>185</v>
      </c>
      <c r="D408">
        <v>3</v>
      </c>
      <c r="E408" t="s">
        <v>10</v>
      </c>
      <c r="F408" s="6"/>
      <c r="G408" s="7"/>
    </row>
    <row r="409" spans="1:7" x14ac:dyDescent="0.2">
      <c r="A409" s="4">
        <v>1777</v>
      </c>
      <c r="B409" t="s">
        <v>3</v>
      </c>
      <c r="C409">
        <v>100</v>
      </c>
      <c r="D409">
        <v>3</v>
      </c>
      <c r="E409" t="s">
        <v>11</v>
      </c>
      <c r="F409" s="6"/>
      <c r="G409" s="7"/>
    </row>
    <row r="410" spans="1:7" x14ac:dyDescent="0.2">
      <c r="A410" s="4">
        <v>1932</v>
      </c>
      <c r="B410" t="s">
        <v>3</v>
      </c>
      <c r="C410">
        <v>100</v>
      </c>
      <c r="D410">
        <v>3</v>
      </c>
      <c r="E410" t="s">
        <v>11</v>
      </c>
      <c r="F410" s="6"/>
      <c r="G410" s="7"/>
    </row>
    <row r="411" spans="1:7" x14ac:dyDescent="0.2">
      <c r="A411" s="4">
        <v>2422</v>
      </c>
      <c r="B411" t="s">
        <v>0</v>
      </c>
      <c r="C411">
        <v>100</v>
      </c>
      <c r="D411">
        <v>3</v>
      </c>
      <c r="E411" t="s">
        <v>10</v>
      </c>
      <c r="F411" s="6"/>
      <c r="G411" s="7"/>
    </row>
    <row r="412" spans="1:7" x14ac:dyDescent="0.2">
      <c r="A412" s="4">
        <v>2438</v>
      </c>
      <c r="B412" t="s">
        <v>0</v>
      </c>
      <c r="C412">
        <v>370</v>
      </c>
      <c r="D412">
        <v>3</v>
      </c>
      <c r="E412" t="s">
        <v>10</v>
      </c>
      <c r="F412" s="6"/>
      <c r="G412" s="7"/>
    </row>
    <row r="413" spans="1:7" x14ac:dyDescent="0.2">
      <c r="A413" s="4">
        <v>2505</v>
      </c>
      <c r="B413" t="s">
        <v>0</v>
      </c>
      <c r="C413">
        <v>2120</v>
      </c>
      <c r="D413">
        <v>3</v>
      </c>
      <c r="E413" t="s">
        <v>11</v>
      </c>
      <c r="F413" s="6"/>
      <c r="G413" s="7"/>
    </row>
    <row r="414" spans="1:7" x14ac:dyDescent="0.2">
      <c r="A414" s="4">
        <v>1969</v>
      </c>
      <c r="B414" t="s">
        <v>3</v>
      </c>
      <c r="C414">
        <v>150</v>
      </c>
      <c r="D414">
        <v>3</v>
      </c>
      <c r="E414" t="s">
        <v>11</v>
      </c>
      <c r="F414" s="6"/>
      <c r="G414" s="7"/>
    </row>
    <row r="415" spans="1:7" x14ac:dyDescent="0.2">
      <c r="A415" s="4">
        <v>1919</v>
      </c>
      <c r="B415" t="s">
        <v>3</v>
      </c>
      <c r="C415">
        <v>150</v>
      </c>
      <c r="D415">
        <v>3</v>
      </c>
      <c r="E415" t="s">
        <v>11</v>
      </c>
      <c r="F415" s="6"/>
      <c r="G415" s="7"/>
    </row>
    <row r="416" spans="1:7" x14ac:dyDescent="0.2">
      <c r="A416" s="4">
        <v>2570</v>
      </c>
      <c r="B416" t="s">
        <v>0</v>
      </c>
      <c r="C416">
        <v>150</v>
      </c>
      <c r="D416">
        <v>3</v>
      </c>
      <c r="E416" t="s">
        <v>11</v>
      </c>
      <c r="F416" s="6"/>
      <c r="G416" s="7"/>
    </row>
    <row r="417" spans="1:7" x14ac:dyDescent="0.2">
      <c r="A417" s="4">
        <v>2423</v>
      </c>
      <c r="B417" t="s">
        <v>0</v>
      </c>
      <c r="C417">
        <v>380</v>
      </c>
      <c r="D417">
        <v>3</v>
      </c>
      <c r="E417" t="s">
        <v>10</v>
      </c>
      <c r="F417" s="6"/>
      <c r="G417" s="7"/>
    </row>
    <row r="418" spans="1:7" x14ac:dyDescent="0.2">
      <c r="A418" s="4">
        <v>1943</v>
      </c>
      <c r="B418" t="s">
        <v>3</v>
      </c>
      <c r="C418">
        <v>570</v>
      </c>
      <c r="D418">
        <v>3</v>
      </c>
      <c r="E418" t="s">
        <v>11</v>
      </c>
      <c r="F418" s="6"/>
      <c r="G418" s="7"/>
    </row>
    <row r="419" spans="1:7" x14ac:dyDescent="0.2">
      <c r="A419" s="4">
        <v>2343</v>
      </c>
      <c r="B419" t="s">
        <v>0</v>
      </c>
      <c r="C419">
        <v>200</v>
      </c>
      <c r="D419">
        <v>3</v>
      </c>
      <c r="E419" t="s">
        <v>10</v>
      </c>
      <c r="F419" s="6"/>
      <c r="G419" s="7"/>
    </row>
    <row r="420" spans="1:7" x14ac:dyDescent="0.2">
      <c r="A420" s="4">
        <v>2356</v>
      </c>
      <c r="B420" t="s">
        <v>0</v>
      </c>
      <c r="C420">
        <v>200</v>
      </c>
      <c r="D420">
        <v>3</v>
      </c>
      <c r="E420" t="s">
        <v>11</v>
      </c>
      <c r="F420" s="6"/>
      <c r="G420" s="7"/>
    </row>
    <row r="421" spans="1:7" x14ac:dyDescent="0.2">
      <c r="A421" s="4">
        <v>2402</v>
      </c>
      <c r="B421" t="s">
        <v>0</v>
      </c>
      <c r="C421">
        <v>200</v>
      </c>
      <c r="D421">
        <v>3</v>
      </c>
      <c r="E421" t="s">
        <v>10</v>
      </c>
      <c r="F421" s="6"/>
      <c r="G421" s="7"/>
    </row>
    <row r="422" spans="1:7" x14ac:dyDescent="0.2">
      <c r="A422" s="4">
        <v>2488</v>
      </c>
      <c r="B422" t="s">
        <v>0</v>
      </c>
      <c r="C422">
        <v>200</v>
      </c>
      <c r="D422">
        <v>3</v>
      </c>
      <c r="E422" t="s">
        <v>11</v>
      </c>
      <c r="F422" s="6"/>
      <c r="G422" s="7"/>
    </row>
    <row r="423" spans="1:7" x14ac:dyDescent="0.2">
      <c r="A423" s="4">
        <v>2967</v>
      </c>
      <c r="B423" t="s">
        <v>1</v>
      </c>
      <c r="C423">
        <v>700</v>
      </c>
      <c r="D423">
        <v>3</v>
      </c>
      <c r="E423" t="s">
        <v>11</v>
      </c>
      <c r="F423" s="6"/>
      <c r="G423" s="7"/>
    </row>
    <row r="424" spans="1:7" x14ac:dyDescent="0.2">
      <c r="A424" s="4">
        <v>3283</v>
      </c>
      <c r="B424" t="s">
        <v>1</v>
      </c>
      <c r="C424">
        <v>400</v>
      </c>
      <c r="D424">
        <v>3</v>
      </c>
      <c r="E424" t="s">
        <v>11</v>
      </c>
      <c r="F424" s="6"/>
      <c r="G424" s="7"/>
    </row>
    <row r="425" spans="1:7" x14ac:dyDescent="0.2">
      <c r="A425" s="4">
        <v>2687</v>
      </c>
      <c r="B425" t="s">
        <v>2</v>
      </c>
      <c r="C425">
        <v>1440</v>
      </c>
      <c r="D425">
        <v>3</v>
      </c>
      <c r="E425" t="s">
        <v>10</v>
      </c>
      <c r="F425" s="6"/>
      <c r="G425" s="7"/>
    </row>
    <row r="426" spans="1:7" x14ac:dyDescent="0.2">
      <c r="A426" s="4">
        <v>1786</v>
      </c>
      <c r="B426" t="s">
        <v>3</v>
      </c>
      <c r="C426">
        <v>250</v>
      </c>
      <c r="D426">
        <v>3</v>
      </c>
      <c r="E426" t="s">
        <v>11</v>
      </c>
      <c r="F426" s="6"/>
      <c r="G426" s="7"/>
    </row>
    <row r="427" spans="1:7" x14ac:dyDescent="0.2">
      <c r="A427" s="4">
        <v>6562</v>
      </c>
      <c r="B427" t="s">
        <v>3</v>
      </c>
      <c r="C427">
        <v>3250</v>
      </c>
      <c r="D427">
        <v>3</v>
      </c>
      <c r="E427" t="s">
        <v>10</v>
      </c>
      <c r="F427" s="6"/>
      <c r="G427" s="7"/>
    </row>
    <row r="428" spans="1:7" x14ac:dyDescent="0.2">
      <c r="A428" s="4">
        <v>2621</v>
      </c>
      <c r="B428" t="s">
        <v>0</v>
      </c>
      <c r="C428">
        <v>900</v>
      </c>
      <c r="D428">
        <v>3</v>
      </c>
      <c r="E428" t="s">
        <v>10</v>
      </c>
      <c r="F428" s="6"/>
      <c r="G428" s="7"/>
    </row>
    <row r="429" spans="1:7" x14ac:dyDescent="0.2">
      <c r="A429" s="4">
        <v>1931</v>
      </c>
      <c r="B429" t="s">
        <v>3</v>
      </c>
      <c r="C429">
        <v>300</v>
      </c>
      <c r="D429">
        <v>3</v>
      </c>
      <c r="E429" t="s">
        <v>10</v>
      </c>
      <c r="F429" s="6"/>
      <c r="G429" s="7"/>
    </row>
    <row r="430" spans="1:7" x14ac:dyDescent="0.2">
      <c r="A430" s="4">
        <v>2034</v>
      </c>
      <c r="B430" t="s">
        <v>3</v>
      </c>
      <c r="C430">
        <v>2800</v>
      </c>
      <c r="D430">
        <v>3</v>
      </c>
      <c r="E430" t="s">
        <v>10</v>
      </c>
      <c r="F430" s="6"/>
      <c r="G430" s="7"/>
    </row>
    <row r="431" spans="1:7" x14ac:dyDescent="0.2">
      <c r="A431" s="4">
        <v>2589</v>
      </c>
      <c r="B431" t="s">
        <v>0</v>
      </c>
      <c r="C431">
        <v>1220</v>
      </c>
      <c r="D431">
        <v>3</v>
      </c>
      <c r="E431" t="s">
        <v>11</v>
      </c>
      <c r="F431" s="6"/>
      <c r="G431" s="7"/>
    </row>
    <row r="432" spans="1:7" x14ac:dyDescent="0.2">
      <c r="A432" s="4">
        <v>2664</v>
      </c>
      <c r="B432" t="s">
        <v>2</v>
      </c>
      <c r="C432">
        <v>300</v>
      </c>
      <c r="D432">
        <v>3</v>
      </c>
      <c r="E432" t="s">
        <v>11</v>
      </c>
      <c r="F432" s="6"/>
      <c r="G432" s="7"/>
    </row>
    <row r="433" spans="1:7" x14ac:dyDescent="0.2">
      <c r="A433" s="4">
        <v>2665</v>
      </c>
      <c r="B433" t="s">
        <v>2</v>
      </c>
      <c r="C433">
        <v>800</v>
      </c>
      <c r="D433">
        <v>3</v>
      </c>
      <c r="E433" t="s">
        <v>11</v>
      </c>
      <c r="F433" s="6"/>
      <c r="G433" s="7"/>
    </row>
    <row r="434" spans="1:7" x14ac:dyDescent="0.2">
      <c r="A434" s="4">
        <v>2766</v>
      </c>
      <c r="B434" t="s">
        <v>2</v>
      </c>
      <c r="C434">
        <v>300</v>
      </c>
      <c r="D434">
        <v>3</v>
      </c>
      <c r="E434" t="s">
        <v>10</v>
      </c>
      <c r="F434" s="6"/>
      <c r="G434" s="7"/>
    </row>
    <row r="435" spans="1:7" x14ac:dyDescent="0.2">
      <c r="A435" s="4">
        <v>2774</v>
      </c>
      <c r="B435" t="s">
        <v>2</v>
      </c>
      <c r="C435">
        <v>300</v>
      </c>
      <c r="D435">
        <v>3</v>
      </c>
      <c r="E435" t="s">
        <v>11</v>
      </c>
      <c r="F435" s="6"/>
      <c r="G435" s="7"/>
    </row>
    <row r="436" spans="1:7" x14ac:dyDescent="0.2">
      <c r="A436" s="4">
        <v>6242</v>
      </c>
      <c r="B436" t="s">
        <v>1</v>
      </c>
      <c r="C436">
        <v>3355</v>
      </c>
      <c r="D436">
        <v>3</v>
      </c>
      <c r="E436" t="s">
        <v>11</v>
      </c>
      <c r="F436" s="6"/>
      <c r="G436" s="7"/>
    </row>
    <row r="437" spans="1:7" x14ac:dyDescent="0.2">
      <c r="A437" s="4">
        <v>6743</v>
      </c>
      <c r="B437" t="s">
        <v>3</v>
      </c>
      <c r="C437">
        <v>500</v>
      </c>
      <c r="D437">
        <v>3</v>
      </c>
      <c r="E437" t="s">
        <v>11</v>
      </c>
      <c r="F437" s="6"/>
      <c r="G437" s="7"/>
    </row>
    <row r="438" spans="1:7" x14ac:dyDescent="0.2">
      <c r="A438" s="4">
        <v>1911</v>
      </c>
      <c r="B438" t="s">
        <v>3</v>
      </c>
      <c r="C438">
        <v>510</v>
      </c>
      <c r="D438">
        <v>3</v>
      </c>
      <c r="E438" t="s">
        <v>11</v>
      </c>
      <c r="F438" s="6"/>
      <c r="G438" s="7"/>
    </row>
    <row r="439" spans="1:7" x14ac:dyDescent="0.2">
      <c r="A439" s="4">
        <v>2182</v>
      </c>
      <c r="B439" t="s">
        <v>3</v>
      </c>
      <c r="C439">
        <v>350</v>
      </c>
      <c r="D439">
        <v>3</v>
      </c>
      <c r="E439" t="s">
        <v>11</v>
      </c>
      <c r="F439" s="6"/>
      <c r="G439" s="7"/>
    </row>
    <row r="440" spans="1:7" x14ac:dyDescent="0.2">
      <c r="A440" s="4">
        <v>910</v>
      </c>
      <c r="B440" t="s">
        <v>4</v>
      </c>
      <c r="C440">
        <v>350</v>
      </c>
      <c r="D440">
        <v>3</v>
      </c>
      <c r="E440" t="s">
        <v>10</v>
      </c>
      <c r="F440" s="6"/>
      <c r="G440" s="7"/>
    </row>
    <row r="441" spans="1:7" x14ac:dyDescent="0.2">
      <c r="A441" s="4">
        <v>2115</v>
      </c>
      <c r="B441" t="s">
        <v>3</v>
      </c>
      <c r="C441">
        <v>350</v>
      </c>
      <c r="D441">
        <v>3</v>
      </c>
      <c r="E441" t="s">
        <v>11</v>
      </c>
      <c r="F441" s="6"/>
      <c r="G441" s="7"/>
    </row>
    <row r="442" spans="1:7" x14ac:dyDescent="0.2">
      <c r="A442" s="4">
        <v>2576</v>
      </c>
      <c r="B442" t="s">
        <v>0</v>
      </c>
      <c r="C442">
        <v>350</v>
      </c>
      <c r="D442">
        <v>3</v>
      </c>
      <c r="E442" t="s">
        <v>11</v>
      </c>
      <c r="F442" s="6"/>
      <c r="G442" s="7"/>
    </row>
    <row r="443" spans="1:7" x14ac:dyDescent="0.2">
      <c r="A443" s="4">
        <v>2591</v>
      </c>
      <c r="B443" t="s">
        <v>0</v>
      </c>
      <c r="C443">
        <v>700</v>
      </c>
      <c r="D443">
        <v>3</v>
      </c>
      <c r="E443" t="s">
        <v>11</v>
      </c>
      <c r="F443" s="6"/>
      <c r="G443" s="7"/>
    </row>
    <row r="444" spans="1:7" x14ac:dyDescent="0.2">
      <c r="A444" s="4">
        <v>548</v>
      </c>
      <c r="B444" t="s">
        <v>4</v>
      </c>
      <c r="C444">
        <v>390</v>
      </c>
      <c r="D444">
        <v>3</v>
      </c>
      <c r="E444" t="s">
        <v>11</v>
      </c>
      <c r="F444" s="6"/>
      <c r="G444" s="7"/>
    </row>
    <row r="445" spans="1:7" x14ac:dyDescent="0.2">
      <c r="A445" s="4">
        <v>5222</v>
      </c>
      <c r="B445" t="s">
        <v>5</v>
      </c>
      <c r="C445">
        <v>400</v>
      </c>
      <c r="D445">
        <v>3</v>
      </c>
      <c r="E445" t="s">
        <v>10</v>
      </c>
      <c r="F445" s="6"/>
      <c r="G445" s="7"/>
    </row>
    <row r="446" spans="1:7" x14ac:dyDescent="0.2">
      <c r="A446" s="4">
        <v>1953</v>
      </c>
      <c r="B446" t="s">
        <v>3</v>
      </c>
      <c r="C446">
        <v>400</v>
      </c>
      <c r="D446">
        <v>3</v>
      </c>
      <c r="E446" t="s">
        <v>11</v>
      </c>
      <c r="F446" s="6"/>
      <c r="G446" s="7"/>
    </row>
    <row r="447" spans="1:7" x14ac:dyDescent="0.2">
      <c r="A447" s="4">
        <v>523</v>
      </c>
      <c r="B447" t="s">
        <v>4</v>
      </c>
      <c r="C447">
        <v>1750</v>
      </c>
      <c r="D447">
        <v>3</v>
      </c>
      <c r="E447" t="s">
        <v>10</v>
      </c>
      <c r="F447" s="6"/>
      <c r="G447" s="7"/>
    </row>
    <row r="448" spans="1:7" x14ac:dyDescent="0.2">
      <c r="A448" s="4">
        <v>1961</v>
      </c>
      <c r="B448" t="s">
        <v>3</v>
      </c>
      <c r="C448">
        <v>1400</v>
      </c>
      <c r="D448">
        <v>3</v>
      </c>
      <c r="E448" t="s">
        <v>11</v>
      </c>
      <c r="F448" s="6"/>
      <c r="G448" s="7"/>
    </row>
    <row r="449" spans="1:7" x14ac:dyDescent="0.2">
      <c r="A449" s="4">
        <v>2820</v>
      </c>
      <c r="B449" t="s">
        <v>2</v>
      </c>
      <c r="C449">
        <v>900</v>
      </c>
      <c r="D449">
        <v>3</v>
      </c>
      <c r="E449" t="s">
        <v>11</v>
      </c>
      <c r="F449" s="6"/>
      <c r="G449" s="7"/>
    </row>
    <row r="450" spans="1:7" x14ac:dyDescent="0.2">
      <c r="A450" s="4">
        <v>6231</v>
      </c>
      <c r="B450" t="s">
        <v>1</v>
      </c>
      <c r="C450">
        <v>400</v>
      </c>
      <c r="D450">
        <v>3</v>
      </c>
      <c r="E450" t="s">
        <v>10</v>
      </c>
      <c r="F450" s="6"/>
      <c r="G450" s="7"/>
    </row>
    <row r="451" spans="1:7" x14ac:dyDescent="0.2">
      <c r="A451" s="4">
        <v>6666</v>
      </c>
      <c r="B451" t="s">
        <v>3</v>
      </c>
      <c r="C451">
        <v>900</v>
      </c>
      <c r="D451">
        <v>3</v>
      </c>
      <c r="E451" t="s">
        <v>11</v>
      </c>
      <c r="F451" s="6"/>
      <c r="G451" s="7"/>
    </row>
    <row r="452" spans="1:7" x14ac:dyDescent="0.2">
      <c r="A452" s="4">
        <v>3262</v>
      </c>
      <c r="B452" t="s">
        <v>1</v>
      </c>
      <c r="C452">
        <v>412</v>
      </c>
      <c r="D452">
        <v>3</v>
      </c>
      <c r="E452" t="s">
        <v>11</v>
      </c>
      <c r="F452" s="6"/>
      <c r="G452" s="7"/>
    </row>
    <row r="453" spans="1:7" x14ac:dyDescent="0.2">
      <c r="A453" s="4">
        <v>5981</v>
      </c>
      <c r="B453" t="s">
        <v>1</v>
      </c>
      <c r="C453">
        <v>420</v>
      </c>
      <c r="D453">
        <v>3</v>
      </c>
      <c r="E453" t="s">
        <v>11</v>
      </c>
      <c r="F453" s="6"/>
      <c r="G453" s="7"/>
    </row>
    <row r="454" spans="1:7" x14ac:dyDescent="0.2">
      <c r="A454" s="4">
        <v>541</v>
      </c>
      <c r="B454" t="s">
        <v>4</v>
      </c>
      <c r="C454">
        <v>430</v>
      </c>
      <c r="D454">
        <v>3</v>
      </c>
      <c r="E454" t="s">
        <v>11</v>
      </c>
      <c r="F454" s="6"/>
      <c r="G454" s="7"/>
    </row>
    <row r="455" spans="1:7" x14ac:dyDescent="0.2">
      <c r="A455" s="4">
        <v>2183</v>
      </c>
      <c r="B455" t="s">
        <v>3</v>
      </c>
      <c r="C455">
        <v>900</v>
      </c>
      <c r="D455">
        <v>3</v>
      </c>
      <c r="E455" t="s">
        <v>11</v>
      </c>
      <c r="F455" s="6"/>
      <c r="G455" s="7"/>
    </row>
    <row r="456" spans="1:7" x14ac:dyDescent="0.2">
      <c r="A456" s="4">
        <v>2613</v>
      </c>
      <c r="B456" t="s">
        <v>0</v>
      </c>
      <c r="C456">
        <v>450</v>
      </c>
      <c r="D456">
        <v>3</v>
      </c>
      <c r="E456" t="s">
        <v>10</v>
      </c>
      <c r="F456" s="6"/>
      <c r="G456" s="7"/>
    </row>
    <row r="457" spans="1:7" x14ac:dyDescent="0.2">
      <c r="A457" s="4">
        <v>2152</v>
      </c>
      <c r="B457" t="s">
        <v>3</v>
      </c>
      <c r="C457">
        <v>460</v>
      </c>
      <c r="D457">
        <v>3</v>
      </c>
      <c r="E457" t="s">
        <v>11</v>
      </c>
      <c r="F457" s="6"/>
      <c r="G457" s="7"/>
    </row>
    <row r="458" spans="1:7" x14ac:dyDescent="0.2">
      <c r="A458" s="4">
        <v>1803</v>
      </c>
      <c r="B458" t="s">
        <v>3</v>
      </c>
      <c r="C458">
        <v>700</v>
      </c>
      <c r="D458">
        <v>3</v>
      </c>
      <c r="E458" t="s">
        <v>11</v>
      </c>
      <c r="F458" s="6"/>
      <c r="G458" s="7"/>
    </row>
    <row r="459" spans="1:7" x14ac:dyDescent="0.2">
      <c r="A459" s="4">
        <v>2839</v>
      </c>
      <c r="B459" t="s">
        <v>2</v>
      </c>
      <c r="C459">
        <v>1100</v>
      </c>
      <c r="D459">
        <v>3</v>
      </c>
      <c r="E459" t="s">
        <v>10</v>
      </c>
      <c r="F459" s="6"/>
      <c r="G459" s="7"/>
    </row>
    <row r="460" spans="1:7" x14ac:dyDescent="0.2">
      <c r="A460" s="4">
        <v>1627</v>
      </c>
      <c r="B460" t="s">
        <v>5</v>
      </c>
      <c r="C460">
        <v>500</v>
      </c>
      <c r="D460">
        <v>3</v>
      </c>
      <c r="E460" t="s">
        <v>11</v>
      </c>
      <c r="F460" s="6"/>
      <c r="G460" s="7"/>
    </row>
    <row r="461" spans="1:7" x14ac:dyDescent="0.2">
      <c r="A461" s="4">
        <v>1681</v>
      </c>
      <c r="B461" t="s">
        <v>5</v>
      </c>
      <c r="C461">
        <v>1200</v>
      </c>
      <c r="D461">
        <v>3</v>
      </c>
      <c r="E461" t="s">
        <v>11</v>
      </c>
      <c r="F461" s="6"/>
      <c r="G461" s="7"/>
    </row>
    <row r="462" spans="1:7" x14ac:dyDescent="0.2">
      <c r="A462" s="4">
        <v>2012</v>
      </c>
      <c r="B462" t="s">
        <v>3</v>
      </c>
      <c r="C462">
        <v>500</v>
      </c>
      <c r="D462">
        <v>3</v>
      </c>
      <c r="E462" t="s">
        <v>10</v>
      </c>
      <c r="F462" s="6"/>
      <c r="G462" s="7"/>
    </row>
    <row r="463" spans="1:7" x14ac:dyDescent="0.2">
      <c r="A463" s="4">
        <v>2161</v>
      </c>
      <c r="B463" t="s">
        <v>3</v>
      </c>
      <c r="C463">
        <v>1255</v>
      </c>
      <c r="D463">
        <v>3</v>
      </c>
      <c r="E463" t="s">
        <v>11</v>
      </c>
      <c r="F463" s="6"/>
      <c r="G463" s="7"/>
    </row>
    <row r="464" spans="1:7" x14ac:dyDescent="0.2">
      <c r="A464" s="4">
        <v>2390</v>
      </c>
      <c r="B464" t="s">
        <v>0</v>
      </c>
      <c r="C464">
        <v>500</v>
      </c>
      <c r="D464">
        <v>3</v>
      </c>
      <c r="E464" t="s">
        <v>11</v>
      </c>
      <c r="F464" s="6"/>
      <c r="G464" s="7"/>
    </row>
    <row r="465" spans="1:7" x14ac:dyDescent="0.2">
      <c r="A465" s="4">
        <v>2710</v>
      </c>
      <c r="B465" t="s">
        <v>2</v>
      </c>
      <c r="C465">
        <v>500</v>
      </c>
      <c r="D465">
        <v>3</v>
      </c>
      <c r="E465" t="s">
        <v>11</v>
      </c>
      <c r="F465" s="6"/>
      <c r="G465" s="7"/>
    </row>
    <row r="466" spans="1:7" x14ac:dyDescent="0.2">
      <c r="A466" s="4">
        <v>2753</v>
      </c>
      <c r="B466" t="s">
        <v>2</v>
      </c>
      <c r="C466">
        <v>500</v>
      </c>
      <c r="D466">
        <v>3</v>
      </c>
      <c r="E466" t="s">
        <v>11</v>
      </c>
      <c r="F466" s="6"/>
      <c r="G466" s="7"/>
    </row>
    <row r="467" spans="1:7" x14ac:dyDescent="0.2">
      <c r="A467" s="4">
        <v>2790</v>
      </c>
      <c r="B467" t="s">
        <v>2</v>
      </c>
      <c r="C467">
        <v>500</v>
      </c>
      <c r="D467">
        <v>3</v>
      </c>
      <c r="E467" t="s">
        <v>10</v>
      </c>
      <c r="F467" s="6"/>
      <c r="G467" s="7"/>
    </row>
    <row r="468" spans="1:7" x14ac:dyDescent="0.2">
      <c r="A468" s="4">
        <v>2870</v>
      </c>
      <c r="B468" t="s">
        <v>2</v>
      </c>
      <c r="C468">
        <v>500</v>
      </c>
      <c r="D468">
        <v>3</v>
      </c>
      <c r="E468" t="s">
        <v>11</v>
      </c>
      <c r="F468" s="6"/>
      <c r="G468" s="7"/>
    </row>
    <row r="469" spans="1:7" x14ac:dyDescent="0.2">
      <c r="A469" s="4">
        <v>3102</v>
      </c>
      <c r="B469" s="1" t="s">
        <v>1</v>
      </c>
      <c r="C469">
        <v>1500</v>
      </c>
      <c r="D469">
        <v>3</v>
      </c>
      <c r="E469" t="s">
        <v>10</v>
      </c>
      <c r="F469" s="6"/>
      <c r="G469" s="7"/>
    </row>
    <row r="470" spans="1:7" x14ac:dyDescent="0.2">
      <c r="A470" s="4">
        <v>3269</v>
      </c>
      <c r="B470" s="1" t="s">
        <v>1</v>
      </c>
      <c r="C470">
        <v>500</v>
      </c>
      <c r="D470">
        <v>3</v>
      </c>
      <c r="E470" t="s">
        <v>11</v>
      </c>
      <c r="F470" s="6"/>
      <c r="G470" s="7"/>
    </row>
    <row r="471" spans="1:7" x14ac:dyDescent="0.2">
      <c r="A471" s="4">
        <v>5024</v>
      </c>
      <c r="B471" s="1" t="s">
        <v>4</v>
      </c>
      <c r="C471">
        <v>500</v>
      </c>
      <c r="D471">
        <v>3</v>
      </c>
      <c r="E471" t="s">
        <v>11</v>
      </c>
      <c r="F471" s="6"/>
      <c r="G471" s="7"/>
    </row>
    <row r="472" spans="1:7" x14ac:dyDescent="0.2">
      <c r="A472" s="4">
        <v>2077</v>
      </c>
      <c r="B472" s="1" t="s">
        <v>3</v>
      </c>
      <c r="C472">
        <v>550</v>
      </c>
      <c r="D472">
        <v>3</v>
      </c>
      <c r="E472" t="s">
        <v>11</v>
      </c>
      <c r="F472" s="6"/>
      <c r="G472" s="7"/>
    </row>
    <row r="473" spans="1:7" x14ac:dyDescent="0.2">
      <c r="A473" s="4">
        <v>2321</v>
      </c>
      <c r="B473" s="1" t="s">
        <v>0</v>
      </c>
      <c r="C473">
        <v>2150</v>
      </c>
      <c r="D473">
        <v>3</v>
      </c>
      <c r="E473" t="s">
        <v>10</v>
      </c>
      <c r="F473" s="6"/>
      <c r="G473" s="7"/>
    </row>
    <row r="474" spans="1:7" x14ac:dyDescent="0.2">
      <c r="A474" s="4">
        <v>5105</v>
      </c>
      <c r="B474" s="1" t="s">
        <v>4</v>
      </c>
      <c r="C474">
        <v>560</v>
      </c>
      <c r="D474">
        <v>3</v>
      </c>
      <c r="E474" t="s">
        <v>11</v>
      </c>
      <c r="F474" s="6"/>
      <c r="G474" s="7"/>
    </row>
    <row r="475" spans="1:7" x14ac:dyDescent="0.2">
      <c r="A475" s="4">
        <v>6161</v>
      </c>
      <c r="B475" s="1" t="s">
        <v>1</v>
      </c>
      <c r="C475">
        <v>2192</v>
      </c>
      <c r="D475">
        <v>3</v>
      </c>
      <c r="E475" t="s">
        <v>10</v>
      </c>
      <c r="F475" s="6"/>
      <c r="G475" s="7"/>
    </row>
    <row r="476" spans="1:7" x14ac:dyDescent="0.2">
      <c r="A476" s="4">
        <v>2631</v>
      </c>
      <c r="B476" s="1" t="s">
        <v>0</v>
      </c>
      <c r="C476">
        <v>570</v>
      </c>
      <c r="D476">
        <v>3</v>
      </c>
      <c r="E476" t="s">
        <v>11</v>
      </c>
      <c r="F476" s="6"/>
      <c r="G476" s="7"/>
    </row>
    <row r="477" spans="1:7" x14ac:dyDescent="0.2">
      <c r="A477" s="4">
        <v>1825</v>
      </c>
      <c r="B477" s="1" t="s">
        <v>3</v>
      </c>
      <c r="C477">
        <v>1200</v>
      </c>
      <c r="D477">
        <v>3</v>
      </c>
      <c r="E477" t="s">
        <v>11</v>
      </c>
      <c r="F477" s="6"/>
      <c r="G477" s="7"/>
    </row>
    <row r="478" spans="1:7" x14ac:dyDescent="0.2">
      <c r="A478" s="4">
        <v>1960</v>
      </c>
      <c r="B478" s="1" t="s">
        <v>3</v>
      </c>
      <c r="C478">
        <v>600</v>
      </c>
      <c r="D478">
        <v>3</v>
      </c>
      <c r="E478" t="s">
        <v>11</v>
      </c>
      <c r="F478" s="6"/>
      <c r="G478" s="7"/>
    </row>
    <row r="479" spans="1:7" x14ac:dyDescent="0.2">
      <c r="A479" s="4">
        <v>3140</v>
      </c>
      <c r="B479" s="1" t="s">
        <v>1</v>
      </c>
      <c r="C479">
        <v>2600</v>
      </c>
      <c r="D479">
        <v>3</v>
      </c>
      <c r="E479" t="s">
        <v>11</v>
      </c>
      <c r="F479" s="6"/>
      <c r="G479" s="7"/>
    </row>
    <row r="480" spans="1:7" x14ac:dyDescent="0.2">
      <c r="A480" s="4">
        <v>2715</v>
      </c>
      <c r="B480" s="1" t="s">
        <v>2</v>
      </c>
      <c r="C480">
        <v>1300</v>
      </c>
      <c r="D480">
        <v>3</v>
      </c>
      <c r="E480" t="s">
        <v>11</v>
      </c>
      <c r="F480" s="6"/>
      <c r="G480" s="7"/>
    </row>
    <row r="481" spans="1:7" x14ac:dyDescent="0.2">
      <c r="A481" s="4">
        <v>2000</v>
      </c>
      <c r="B481" s="1" t="s">
        <v>3</v>
      </c>
      <c r="C481">
        <v>600</v>
      </c>
      <c r="D481">
        <v>3</v>
      </c>
      <c r="E481" t="s">
        <v>11</v>
      </c>
      <c r="F481" s="6"/>
      <c r="G481" s="7"/>
    </row>
    <row r="482" spans="1:7" x14ac:dyDescent="0.2">
      <c r="A482" s="4">
        <v>2019</v>
      </c>
      <c r="B482" s="1" t="s">
        <v>3</v>
      </c>
      <c r="C482">
        <v>800</v>
      </c>
      <c r="D482">
        <v>3</v>
      </c>
      <c r="E482" t="s">
        <v>11</v>
      </c>
      <c r="F482" s="6"/>
      <c r="G482" s="7"/>
    </row>
    <row r="483" spans="1:7" x14ac:dyDescent="0.2">
      <c r="A483" s="4">
        <v>2484</v>
      </c>
      <c r="B483" s="1" t="s">
        <v>0</v>
      </c>
      <c r="C483">
        <v>1500</v>
      </c>
      <c r="D483">
        <v>3</v>
      </c>
      <c r="E483" t="s">
        <v>11</v>
      </c>
      <c r="F483" s="6"/>
      <c r="G483" s="7"/>
    </row>
    <row r="484" spans="1:7" x14ac:dyDescent="0.2">
      <c r="A484" s="4">
        <v>2697</v>
      </c>
      <c r="B484" s="1" t="s">
        <v>2</v>
      </c>
      <c r="C484">
        <v>600</v>
      </c>
      <c r="D484">
        <v>3</v>
      </c>
      <c r="E484" t="s">
        <v>11</v>
      </c>
      <c r="F484" s="6"/>
      <c r="G484" s="7"/>
    </row>
    <row r="485" spans="1:7" x14ac:dyDescent="0.2">
      <c r="A485" s="4">
        <v>2810</v>
      </c>
      <c r="B485" s="1" t="s">
        <v>2</v>
      </c>
      <c r="C485">
        <v>1400</v>
      </c>
      <c r="D485">
        <v>3</v>
      </c>
      <c r="E485" t="s">
        <v>11</v>
      </c>
      <c r="F485" s="6"/>
      <c r="G485" s="7"/>
    </row>
    <row r="486" spans="1:7" x14ac:dyDescent="0.2">
      <c r="A486" s="4">
        <v>2898</v>
      </c>
      <c r="B486" s="1" t="s">
        <v>1</v>
      </c>
      <c r="C486">
        <v>2100</v>
      </c>
      <c r="D486">
        <v>3</v>
      </c>
      <c r="E486" t="s">
        <v>10</v>
      </c>
      <c r="F486" s="6"/>
      <c r="G486" s="7"/>
    </row>
    <row r="487" spans="1:7" x14ac:dyDescent="0.2">
      <c r="A487" s="4">
        <v>3124</v>
      </c>
      <c r="B487" s="1" t="s">
        <v>1</v>
      </c>
      <c r="C487">
        <v>700</v>
      </c>
      <c r="D487">
        <v>3</v>
      </c>
      <c r="E487" t="s">
        <v>11</v>
      </c>
      <c r="F487" s="6"/>
      <c r="G487" s="7"/>
    </row>
    <row r="488" spans="1:7" x14ac:dyDescent="0.2">
      <c r="A488" s="4">
        <v>3245</v>
      </c>
      <c r="B488" s="1" t="s">
        <v>1</v>
      </c>
      <c r="C488">
        <v>600</v>
      </c>
      <c r="D488">
        <v>3</v>
      </c>
      <c r="E488" t="s">
        <v>10</v>
      </c>
      <c r="F488" s="6"/>
      <c r="G488" s="7"/>
    </row>
    <row r="489" spans="1:7" x14ac:dyDescent="0.2">
      <c r="A489" s="4">
        <v>5562</v>
      </c>
      <c r="B489" s="1" t="s">
        <v>0</v>
      </c>
      <c r="C489">
        <v>600</v>
      </c>
      <c r="D489">
        <v>3</v>
      </c>
      <c r="E489" t="s">
        <v>11</v>
      </c>
      <c r="F489" s="6"/>
      <c r="G489" s="7"/>
    </row>
    <row r="490" spans="1:7" x14ac:dyDescent="0.2">
      <c r="A490" s="4">
        <v>6342</v>
      </c>
      <c r="B490" s="1" t="s">
        <v>1</v>
      </c>
      <c r="C490">
        <v>600</v>
      </c>
      <c r="D490">
        <v>3</v>
      </c>
      <c r="E490" t="s">
        <v>11</v>
      </c>
      <c r="F490" s="6"/>
      <c r="G490" s="7"/>
    </row>
    <row r="491" spans="1:7" x14ac:dyDescent="0.2">
      <c r="A491" s="4">
        <v>3300</v>
      </c>
      <c r="B491" s="1" t="s">
        <v>1</v>
      </c>
      <c r="C491">
        <v>650</v>
      </c>
      <c r="D491">
        <v>3</v>
      </c>
      <c r="E491" t="s">
        <v>10</v>
      </c>
      <c r="F491" s="6"/>
      <c r="G491" s="7"/>
    </row>
    <row r="492" spans="1:7" x14ac:dyDescent="0.2">
      <c r="A492" s="4">
        <v>2399</v>
      </c>
      <c r="B492" s="1" t="s">
        <v>0</v>
      </c>
      <c r="C492">
        <v>700</v>
      </c>
      <c r="D492">
        <v>3</v>
      </c>
      <c r="E492" t="s">
        <v>10</v>
      </c>
      <c r="F492" s="6"/>
      <c r="G492" s="7"/>
    </row>
    <row r="493" spans="1:7" x14ac:dyDescent="0.2">
      <c r="A493" s="4">
        <v>2213</v>
      </c>
      <c r="B493" s="1" t="s">
        <v>3</v>
      </c>
      <c r="C493">
        <v>700</v>
      </c>
      <c r="D493">
        <v>3</v>
      </c>
      <c r="E493" t="s">
        <v>11</v>
      </c>
      <c r="F493" s="6"/>
      <c r="G493" s="7"/>
    </row>
    <row r="494" spans="1:7" x14ac:dyDescent="0.2">
      <c r="A494" s="4">
        <v>1552</v>
      </c>
      <c r="B494" s="1" t="s">
        <v>5</v>
      </c>
      <c r="C494">
        <v>700</v>
      </c>
      <c r="D494">
        <v>3</v>
      </c>
      <c r="E494" t="s">
        <v>11</v>
      </c>
      <c r="F494" s="6"/>
      <c r="G494" s="7"/>
    </row>
    <row r="495" spans="1:7" x14ac:dyDescent="0.2">
      <c r="A495" s="4">
        <v>1687</v>
      </c>
      <c r="B495" s="1" t="s">
        <v>5</v>
      </c>
      <c r="C495">
        <v>700</v>
      </c>
      <c r="D495">
        <v>3</v>
      </c>
      <c r="E495" t="s">
        <v>11</v>
      </c>
      <c r="F495" s="6"/>
      <c r="G495" s="7"/>
    </row>
    <row r="496" spans="1:7" x14ac:dyDescent="0.2">
      <c r="A496" s="4">
        <v>1744</v>
      </c>
      <c r="B496" s="1" t="s">
        <v>3</v>
      </c>
      <c r="C496">
        <v>2600</v>
      </c>
      <c r="D496">
        <v>3</v>
      </c>
      <c r="E496" t="s">
        <v>10</v>
      </c>
      <c r="F496" s="6"/>
      <c r="G496" s="7"/>
    </row>
    <row r="497" spans="1:7" x14ac:dyDescent="0.2">
      <c r="A497" s="4">
        <v>2416</v>
      </c>
      <c r="B497" s="1" t="s">
        <v>0</v>
      </c>
      <c r="C497">
        <v>2200</v>
      </c>
      <c r="D497">
        <v>3</v>
      </c>
      <c r="E497" t="s">
        <v>10</v>
      </c>
      <c r="F497" s="6"/>
      <c r="G497" s="7"/>
    </row>
    <row r="498" spans="1:7" x14ac:dyDescent="0.2">
      <c r="A498" s="4">
        <v>5125</v>
      </c>
      <c r="B498" s="1" t="s">
        <v>4</v>
      </c>
      <c r="C498">
        <v>1100</v>
      </c>
      <c r="D498">
        <v>3</v>
      </c>
      <c r="E498" t="s">
        <v>11</v>
      </c>
      <c r="F498" s="6"/>
      <c r="G498" s="7"/>
    </row>
    <row r="499" spans="1:7" x14ac:dyDescent="0.2">
      <c r="A499" s="4">
        <v>5127</v>
      </c>
      <c r="B499" s="1" t="s">
        <v>4</v>
      </c>
      <c r="C499">
        <v>2700</v>
      </c>
      <c r="D499">
        <v>3</v>
      </c>
      <c r="E499" t="s">
        <v>11</v>
      </c>
      <c r="F499" s="6"/>
      <c r="G499" s="7"/>
    </row>
    <row r="500" spans="1:7" x14ac:dyDescent="0.2">
      <c r="A500" s="4">
        <v>2545</v>
      </c>
      <c r="B500" s="1" t="s">
        <v>0</v>
      </c>
      <c r="C500">
        <v>750</v>
      </c>
      <c r="D500">
        <v>3</v>
      </c>
      <c r="E500" t="s">
        <v>11</v>
      </c>
      <c r="F500" s="6"/>
      <c r="G500" s="7"/>
    </row>
    <row r="501" spans="1:7" x14ac:dyDescent="0.2">
      <c r="A501" s="4">
        <v>2072</v>
      </c>
      <c r="B501" s="1" t="s">
        <v>3</v>
      </c>
      <c r="C501">
        <v>750</v>
      </c>
      <c r="D501">
        <v>3</v>
      </c>
      <c r="E501" t="s">
        <v>10</v>
      </c>
      <c r="F501" s="6"/>
      <c r="G501" s="7"/>
    </row>
    <row r="502" spans="1:7" x14ac:dyDescent="0.2">
      <c r="A502" s="4">
        <v>2110</v>
      </c>
      <c r="B502" s="1" t="s">
        <v>3</v>
      </c>
      <c r="C502">
        <v>1650</v>
      </c>
      <c r="D502">
        <v>3</v>
      </c>
      <c r="E502" t="s">
        <v>10</v>
      </c>
      <c r="F502" s="6"/>
      <c r="G502" s="7"/>
    </row>
    <row r="503" spans="1:7" x14ac:dyDescent="0.2">
      <c r="A503" s="4">
        <v>2780</v>
      </c>
      <c r="B503" s="1" t="s">
        <v>2</v>
      </c>
      <c r="C503">
        <v>3050</v>
      </c>
      <c r="D503">
        <v>3</v>
      </c>
      <c r="E503" t="s">
        <v>10</v>
      </c>
      <c r="F503" s="6"/>
      <c r="G503" s="7"/>
    </row>
    <row r="504" spans="1:7" x14ac:dyDescent="0.2">
      <c r="A504" s="4">
        <v>2933</v>
      </c>
      <c r="B504" s="1" t="s">
        <v>1</v>
      </c>
      <c r="C504">
        <v>750</v>
      </c>
      <c r="D504">
        <v>3</v>
      </c>
      <c r="E504" t="s">
        <v>11</v>
      </c>
      <c r="F504" s="6"/>
      <c r="G504" s="7"/>
    </row>
    <row r="505" spans="1:7" x14ac:dyDescent="0.2">
      <c r="A505" s="4">
        <v>6248</v>
      </c>
      <c r="B505" s="1" t="s">
        <v>1</v>
      </c>
      <c r="C505">
        <v>750</v>
      </c>
      <c r="D505">
        <v>3</v>
      </c>
      <c r="E505" t="s">
        <v>10</v>
      </c>
      <c r="F505" s="6"/>
      <c r="G505" s="7"/>
    </row>
    <row r="506" spans="1:7" x14ac:dyDescent="0.2">
      <c r="A506" s="4">
        <v>1124</v>
      </c>
      <c r="B506" s="1" t="s">
        <v>4</v>
      </c>
      <c r="C506">
        <v>1960</v>
      </c>
      <c r="D506">
        <v>3</v>
      </c>
      <c r="E506" t="s">
        <v>11</v>
      </c>
      <c r="F506" s="6"/>
      <c r="G506" s="7"/>
    </row>
    <row r="507" spans="1:7" x14ac:dyDescent="0.2">
      <c r="A507" s="4">
        <v>1751</v>
      </c>
      <c r="B507" s="1" t="s">
        <v>3</v>
      </c>
      <c r="C507">
        <v>3760</v>
      </c>
      <c r="D507">
        <v>3</v>
      </c>
      <c r="E507" t="s">
        <v>11</v>
      </c>
      <c r="F507" s="6"/>
      <c r="G507" s="7"/>
    </row>
    <row r="508" spans="1:7" x14ac:dyDescent="0.2">
      <c r="A508" s="4">
        <v>1735</v>
      </c>
      <c r="B508" s="1" t="s">
        <v>3</v>
      </c>
      <c r="C508">
        <v>2100</v>
      </c>
      <c r="D508">
        <v>3</v>
      </c>
      <c r="E508" t="s">
        <v>11</v>
      </c>
      <c r="F508" s="6"/>
      <c r="G508" s="7"/>
    </row>
    <row r="509" spans="1:7" x14ac:dyDescent="0.2">
      <c r="A509" s="4">
        <v>1927</v>
      </c>
      <c r="B509" s="1" t="s">
        <v>3</v>
      </c>
      <c r="C509">
        <v>800</v>
      </c>
      <c r="D509">
        <v>3</v>
      </c>
      <c r="E509" t="s">
        <v>11</v>
      </c>
      <c r="F509" s="6"/>
      <c r="G509" s="7"/>
    </row>
    <row r="510" spans="1:7" x14ac:dyDescent="0.2">
      <c r="A510" s="4">
        <v>2186</v>
      </c>
      <c r="B510" s="1" t="s">
        <v>3</v>
      </c>
      <c r="C510">
        <v>800</v>
      </c>
      <c r="D510">
        <v>3</v>
      </c>
      <c r="E510" t="s">
        <v>11</v>
      </c>
      <c r="F510" s="6"/>
      <c r="G510" s="7"/>
    </row>
    <row r="511" spans="1:7" x14ac:dyDescent="0.2">
      <c r="A511" s="4">
        <v>2195</v>
      </c>
      <c r="B511" s="1" t="s">
        <v>3</v>
      </c>
      <c r="C511">
        <v>1800</v>
      </c>
      <c r="D511">
        <v>3</v>
      </c>
      <c r="E511" t="s">
        <v>10</v>
      </c>
      <c r="F511" s="6"/>
      <c r="G511" s="7"/>
    </row>
    <row r="512" spans="1:7" x14ac:dyDescent="0.2">
      <c r="A512" s="4">
        <v>2404</v>
      </c>
      <c r="B512" s="1" t="s">
        <v>0</v>
      </c>
      <c r="C512">
        <v>5800</v>
      </c>
      <c r="D512">
        <v>3</v>
      </c>
      <c r="E512" t="s">
        <v>11</v>
      </c>
      <c r="F512" s="6"/>
      <c r="G512" s="7"/>
    </row>
    <row r="513" spans="1:7" x14ac:dyDescent="0.2">
      <c r="A513" s="4">
        <v>2803</v>
      </c>
      <c r="B513" s="1" t="s">
        <v>2</v>
      </c>
      <c r="C513">
        <v>800</v>
      </c>
      <c r="D513">
        <v>3</v>
      </c>
      <c r="E513" t="s">
        <v>11</v>
      </c>
      <c r="F513" s="6"/>
      <c r="G513" s="7"/>
    </row>
    <row r="514" spans="1:7" x14ac:dyDescent="0.2">
      <c r="A514" s="4">
        <v>2964</v>
      </c>
      <c r="B514" s="1" t="s">
        <v>1</v>
      </c>
      <c r="C514">
        <v>800</v>
      </c>
      <c r="D514">
        <v>3</v>
      </c>
      <c r="E514" t="s">
        <v>11</v>
      </c>
      <c r="F514" s="6"/>
      <c r="G514" s="7"/>
    </row>
    <row r="515" spans="1:7" x14ac:dyDescent="0.2">
      <c r="A515" s="4">
        <v>2981</v>
      </c>
      <c r="B515" s="1" t="s">
        <v>1</v>
      </c>
      <c r="C515">
        <v>3800</v>
      </c>
      <c r="D515">
        <v>3</v>
      </c>
      <c r="E515" t="s">
        <v>10</v>
      </c>
      <c r="F515" s="6"/>
      <c r="G515" s="7"/>
    </row>
    <row r="516" spans="1:7" x14ac:dyDescent="0.2">
      <c r="A516" s="4">
        <v>2992</v>
      </c>
      <c r="B516" s="1" t="s">
        <v>1</v>
      </c>
      <c r="C516">
        <v>800</v>
      </c>
      <c r="D516">
        <v>3</v>
      </c>
      <c r="E516" t="s">
        <v>10</v>
      </c>
      <c r="F516" s="6"/>
      <c r="G516" s="7"/>
    </row>
    <row r="517" spans="1:7" x14ac:dyDescent="0.2">
      <c r="A517" s="4">
        <v>5561</v>
      </c>
      <c r="B517" s="1" t="s">
        <v>0</v>
      </c>
      <c r="C517">
        <v>4300</v>
      </c>
      <c r="D517">
        <v>3</v>
      </c>
      <c r="E517" t="s">
        <v>11</v>
      </c>
      <c r="F517" s="6"/>
      <c r="G517" s="7"/>
    </row>
    <row r="518" spans="1:7" x14ac:dyDescent="0.2">
      <c r="A518" s="4">
        <v>1814</v>
      </c>
      <c r="B518" s="1" t="s">
        <v>3</v>
      </c>
      <c r="C518">
        <v>1020</v>
      </c>
      <c r="D518">
        <v>3</v>
      </c>
      <c r="E518" t="s">
        <v>11</v>
      </c>
      <c r="F518" s="6"/>
      <c r="G518" s="7"/>
    </row>
    <row r="519" spans="1:7" x14ac:dyDescent="0.2">
      <c r="A519" s="4">
        <v>1933</v>
      </c>
      <c r="B519" s="1" t="s">
        <v>3</v>
      </c>
      <c r="C519">
        <v>840</v>
      </c>
      <c r="D519">
        <v>3</v>
      </c>
      <c r="E519" t="s">
        <v>10</v>
      </c>
      <c r="F519" s="6"/>
      <c r="G519" s="7"/>
    </row>
    <row r="520" spans="1:7" x14ac:dyDescent="0.2">
      <c r="A520" s="4">
        <v>1732</v>
      </c>
      <c r="B520" s="1" t="s">
        <v>3</v>
      </c>
      <c r="C520">
        <v>850</v>
      </c>
      <c r="D520">
        <v>3</v>
      </c>
      <c r="E520" t="s">
        <v>11</v>
      </c>
      <c r="F520" s="6"/>
      <c r="G520" s="7"/>
    </row>
    <row r="521" spans="1:7" x14ac:dyDescent="0.2">
      <c r="A521" s="4">
        <v>1753</v>
      </c>
      <c r="B521" s="1" t="s">
        <v>3</v>
      </c>
      <c r="C521">
        <v>2630</v>
      </c>
      <c r="D521">
        <v>3</v>
      </c>
      <c r="E521" t="s">
        <v>11</v>
      </c>
      <c r="F521" s="6"/>
      <c r="G521" s="7"/>
    </row>
    <row r="522" spans="1:7" x14ac:dyDescent="0.2">
      <c r="A522" s="4">
        <v>6086</v>
      </c>
      <c r="B522" s="1" t="s">
        <v>1</v>
      </c>
      <c r="C522">
        <v>1900</v>
      </c>
      <c r="D522">
        <v>3</v>
      </c>
      <c r="E522" t="s">
        <v>11</v>
      </c>
      <c r="F522" s="6"/>
      <c r="G522" s="7"/>
    </row>
    <row r="523" spans="1:7" x14ac:dyDescent="0.2">
      <c r="A523" s="4">
        <v>1982</v>
      </c>
      <c r="B523" s="1" t="s">
        <v>3</v>
      </c>
      <c r="C523" s="1">
        <v>1000</v>
      </c>
      <c r="D523">
        <v>3</v>
      </c>
      <c r="E523" t="s">
        <v>11</v>
      </c>
      <c r="F523" s="6"/>
      <c r="G523" s="7"/>
    </row>
    <row r="524" spans="1:7" x14ac:dyDescent="0.2">
      <c r="A524" s="4">
        <v>1929</v>
      </c>
      <c r="B524" s="1" t="s">
        <v>3</v>
      </c>
      <c r="C524" s="1">
        <v>1700</v>
      </c>
      <c r="D524">
        <v>3</v>
      </c>
      <c r="E524" t="s">
        <v>11</v>
      </c>
      <c r="F524" s="6"/>
      <c r="G524" s="7"/>
    </row>
    <row r="525" spans="1:7" x14ac:dyDescent="0.2">
      <c r="A525" s="4">
        <v>713</v>
      </c>
      <c r="B525" t="s">
        <v>4</v>
      </c>
      <c r="C525" s="1">
        <v>1000</v>
      </c>
      <c r="D525">
        <v>3</v>
      </c>
      <c r="E525" t="s">
        <v>10</v>
      </c>
      <c r="F525" s="6"/>
      <c r="G525" s="7"/>
    </row>
    <row r="526" spans="1:7" x14ac:dyDescent="0.2">
      <c r="A526" s="4">
        <v>1004</v>
      </c>
      <c r="B526" t="s">
        <v>4</v>
      </c>
      <c r="C526" s="1">
        <v>1200</v>
      </c>
      <c r="D526">
        <v>3</v>
      </c>
      <c r="E526" t="s">
        <v>10</v>
      </c>
      <c r="F526" s="6"/>
      <c r="G526" s="7"/>
    </row>
    <row r="527" spans="1:7" x14ac:dyDescent="0.2">
      <c r="A527" s="4">
        <v>1556</v>
      </c>
      <c r="B527" t="s">
        <v>5</v>
      </c>
      <c r="C527" s="1">
        <v>2300</v>
      </c>
      <c r="D527">
        <v>3</v>
      </c>
      <c r="E527" t="s">
        <v>10</v>
      </c>
      <c r="F527" s="6"/>
      <c r="G527" s="7"/>
    </row>
    <row r="528" spans="1:7" x14ac:dyDescent="0.2">
      <c r="A528" s="4">
        <v>1683</v>
      </c>
      <c r="B528" t="s">
        <v>5</v>
      </c>
      <c r="C528" s="1">
        <v>1400</v>
      </c>
      <c r="D528">
        <v>3</v>
      </c>
      <c r="E528" t="s">
        <v>11</v>
      </c>
      <c r="F528" s="6"/>
      <c r="G528" s="7"/>
    </row>
    <row r="529" spans="1:7" x14ac:dyDescent="0.2">
      <c r="A529" s="4">
        <v>1752</v>
      </c>
      <c r="B529" t="s">
        <v>3</v>
      </c>
      <c r="C529" s="1">
        <v>1000</v>
      </c>
      <c r="D529">
        <v>3</v>
      </c>
      <c r="E529" t="s">
        <v>10</v>
      </c>
      <c r="F529" s="6"/>
      <c r="G529" s="7"/>
    </row>
    <row r="530" spans="1:7" x14ac:dyDescent="0.2">
      <c r="A530" s="4">
        <v>1924</v>
      </c>
      <c r="B530" t="s">
        <v>3</v>
      </c>
      <c r="C530" s="1">
        <v>1000</v>
      </c>
      <c r="D530">
        <v>3</v>
      </c>
      <c r="E530" t="s">
        <v>11</v>
      </c>
      <c r="F530" s="6"/>
      <c r="G530" s="7"/>
    </row>
    <row r="531" spans="1:7" x14ac:dyDescent="0.2">
      <c r="A531" s="4">
        <v>1993</v>
      </c>
      <c r="B531" t="s">
        <v>3</v>
      </c>
      <c r="C531" s="1">
        <v>1000</v>
      </c>
      <c r="D531">
        <v>3</v>
      </c>
      <c r="E531" t="s">
        <v>11</v>
      </c>
      <c r="F531" s="6"/>
      <c r="G531" s="7"/>
    </row>
    <row r="532" spans="1:7" x14ac:dyDescent="0.2">
      <c r="A532" s="4">
        <v>2172</v>
      </c>
      <c r="B532" t="s">
        <v>3</v>
      </c>
      <c r="C532" s="1">
        <v>5172</v>
      </c>
      <c r="D532">
        <v>3</v>
      </c>
      <c r="E532" t="s">
        <v>10</v>
      </c>
      <c r="F532" s="6"/>
      <c r="G532" s="7"/>
    </row>
    <row r="533" spans="1:7" x14ac:dyDescent="0.2">
      <c r="A533" s="4">
        <v>2220</v>
      </c>
      <c r="B533" t="s">
        <v>3</v>
      </c>
      <c r="C533" s="1">
        <v>2000</v>
      </c>
      <c r="D533">
        <v>3</v>
      </c>
      <c r="E533" t="s">
        <v>11</v>
      </c>
      <c r="F533" s="6"/>
      <c r="G533" s="7"/>
    </row>
    <row r="534" spans="1:7" x14ac:dyDescent="0.2">
      <c r="A534" s="4">
        <v>2322</v>
      </c>
      <c r="B534" t="s">
        <v>0</v>
      </c>
      <c r="C534" s="1">
        <v>1000</v>
      </c>
      <c r="D534">
        <v>3</v>
      </c>
      <c r="E534" t="s">
        <v>11</v>
      </c>
      <c r="F534" s="6"/>
      <c r="G534" s="7"/>
    </row>
    <row r="535" spans="1:7" x14ac:dyDescent="0.2">
      <c r="A535" s="4">
        <v>2676</v>
      </c>
      <c r="B535" t="s">
        <v>2</v>
      </c>
      <c r="C535" s="1">
        <v>2000</v>
      </c>
      <c r="D535">
        <v>3</v>
      </c>
      <c r="E535" t="s">
        <v>10</v>
      </c>
      <c r="F535" s="6"/>
      <c r="G535" s="7"/>
    </row>
    <row r="536" spans="1:7" x14ac:dyDescent="0.2">
      <c r="A536" s="4">
        <v>2861</v>
      </c>
      <c r="B536" t="s">
        <v>2</v>
      </c>
      <c r="C536" s="1">
        <v>1000</v>
      </c>
      <c r="D536">
        <v>3</v>
      </c>
      <c r="E536" t="s">
        <v>10</v>
      </c>
      <c r="F536" s="6"/>
      <c r="G536" s="7"/>
    </row>
    <row r="537" spans="1:7" x14ac:dyDescent="0.2">
      <c r="A537" s="4">
        <v>2875</v>
      </c>
      <c r="B537" t="s">
        <v>2</v>
      </c>
      <c r="C537" s="1">
        <v>3500</v>
      </c>
      <c r="D537">
        <v>3</v>
      </c>
      <c r="E537" t="s">
        <v>11</v>
      </c>
      <c r="F537" s="6"/>
      <c r="G537" s="7"/>
    </row>
    <row r="538" spans="1:7" x14ac:dyDescent="0.2">
      <c r="A538" s="4">
        <v>2896</v>
      </c>
      <c r="B538" t="s">
        <v>1</v>
      </c>
      <c r="C538" s="1">
        <v>1300</v>
      </c>
      <c r="D538">
        <v>3</v>
      </c>
      <c r="E538" t="s">
        <v>11</v>
      </c>
      <c r="F538" s="6"/>
      <c r="G538" s="7"/>
    </row>
    <row r="539" spans="1:7" x14ac:dyDescent="0.2">
      <c r="A539" s="4">
        <v>2914</v>
      </c>
      <c r="B539" t="s">
        <v>1</v>
      </c>
      <c r="C539" s="1">
        <v>1050</v>
      </c>
      <c r="D539">
        <v>3</v>
      </c>
      <c r="E539" t="s">
        <v>11</v>
      </c>
      <c r="F539" s="6"/>
      <c r="G539" s="7"/>
    </row>
    <row r="540" spans="1:7" x14ac:dyDescent="0.2">
      <c r="A540" s="4">
        <v>5008</v>
      </c>
      <c r="B540" t="s">
        <v>4</v>
      </c>
      <c r="C540" s="1">
        <v>1060</v>
      </c>
      <c r="D540">
        <v>3</v>
      </c>
      <c r="E540" t="s">
        <v>11</v>
      </c>
      <c r="F540" s="6"/>
      <c r="G540" s="7"/>
    </row>
    <row r="541" spans="1:7" x14ac:dyDescent="0.2">
      <c r="A541" s="4">
        <v>2171</v>
      </c>
      <c r="B541" t="s">
        <v>3</v>
      </c>
      <c r="C541" s="1">
        <v>2000</v>
      </c>
      <c r="D541">
        <v>3</v>
      </c>
      <c r="E541" t="s">
        <v>11</v>
      </c>
      <c r="F541" s="6"/>
      <c r="G541" s="7"/>
    </row>
    <row r="542" spans="1:7" x14ac:dyDescent="0.2">
      <c r="A542" s="4">
        <v>3105</v>
      </c>
      <c r="B542" t="s">
        <v>1</v>
      </c>
      <c r="C542" s="1">
        <v>1100</v>
      </c>
      <c r="D542">
        <v>3</v>
      </c>
      <c r="E542" t="s">
        <v>11</v>
      </c>
      <c r="F542" s="6"/>
      <c r="G542" s="7"/>
    </row>
    <row r="543" spans="1:7" x14ac:dyDescent="0.2">
      <c r="A543" s="4">
        <v>2900</v>
      </c>
      <c r="B543" t="s">
        <v>1</v>
      </c>
      <c r="C543" s="1">
        <v>1170</v>
      </c>
      <c r="D543">
        <v>3</v>
      </c>
      <c r="E543" t="s">
        <v>11</v>
      </c>
      <c r="F543" s="6"/>
      <c r="G543" s="7"/>
    </row>
    <row r="544" spans="1:7" x14ac:dyDescent="0.2">
      <c r="A544" s="4">
        <v>1531</v>
      </c>
      <c r="B544" t="s">
        <v>5</v>
      </c>
      <c r="C544" s="1">
        <v>4898</v>
      </c>
      <c r="D544">
        <v>3</v>
      </c>
      <c r="E544" t="s">
        <v>10</v>
      </c>
      <c r="F544" s="6"/>
      <c r="G544" s="7"/>
    </row>
    <row r="545" spans="1:7" x14ac:dyDescent="0.2">
      <c r="A545" s="4">
        <v>1635</v>
      </c>
      <c r="B545" t="s">
        <v>5</v>
      </c>
      <c r="C545" s="1">
        <v>1200</v>
      </c>
      <c r="D545">
        <v>3</v>
      </c>
      <c r="E545" t="s">
        <v>10</v>
      </c>
      <c r="F545" s="6"/>
      <c r="G545" s="7"/>
    </row>
    <row r="546" spans="1:7" x14ac:dyDescent="0.2">
      <c r="A546" s="4">
        <v>1829</v>
      </c>
      <c r="B546" t="s">
        <v>3</v>
      </c>
      <c r="C546" s="1">
        <v>1200</v>
      </c>
      <c r="D546">
        <v>3</v>
      </c>
      <c r="E546" t="s">
        <v>10</v>
      </c>
      <c r="F546" s="6"/>
      <c r="G546" s="7"/>
    </row>
    <row r="547" spans="1:7" x14ac:dyDescent="0.2">
      <c r="A547" s="4">
        <v>2008</v>
      </c>
      <c r="B547" t="s">
        <v>3</v>
      </c>
      <c r="C547" s="1">
        <v>1200</v>
      </c>
      <c r="D547">
        <v>3</v>
      </c>
      <c r="E547" t="s">
        <v>11</v>
      </c>
      <c r="F547" s="6"/>
      <c r="G547" s="7"/>
    </row>
    <row r="548" spans="1:7" x14ac:dyDescent="0.2">
      <c r="A548" s="4">
        <v>2295</v>
      </c>
      <c r="B548" t="s">
        <v>3</v>
      </c>
      <c r="C548" s="1">
        <v>2400</v>
      </c>
      <c r="D548">
        <v>3</v>
      </c>
      <c r="E548" t="s">
        <v>11</v>
      </c>
      <c r="F548" s="6"/>
      <c r="G548" s="7"/>
    </row>
    <row r="549" spans="1:7" x14ac:dyDescent="0.2">
      <c r="A549" s="4">
        <v>2996</v>
      </c>
      <c r="B549" t="s">
        <v>1</v>
      </c>
      <c r="C549" s="1">
        <v>1200</v>
      </c>
      <c r="D549">
        <v>3</v>
      </c>
      <c r="E549" t="s">
        <v>11</v>
      </c>
      <c r="F549" s="6"/>
      <c r="G549" s="7"/>
    </row>
    <row r="550" spans="1:7" x14ac:dyDescent="0.2">
      <c r="A550" s="4">
        <v>3024</v>
      </c>
      <c r="B550" t="s">
        <v>1</v>
      </c>
      <c r="C550" s="1">
        <v>1200</v>
      </c>
      <c r="D550">
        <v>3</v>
      </c>
      <c r="E550" t="s">
        <v>10</v>
      </c>
      <c r="F550" s="6"/>
      <c r="G550" s="7"/>
    </row>
    <row r="551" spans="1:7" x14ac:dyDescent="0.2">
      <c r="A551" s="4">
        <v>3230</v>
      </c>
      <c r="B551" t="s">
        <v>1</v>
      </c>
      <c r="C551" s="1">
        <v>2000</v>
      </c>
      <c r="D551">
        <v>3</v>
      </c>
      <c r="E551" t="s">
        <v>10</v>
      </c>
      <c r="F551" s="6"/>
      <c r="G551" s="7"/>
    </row>
    <row r="552" spans="1:7" x14ac:dyDescent="0.2">
      <c r="A552" s="4">
        <v>5181</v>
      </c>
      <c r="B552" t="s">
        <v>4</v>
      </c>
      <c r="C552" s="1">
        <v>1200</v>
      </c>
      <c r="D552">
        <v>3</v>
      </c>
      <c r="E552" t="s">
        <v>10</v>
      </c>
      <c r="F552" s="6"/>
      <c r="G552" s="7"/>
    </row>
    <row r="553" spans="1:7" x14ac:dyDescent="0.2">
      <c r="A553" s="4">
        <v>2988</v>
      </c>
      <c r="B553" t="s">
        <v>1</v>
      </c>
      <c r="C553" s="1">
        <v>1600</v>
      </c>
      <c r="D553">
        <v>3</v>
      </c>
      <c r="E553" t="s">
        <v>11</v>
      </c>
      <c r="F553" s="6"/>
      <c r="G553" s="7"/>
    </row>
    <row r="554" spans="1:7" x14ac:dyDescent="0.2">
      <c r="A554" s="4">
        <v>5661</v>
      </c>
      <c r="B554" t="s">
        <v>0</v>
      </c>
      <c r="C554" s="1">
        <v>1300</v>
      </c>
      <c r="D554">
        <v>3</v>
      </c>
      <c r="E554" t="s">
        <v>10</v>
      </c>
      <c r="F554" s="6"/>
      <c r="G554" s="7"/>
    </row>
    <row r="555" spans="1:7" x14ac:dyDescent="0.2">
      <c r="A555" s="4">
        <v>2066</v>
      </c>
      <c r="B555" t="s">
        <v>3</v>
      </c>
      <c r="C555" s="1">
        <v>1730</v>
      </c>
      <c r="D555">
        <v>3</v>
      </c>
      <c r="E555" t="s">
        <v>11</v>
      </c>
      <c r="F555" s="6"/>
      <c r="G555" s="7"/>
    </row>
    <row r="556" spans="1:7" x14ac:dyDescent="0.2">
      <c r="A556" s="4">
        <v>3088</v>
      </c>
      <c r="B556" t="s">
        <v>1</v>
      </c>
      <c r="C556" s="1">
        <v>1350</v>
      </c>
      <c r="D556">
        <v>3</v>
      </c>
      <c r="E556" t="s">
        <v>10</v>
      </c>
      <c r="F556" s="6"/>
      <c r="G556" s="7"/>
    </row>
    <row r="557" spans="1:7" x14ac:dyDescent="0.2">
      <c r="A557" s="4">
        <v>5982</v>
      </c>
      <c r="B557" t="s">
        <v>1</v>
      </c>
      <c r="C557" s="1">
        <v>5440</v>
      </c>
      <c r="D557">
        <v>3</v>
      </c>
      <c r="E557" t="s">
        <v>11</v>
      </c>
      <c r="F557" s="6"/>
      <c r="G557" s="7"/>
    </row>
    <row r="558" spans="1:7" x14ac:dyDescent="0.2">
      <c r="A558" s="4">
        <v>1912</v>
      </c>
      <c r="B558" t="s">
        <v>3</v>
      </c>
      <c r="C558" s="1">
        <v>2320</v>
      </c>
      <c r="D558">
        <v>3</v>
      </c>
      <c r="E558" t="s">
        <v>10</v>
      </c>
      <c r="F558" s="6"/>
      <c r="G558" s="7"/>
    </row>
    <row r="559" spans="1:7" x14ac:dyDescent="0.2">
      <c r="A559" s="4">
        <v>6609</v>
      </c>
      <c r="B559" t="s">
        <v>3</v>
      </c>
      <c r="C559" s="1">
        <v>18200</v>
      </c>
      <c r="D559">
        <v>3</v>
      </c>
      <c r="E559" t="s">
        <v>11</v>
      </c>
      <c r="F559" s="6"/>
      <c r="G559" s="7"/>
    </row>
    <row r="560" spans="1:7" x14ac:dyDescent="0.2">
      <c r="A560" s="4">
        <v>1710</v>
      </c>
      <c r="B560" t="s">
        <v>3</v>
      </c>
      <c r="C560" s="1">
        <v>1490</v>
      </c>
      <c r="D560">
        <v>3</v>
      </c>
      <c r="E560" t="s">
        <v>11</v>
      </c>
      <c r="F560" s="6"/>
      <c r="G560" s="7"/>
    </row>
    <row r="561" spans="1:7" x14ac:dyDescent="0.2">
      <c r="A561" s="4">
        <v>2918</v>
      </c>
      <c r="B561" t="s">
        <v>1</v>
      </c>
      <c r="C561" s="1">
        <v>1500</v>
      </c>
      <c r="D561">
        <v>3</v>
      </c>
      <c r="E561" t="s">
        <v>11</v>
      </c>
      <c r="F561" s="6"/>
      <c r="G561" s="7"/>
    </row>
    <row r="562" spans="1:7" x14ac:dyDescent="0.2">
      <c r="A562" s="4">
        <v>1794</v>
      </c>
      <c r="B562" t="s">
        <v>3</v>
      </c>
      <c r="C562" s="1">
        <v>1500</v>
      </c>
      <c r="D562">
        <v>3</v>
      </c>
      <c r="E562" t="s">
        <v>11</v>
      </c>
      <c r="F562" s="6"/>
      <c r="G562" s="7"/>
    </row>
    <row r="563" spans="1:7" x14ac:dyDescent="0.2">
      <c r="A563" s="4">
        <v>1640</v>
      </c>
      <c r="B563" t="s">
        <v>5</v>
      </c>
      <c r="C563" s="1">
        <v>1500</v>
      </c>
      <c r="D563">
        <v>3</v>
      </c>
      <c r="E563" t="s">
        <v>11</v>
      </c>
      <c r="F563" s="6"/>
      <c r="G563" s="7"/>
    </row>
    <row r="564" spans="1:7" x14ac:dyDescent="0.2">
      <c r="A564" s="4">
        <v>1123</v>
      </c>
      <c r="B564" t="s">
        <v>4</v>
      </c>
      <c r="C564" s="1">
        <v>2154</v>
      </c>
      <c r="D564">
        <v>3</v>
      </c>
      <c r="E564" t="s">
        <v>10</v>
      </c>
      <c r="F564" s="6"/>
      <c r="G564" s="7"/>
    </row>
    <row r="565" spans="1:7" x14ac:dyDescent="0.2">
      <c r="A565" s="4">
        <v>1415</v>
      </c>
      <c r="B565" t="s">
        <v>4</v>
      </c>
      <c r="C565" s="1">
        <v>3000</v>
      </c>
      <c r="D565">
        <v>3</v>
      </c>
      <c r="E565" t="s">
        <v>10</v>
      </c>
      <c r="F565" s="6"/>
      <c r="G565" s="7"/>
    </row>
    <row r="566" spans="1:7" x14ac:dyDescent="0.2">
      <c r="A566" s="4">
        <v>1722</v>
      </c>
      <c r="B566" t="s">
        <v>3</v>
      </c>
      <c r="C566" s="1">
        <v>1500</v>
      </c>
      <c r="D566">
        <v>3</v>
      </c>
      <c r="E566" t="s">
        <v>11</v>
      </c>
      <c r="F566" s="6"/>
      <c r="G566" s="7"/>
    </row>
    <row r="567" spans="1:7" x14ac:dyDescent="0.2">
      <c r="A567" s="4">
        <v>1872</v>
      </c>
      <c r="B567" t="s">
        <v>3</v>
      </c>
      <c r="C567" s="1">
        <v>2000</v>
      </c>
      <c r="D567">
        <v>3</v>
      </c>
      <c r="E567" t="s">
        <v>10</v>
      </c>
      <c r="F567" s="6"/>
      <c r="G567" s="7"/>
    </row>
    <row r="568" spans="1:7" x14ac:dyDescent="0.2">
      <c r="A568" s="4">
        <v>2010</v>
      </c>
      <c r="B568" t="s">
        <v>3</v>
      </c>
      <c r="C568" s="1">
        <v>1500</v>
      </c>
      <c r="D568">
        <v>3</v>
      </c>
      <c r="E568" t="s">
        <v>11</v>
      </c>
      <c r="F568" s="6"/>
      <c r="G568" s="7"/>
    </row>
    <row r="569" spans="1:7" x14ac:dyDescent="0.2">
      <c r="A569" s="4">
        <v>2056</v>
      </c>
      <c r="B569" t="s">
        <v>3</v>
      </c>
      <c r="C569" s="1">
        <v>2100</v>
      </c>
      <c r="D569">
        <v>3</v>
      </c>
      <c r="E569" t="s">
        <v>11</v>
      </c>
      <c r="F569" s="6"/>
      <c r="G569" s="7"/>
    </row>
    <row r="570" spans="1:7" x14ac:dyDescent="0.2">
      <c r="A570" s="4">
        <v>2293</v>
      </c>
      <c r="B570" t="s">
        <v>3</v>
      </c>
      <c r="C570" s="1">
        <v>3500</v>
      </c>
      <c r="D570">
        <v>3</v>
      </c>
      <c r="E570" t="s">
        <v>11</v>
      </c>
      <c r="F570" s="6"/>
      <c r="G570" s="7"/>
    </row>
    <row r="571" spans="1:7" x14ac:dyDescent="0.2">
      <c r="A571" s="4">
        <v>2299</v>
      </c>
      <c r="B571" t="s">
        <v>3</v>
      </c>
      <c r="C571" s="1">
        <v>2500</v>
      </c>
      <c r="D571">
        <v>3</v>
      </c>
      <c r="E571" t="s">
        <v>11</v>
      </c>
      <c r="F571" s="6"/>
      <c r="G571" s="7"/>
    </row>
    <row r="572" spans="1:7" x14ac:dyDescent="0.2">
      <c r="A572" s="4">
        <v>2312</v>
      </c>
      <c r="B572" t="s">
        <v>0</v>
      </c>
      <c r="C572" s="1">
        <v>2000</v>
      </c>
      <c r="D572">
        <v>3</v>
      </c>
      <c r="E572" t="s">
        <v>10</v>
      </c>
      <c r="F572" s="6"/>
      <c r="G572" s="7"/>
    </row>
    <row r="573" spans="1:7" x14ac:dyDescent="0.2">
      <c r="A573" s="4">
        <v>2313</v>
      </c>
      <c r="B573" t="s">
        <v>0</v>
      </c>
      <c r="C573" s="1">
        <v>1500</v>
      </c>
      <c r="D573">
        <v>3</v>
      </c>
      <c r="E573" t="s">
        <v>10</v>
      </c>
      <c r="F573" s="6"/>
      <c r="G573" s="7"/>
    </row>
    <row r="574" spans="1:7" x14ac:dyDescent="0.2">
      <c r="A574" s="4">
        <v>2456</v>
      </c>
      <c r="B574" t="s">
        <v>0</v>
      </c>
      <c r="C574" s="1">
        <v>1500</v>
      </c>
      <c r="D574">
        <v>3</v>
      </c>
      <c r="E574" t="s">
        <v>11</v>
      </c>
      <c r="F574" s="6"/>
      <c r="G574" s="7"/>
    </row>
    <row r="575" spans="1:7" x14ac:dyDescent="0.2">
      <c r="A575" s="4">
        <v>2478</v>
      </c>
      <c r="B575" t="s">
        <v>0</v>
      </c>
      <c r="C575" s="1">
        <v>4500</v>
      </c>
      <c r="D575">
        <v>3</v>
      </c>
      <c r="E575" t="s">
        <v>11</v>
      </c>
      <c r="F575" s="6"/>
      <c r="G575" s="7"/>
    </row>
    <row r="576" spans="1:7" x14ac:dyDescent="0.2">
      <c r="A576" s="4">
        <v>2565</v>
      </c>
      <c r="B576" t="s">
        <v>0</v>
      </c>
      <c r="C576" s="1">
        <v>3000</v>
      </c>
      <c r="D576">
        <v>3</v>
      </c>
      <c r="E576" t="s">
        <v>11</v>
      </c>
      <c r="F576" s="6"/>
      <c r="G576" s="7"/>
    </row>
    <row r="577" spans="1:7" x14ac:dyDescent="0.2">
      <c r="A577" s="4">
        <v>2773</v>
      </c>
      <c r="B577" t="s">
        <v>2</v>
      </c>
      <c r="C577" s="1">
        <v>2000</v>
      </c>
      <c r="D577">
        <v>3</v>
      </c>
      <c r="E577" t="s">
        <v>11</v>
      </c>
      <c r="F577" s="6"/>
      <c r="G577" s="7"/>
    </row>
    <row r="578" spans="1:7" x14ac:dyDescent="0.2">
      <c r="A578" s="4">
        <v>2901</v>
      </c>
      <c r="B578" t="s">
        <v>1</v>
      </c>
      <c r="C578" s="1">
        <v>1500</v>
      </c>
      <c r="D578">
        <v>3</v>
      </c>
      <c r="E578" t="s">
        <v>10</v>
      </c>
      <c r="F578" s="6"/>
      <c r="G578" s="7"/>
    </row>
    <row r="579" spans="1:7" x14ac:dyDescent="0.2">
      <c r="A579" s="4">
        <v>3100</v>
      </c>
      <c r="B579" t="s">
        <v>1</v>
      </c>
      <c r="C579" s="1">
        <v>3500</v>
      </c>
      <c r="D579">
        <v>3</v>
      </c>
      <c r="E579" t="s">
        <v>11</v>
      </c>
      <c r="F579" s="6"/>
      <c r="G579" s="7"/>
    </row>
    <row r="580" spans="1:7" x14ac:dyDescent="0.2">
      <c r="A580" s="4">
        <v>3107</v>
      </c>
      <c r="B580" t="s">
        <v>1</v>
      </c>
      <c r="C580" s="1">
        <v>1500</v>
      </c>
      <c r="D580">
        <v>3</v>
      </c>
      <c r="E580" t="s">
        <v>11</v>
      </c>
      <c r="F580" s="6"/>
      <c r="G580" s="7"/>
    </row>
    <row r="581" spans="1:7" x14ac:dyDescent="0.2">
      <c r="A581" s="4">
        <v>2874</v>
      </c>
      <c r="B581" t="s">
        <v>2</v>
      </c>
      <c r="C581" s="1">
        <v>3500</v>
      </c>
      <c r="D581">
        <v>3</v>
      </c>
      <c r="E581" t="s">
        <v>10</v>
      </c>
      <c r="F581" s="6"/>
      <c r="G581" s="7"/>
    </row>
    <row r="582" spans="1:7" x14ac:dyDescent="0.2">
      <c r="A582" s="4">
        <v>5204</v>
      </c>
      <c r="B582" t="s">
        <v>4</v>
      </c>
      <c r="C582" s="1">
        <v>1700</v>
      </c>
      <c r="D582">
        <v>3</v>
      </c>
      <c r="E582" t="s">
        <v>10</v>
      </c>
      <c r="F582" s="6"/>
      <c r="G582" s="7"/>
    </row>
    <row r="583" spans="1:7" x14ac:dyDescent="0.2">
      <c r="A583" s="4">
        <v>2492</v>
      </c>
      <c r="B583" t="s">
        <v>0</v>
      </c>
      <c r="C583" s="1">
        <v>4000</v>
      </c>
      <c r="D583">
        <v>3</v>
      </c>
      <c r="E583" t="s">
        <v>11</v>
      </c>
      <c r="F583" s="6"/>
      <c r="G583" s="7"/>
    </row>
    <row r="584" spans="1:7" x14ac:dyDescent="0.2">
      <c r="A584" s="4">
        <v>2170</v>
      </c>
      <c r="B584" t="s">
        <v>3</v>
      </c>
      <c r="C584" s="1">
        <v>1800</v>
      </c>
      <c r="D584">
        <v>3</v>
      </c>
      <c r="E584" t="s">
        <v>10</v>
      </c>
      <c r="F584" s="6"/>
      <c r="G584" s="7"/>
    </row>
    <row r="585" spans="1:7" x14ac:dyDescent="0.2">
      <c r="A585" s="4">
        <v>1827</v>
      </c>
      <c r="B585" t="s">
        <v>3</v>
      </c>
      <c r="C585" s="1">
        <v>2800</v>
      </c>
      <c r="D585">
        <v>3</v>
      </c>
      <c r="E585" t="s">
        <v>11</v>
      </c>
      <c r="F585" s="6"/>
      <c r="G585" s="7"/>
    </row>
    <row r="586" spans="1:7" x14ac:dyDescent="0.2">
      <c r="A586" s="4">
        <v>2020</v>
      </c>
      <c r="B586" t="s">
        <v>3</v>
      </c>
      <c r="C586" s="1">
        <v>5800</v>
      </c>
      <c r="D586">
        <v>3</v>
      </c>
      <c r="E586" t="s">
        <v>11</v>
      </c>
      <c r="F586" s="6"/>
      <c r="G586" s="7"/>
    </row>
    <row r="587" spans="1:7" x14ac:dyDescent="0.2">
      <c r="A587" s="4">
        <v>2759</v>
      </c>
      <c r="B587" t="s">
        <v>2</v>
      </c>
      <c r="C587" s="1">
        <v>1800</v>
      </c>
      <c r="D587">
        <v>3</v>
      </c>
      <c r="E587" t="s">
        <v>11</v>
      </c>
      <c r="F587" s="6"/>
      <c r="G587" s="7"/>
    </row>
    <row r="588" spans="1:7" x14ac:dyDescent="0.2">
      <c r="A588" s="4">
        <v>2750</v>
      </c>
      <c r="B588" t="s">
        <v>2</v>
      </c>
      <c r="C588" s="1">
        <v>2000</v>
      </c>
      <c r="D588">
        <v>3</v>
      </c>
      <c r="E588" t="s">
        <v>11</v>
      </c>
      <c r="F588" s="6"/>
      <c r="G588" s="7"/>
    </row>
    <row r="589" spans="1:7" x14ac:dyDescent="0.2">
      <c r="A589" s="4">
        <v>1880</v>
      </c>
      <c r="B589" t="s">
        <v>3</v>
      </c>
      <c r="C589" s="1">
        <v>2000</v>
      </c>
      <c r="D589">
        <v>3</v>
      </c>
      <c r="E589" t="s">
        <v>11</v>
      </c>
      <c r="F589" s="6"/>
      <c r="G589" s="7"/>
    </row>
    <row r="590" spans="1:7" x14ac:dyDescent="0.2">
      <c r="A590" s="4">
        <v>1870</v>
      </c>
      <c r="B590" t="s">
        <v>3</v>
      </c>
      <c r="C590" s="1">
        <v>2000</v>
      </c>
      <c r="D590">
        <v>3</v>
      </c>
      <c r="E590" t="s">
        <v>10</v>
      </c>
      <c r="F590" s="6"/>
      <c r="G590" s="7"/>
    </row>
    <row r="591" spans="1:7" x14ac:dyDescent="0.2">
      <c r="A591" s="4">
        <v>1702</v>
      </c>
      <c r="B591" t="s">
        <v>3</v>
      </c>
      <c r="C591" s="1">
        <v>6000</v>
      </c>
      <c r="D591">
        <v>3</v>
      </c>
      <c r="E591" t="s">
        <v>10</v>
      </c>
      <c r="F591" s="6"/>
      <c r="G591" s="7"/>
    </row>
    <row r="592" spans="1:7" x14ac:dyDescent="0.2">
      <c r="A592" s="4">
        <v>1861</v>
      </c>
      <c r="B592" t="s">
        <v>3</v>
      </c>
      <c r="C592" s="1">
        <v>2000</v>
      </c>
      <c r="D592">
        <v>3</v>
      </c>
      <c r="E592" t="s">
        <v>10</v>
      </c>
      <c r="F592" s="6"/>
      <c r="G592" s="7"/>
    </row>
    <row r="593" spans="1:7" x14ac:dyDescent="0.2">
      <c r="A593" s="4">
        <v>1900</v>
      </c>
      <c r="B593" t="s">
        <v>3</v>
      </c>
      <c r="C593" s="1">
        <v>2000</v>
      </c>
      <c r="D593">
        <v>3</v>
      </c>
      <c r="E593" t="s">
        <v>11</v>
      </c>
      <c r="F593" s="6"/>
      <c r="G593" s="7"/>
    </row>
    <row r="594" spans="1:7" x14ac:dyDescent="0.2">
      <c r="A594" s="4">
        <v>1922</v>
      </c>
      <c r="B594" t="s">
        <v>3</v>
      </c>
      <c r="C594" s="1">
        <v>2000</v>
      </c>
      <c r="D594">
        <v>3</v>
      </c>
      <c r="E594" t="s">
        <v>11</v>
      </c>
      <c r="F594" s="6"/>
      <c r="G594" s="7"/>
    </row>
    <row r="595" spans="1:7" x14ac:dyDescent="0.2">
      <c r="A595" s="4">
        <v>2283</v>
      </c>
      <c r="B595" t="s">
        <v>3</v>
      </c>
      <c r="C595" s="1">
        <v>4570</v>
      </c>
      <c r="D595">
        <v>3</v>
      </c>
      <c r="E595" t="s">
        <v>11</v>
      </c>
      <c r="F595" s="6"/>
      <c r="G595" s="7"/>
    </row>
    <row r="596" spans="1:7" x14ac:dyDescent="0.2">
      <c r="A596" s="4">
        <v>2308</v>
      </c>
      <c r="B596" t="s">
        <v>0</v>
      </c>
      <c r="C596" s="1">
        <v>2000</v>
      </c>
      <c r="D596">
        <v>3</v>
      </c>
      <c r="E596" t="s">
        <v>10</v>
      </c>
      <c r="F596" s="6"/>
      <c r="G596" s="7"/>
    </row>
    <row r="597" spans="1:7" x14ac:dyDescent="0.2">
      <c r="A597" s="4">
        <v>2579</v>
      </c>
      <c r="B597" t="s">
        <v>0</v>
      </c>
      <c r="C597" s="1">
        <v>5000</v>
      </c>
      <c r="D597">
        <v>3</v>
      </c>
      <c r="E597" t="s">
        <v>10</v>
      </c>
      <c r="F597" s="6"/>
      <c r="G597" s="7"/>
    </row>
    <row r="598" spans="1:7" x14ac:dyDescent="0.2">
      <c r="A598" s="4">
        <v>2618</v>
      </c>
      <c r="B598" t="s">
        <v>0</v>
      </c>
      <c r="C598" s="1">
        <v>3200</v>
      </c>
      <c r="D598">
        <v>3</v>
      </c>
      <c r="E598" t="s">
        <v>10</v>
      </c>
      <c r="F598" s="6"/>
      <c r="G598" s="7"/>
    </row>
    <row r="599" spans="1:7" x14ac:dyDescent="0.2">
      <c r="A599" s="4">
        <v>2775</v>
      </c>
      <c r="B599" t="s">
        <v>2</v>
      </c>
      <c r="C599" s="1">
        <v>2000</v>
      </c>
      <c r="D599">
        <v>3</v>
      </c>
      <c r="E599" t="s">
        <v>10</v>
      </c>
      <c r="F599" s="6"/>
      <c r="G599" s="7"/>
    </row>
    <row r="600" spans="1:7" x14ac:dyDescent="0.2">
      <c r="A600" s="4">
        <v>3125</v>
      </c>
      <c r="B600" t="s">
        <v>1</v>
      </c>
      <c r="C600" s="1">
        <v>3000</v>
      </c>
      <c r="D600">
        <v>3</v>
      </c>
      <c r="E600" t="s">
        <v>11</v>
      </c>
      <c r="F600" s="6"/>
      <c r="G600" s="7"/>
    </row>
    <row r="601" spans="1:7" x14ac:dyDescent="0.2">
      <c r="A601" s="4">
        <v>5945</v>
      </c>
      <c r="B601" t="s">
        <v>2</v>
      </c>
      <c r="C601" s="1">
        <v>3400</v>
      </c>
      <c r="D601">
        <v>3</v>
      </c>
      <c r="E601" t="s">
        <v>11</v>
      </c>
      <c r="F601" s="6"/>
      <c r="G601" s="7"/>
    </row>
    <row r="602" spans="1:7" x14ac:dyDescent="0.2">
      <c r="A602" s="4">
        <v>6801</v>
      </c>
      <c r="B602" t="s">
        <v>3</v>
      </c>
      <c r="C602" s="1">
        <v>3400</v>
      </c>
      <c r="D602">
        <v>3</v>
      </c>
      <c r="E602" t="s">
        <v>11</v>
      </c>
      <c r="F602" s="6"/>
      <c r="G602" s="7"/>
    </row>
    <row r="603" spans="1:7" x14ac:dyDescent="0.2">
      <c r="A603" s="4">
        <v>2540</v>
      </c>
      <c r="B603" t="s">
        <v>0</v>
      </c>
      <c r="C603" s="1">
        <v>2200</v>
      </c>
      <c r="D603">
        <v>3</v>
      </c>
      <c r="E603" t="s">
        <v>10</v>
      </c>
      <c r="F603" s="6"/>
      <c r="G603" s="7"/>
    </row>
    <row r="604" spans="1:7" x14ac:dyDescent="0.2">
      <c r="A604" s="4">
        <v>2043</v>
      </c>
      <c r="B604" t="s">
        <v>3</v>
      </c>
      <c r="C604" s="1">
        <v>2500</v>
      </c>
      <c r="D604">
        <v>3</v>
      </c>
      <c r="E604" t="s">
        <v>10</v>
      </c>
      <c r="F604" s="6"/>
      <c r="G604" s="7"/>
    </row>
    <row r="605" spans="1:7" x14ac:dyDescent="0.2">
      <c r="A605" s="4">
        <v>2330</v>
      </c>
      <c r="B605" t="s">
        <v>0</v>
      </c>
      <c r="C605" s="1">
        <v>2500</v>
      </c>
      <c r="D605">
        <v>3</v>
      </c>
      <c r="E605" t="s">
        <v>11</v>
      </c>
      <c r="F605" s="6"/>
      <c r="G605" s="7"/>
    </row>
    <row r="606" spans="1:7" x14ac:dyDescent="0.2">
      <c r="A606" s="4">
        <v>1939</v>
      </c>
      <c r="B606" t="s">
        <v>3</v>
      </c>
      <c r="C606" s="1">
        <v>2940</v>
      </c>
      <c r="D606">
        <v>3</v>
      </c>
      <c r="E606" t="s">
        <v>11</v>
      </c>
      <c r="F606" s="6"/>
      <c r="G606" s="7"/>
    </row>
    <row r="607" spans="1:7" x14ac:dyDescent="0.2">
      <c r="A607" s="4">
        <v>1958</v>
      </c>
      <c r="B607" t="s">
        <v>3</v>
      </c>
      <c r="C607" s="1">
        <v>4000</v>
      </c>
      <c r="D607">
        <v>3</v>
      </c>
      <c r="E607" t="s">
        <v>10</v>
      </c>
      <c r="F607" s="6"/>
      <c r="G607" s="7"/>
    </row>
    <row r="608" spans="1:7" x14ac:dyDescent="0.2">
      <c r="A608" s="4">
        <v>1984</v>
      </c>
      <c r="B608" t="s">
        <v>3</v>
      </c>
      <c r="C608" s="1">
        <v>4130</v>
      </c>
      <c r="D608">
        <v>3</v>
      </c>
      <c r="E608" t="s">
        <v>11</v>
      </c>
      <c r="F608" s="6"/>
      <c r="G608" s="7"/>
    </row>
    <row r="609" spans="1:7" x14ac:dyDescent="0.2">
      <c r="A609" s="4">
        <v>2214</v>
      </c>
      <c r="B609" t="s">
        <v>3</v>
      </c>
      <c r="C609" s="1">
        <v>3200</v>
      </c>
      <c r="D609">
        <v>3</v>
      </c>
      <c r="E609" t="s">
        <v>11</v>
      </c>
      <c r="F609" s="6"/>
      <c r="G609" s="7"/>
    </row>
    <row r="610" spans="1:7" x14ac:dyDescent="0.2">
      <c r="A610" s="4">
        <v>2298</v>
      </c>
      <c r="B610" t="s">
        <v>3</v>
      </c>
      <c r="C610" s="1">
        <v>3300</v>
      </c>
      <c r="D610">
        <v>3</v>
      </c>
      <c r="E610" t="s">
        <v>11</v>
      </c>
      <c r="F610" s="6"/>
      <c r="G610" s="7"/>
    </row>
    <row r="611" spans="1:7" x14ac:dyDescent="0.2">
      <c r="A611" s="4">
        <v>2303</v>
      </c>
      <c r="B611" t="s">
        <v>0</v>
      </c>
      <c r="C611" s="1">
        <v>2880</v>
      </c>
      <c r="D611">
        <v>3</v>
      </c>
      <c r="E611" t="s">
        <v>11</v>
      </c>
      <c r="F611" s="6"/>
      <c r="G611" s="7"/>
    </row>
    <row r="612" spans="1:7" x14ac:dyDescent="0.2">
      <c r="A612" s="4">
        <v>2526</v>
      </c>
      <c r="B612" t="s">
        <v>0</v>
      </c>
      <c r="C612" s="1">
        <v>3300</v>
      </c>
      <c r="D612">
        <v>3</v>
      </c>
      <c r="E612" t="s">
        <v>10</v>
      </c>
      <c r="F612" s="6"/>
      <c r="G612" s="7"/>
    </row>
    <row r="613" spans="1:7" x14ac:dyDescent="0.2">
      <c r="A613" s="4">
        <v>2742</v>
      </c>
      <c r="B613" t="s">
        <v>2</v>
      </c>
      <c r="C613" s="1">
        <v>2600</v>
      </c>
      <c r="D613">
        <v>3</v>
      </c>
      <c r="E613" t="s">
        <v>10</v>
      </c>
      <c r="F613" s="6"/>
      <c r="G613" s="7"/>
    </row>
    <row r="614" spans="1:7" x14ac:dyDescent="0.2">
      <c r="A614" s="4">
        <v>2166</v>
      </c>
      <c r="B614" t="s">
        <v>3</v>
      </c>
      <c r="C614" s="1">
        <v>2800</v>
      </c>
      <c r="D614">
        <v>3</v>
      </c>
      <c r="E614" t="s">
        <v>11</v>
      </c>
      <c r="F614" s="6"/>
      <c r="G614" s="7"/>
    </row>
    <row r="615" spans="1:7" x14ac:dyDescent="0.2">
      <c r="A615" s="4">
        <v>2164</v>
      </c>
      <c r="B615" t="s">
        <v>3</v>
      </c>
      <c r="C615" s="1">
        <v>2800</v>
      </c>
      <c r="D615">
        <v>3</v>
      </c>
      <c r="E615" t="s">
        <v>11</v>
      </c>
      <c r="F615" s="6"/>
      <c r="G615" s="7"/>
    </row>
    <row r="616" spans="1:7" x14ac:dyDescent="0.2">
      <c r="A616" s="4">
        <v>2176</v>
      </c>
      <c r="B616" t="s">
        <v>3</v>
      </c>
      <c r="C616" s="1">
        <v>2800</v>
      </c>
      <c r="D616">
        <v>3</v>
      </c>
      <c r="E616" t="s">
        <v>10</v>
      </c>
      <c r="F616" s="6"/>
      <c r="G616" s="7"/>
    </row>
    <row r="617" spans="1:7" x14ac:dyDescent="0.2">
      <c r="A617" s="4">
        <v>2905</v>
      </c>
      <c r="B617" t="s">
        <v>1</v>
      </c>
      <c r="C617" s="1">
        <v>2940</v>
      </c>
      <c r="D617">
        <v>3</v>
      </c>
      <c r="E617" t="s">
        <v>11</v>
      </c>
      <c r="F617" s="6"/>
      <c r="G617" s="7"/>
    </row>
    <row r="618" spans="1:7" x14ac:dyDescent="0.2">
      <c r="A618" s="4">
        <v>2258</v>
      </c>
      <c r="B618" t="s">
        <v>3</v>
      </c>
      <c r="C618" s="1">
        <v>3000</v>
      </c>
      <c r="D618">
        <v>3</v>
      </c>
      <c r="E618" t="s">
        <v>10</v>
      </c>
      <c r="F618" s="6"/>
      <c r="G618" s="7"/>
    </row>
    <row r="619" spans="1:7" x14ac:dyDescent="0.2">
      <c r="A619" s="4">
        <v>1800</v>
      </c>
      <c r="B619" t="s">
        <v>3</v>
      </c>
      <c r="C619" s="1">
        <v>3000</v>
      </c>
      <c r="D619">
        <v>3</v>
      </c>
      <c r="E619" t="s">
        <v>11</v>
      </c>
      <c r="F619" s="6"/>
      <c r="G619" s="7"/>
    </row>
    <row r="620" spans="1:7" x14ac:dyDescent="0.2">
      <c r="A620" s="4">
        <v>6802</v>
      </c>
      <c r="B620" t="s">
        <v>3</v>
      </c>
      <c r="C620" s="1">
        <v>3000</v>
      </c>
      <c r="D620">
        <v>3</v>
      </c>
      <c r="E620" t="s">
        <v>10</v>
      </c>
      <c r="F620" s="6"/>
      <c r="G620" s="7"/>
    </row>
    <row r="621" spans="1:7" x14ac:dyDescent="0.2">
      <c r="A621" s="4">
        <v>842</v>
      </c>
      <c r="B621" t="s">
        <v>4</v>
      </c>
      <c r="C621" s="1">
        <v>8000</v>
      </c>
      <c r="D621">
        <v>3</v>
      </c>
      <c r="E621" t="s">
        <v>11</v>
      </c>
      <c r="F621" s="6"/>
      <c r="G621" s="7"/>
    </row>
    <row r="622" spans="1:7" x14ac:dyDescent="0.2">
      <c r="A622" s="4">
        <v>1608</v>
      </c>
      <c r="B622" t="s">
        <v>5</v>
      </c>
      <c r="C622" s="1">
        <v>3000</v>
      </c>
      <c r="D622">
        <v>3</v>
      </c>
      <c r="E622" t="s">
        <v>11</v>
      </c>
      <c r="F622" s="6"/>
      <c r="G622" s="7"/>
    </row>
    <row r="623" spans="1:7" x14ac:dyDescent="0.2">
      <c r="A623" s="4">
        <v>2232</v>
      </c>
      <c r="B623" t="s">
        <v>3</v>
      </c>
      <c r="C623" s="1">
        <v>3000</v>
      </c>
      <c r="D623">
        <v>3</v>
      </c>
      <c r="E623" t="s">
        <v>10</v>
      </c>
      <c r="F623" s="6"/>
      <c r="G623" s="7"/>
    </row>
    <row r="624" spans="1:7" x14ac:dyDescent="0.2">
      <c r="A624" s="4">
        <v>2241</v>
      </c>
      <c r="B624" t="s">
        <v>3</v>
      </c>
      <c r="C624" s="1">
        <v>6000</v>
      </c>
      <c r="D624">
        <v>3</v>
      </c>
      <c r="E624" t="s">
        <v>10</v>
      </c>
      <c r="F624" s="6"/>
      <c r="G624" s="7"/>
    </row>
    <row r="625" spans="1:7" x14ac:dyDescent="0.2">
      <c r="A625" s="4">
        <v>2254</v>
      </c>
      <c r="B625" t="s">
        <v>3</v>
      </c>
      <c r="C625" s="1">
        <v>6000</v>
      </c>
      <c r="D625">
        <v>3</v>
      </c>
      <c r="E625" t="s">
        <v>10</v>
      </c>
      <c r="F625" s="6"/>
      <c r="G625" s="7"/>
    </row>
    <row r="626" spans="1:7" x14ac:dyDescent="0.2">
      <c r="A626" s="4">
        <v>2452</v>
      </c>
      <c r="B626" t="s">
        <v>0</v>
      </c>
      <c r="C626" s="1">
        <v>3000</v>
      </c>
      <c r="D626">
        <v>3</v>
      </c>
      <c r="E626" t="s">
        <v>11</v>
      </c>
      <c r="F626" s="6"/>
      <c r="G626" s="7"/>
    </row>
    <row r="627" spans="1:7" x14ac:dyDescent="0.2">
      <c r="A627" s="4">
        <v>2511</v>
      </c>
      <c r="B627" t="s">
        <v>0</v>
      </c>
      <c r="C627" s="1">
        <v>3000</v>
      </c>
      <c r="D627">
        <v>3</v>
      </c>
      <c r="E627" t="s">
        <v>10</v>
      </c>
      <c r="F627" s="6"/>
      <c r="G627" s="7"/>
    </row>
    <row r="628" spans="1:7" x14ac:dyDescent="0.2">
      <c r="A628" s="4">
        <v>2527</v>
      </c>
      <c r="B628" t="s">
        <v>0</v>
      </c>
      <c r="C628" s="1">
        <v>3000</v>
      </c>
      <c r="D628">
        <v>3</v>
      </c>
      <c r="E628" t="s">
        <v>10</v>
      </c>
      <c r="F628" s="6"/>
      <c r="G628" s="7"/>
    </row>
    <row r="629" spans="1:7" x14ac:dyDescent="0.2">
      <c r="A629" s="4">
        <v>2546</v>
      </c>
      <c r="B629" t="s">
        <v>0</v>
      </c>
      <c r="C629" s="1">
        <v>6500</v>
      </c>
      <c r="D629">
        <v>3</v>
      </c>
      <c r="E629" t="s">
        <v>11</v>
      </c>
      <c r="F629" s="6"/>
      <c r="G629" s="7"/>
    </row>
    <row r="630" spans="1:7" x14ac:dyDescent="0.2">
      <c r="A630" s="4">
        <v>2865</v>
      </c>
      <c r="B630" t="s">
        <v>2</v>
      </c>
      <c r="C630" s="1">
        <v>5900</v>
      </c>
      <c r="D630">
        <v>3</v>
      </c>
      <c r="E630" t="s">
        <v>11</v>
      </c>
      <c r="F630" s="6"/>
      <c r="G630" s="7"/>
    </row>
    <row r="631" spans="1:7" x14ac:dyDescent="0.2">
      <c r="A631" s="4">
        <v>3092</v>
      </c>
      <c r="B631" t="s">
        <v>1</v>
      </c>
      <c r="C631" s="1">
        <v>7000</v>
      </c>
      <c r="D631">
        <v>3</v>
      </c>
      <c r="E631" t="s">
        <v>10</v>
      </c>
      <c r="F631" s="6"/>
      <c r="G631" s="7"/>
    </row>
    <row r="632" spans="1:7" x14ac:dyDescent="0.2">
      <c r="A632" s="4">
        <v>5946</v>
      </c>
      <c r="B632" t="s">
        <v>2</v>
      </c>
      <c r="C632" s="1">
        <v>3800</v>
      </c>
      <c r="D632">
        <v>3</v>
      </c>
      <c r="E632" t="s">
        <v>11</v>
      </c>
      <c r="F632" s="6"/>
      <c r="G632" s="7"/>
    </row>
    <row r="633" spans="1:7" x14ac:dyDescent="0.2">
      <c r="A633" s="4">
        <v>6061</v>
      </c>
      <c r="B633" t="s">
        <v>1</v>
      </c>
      <c r="C633" s="1">
        <v>3500</v>
      </c>
      <c r="D633">
        <v>3</v>
      </c>
      <c r="E633" t="s">
        <v>10</v>
      </c>
      <c r="F633" s="6"/>
      <c r="G633" s="7"/>
    </row>
    <row r="634" spans="1:7" x14ac:dyDescent="0.2">
      <c r="A634" s="4">
        <v>2002</v>
      </c>
      <c r="B634" t="s">
        <v>3</v>
      </c>
      <c r="C634" s="1">
        <v>6700</v>
      </c>
      <c r="D634">
        <v>3</v>
      </c>
      <c r="E634" t="s">
        <v>11</v>
      </c>
      <c r="F634" s="6"/>
      <c r="G634" s="7"/>
    </row>
    <row r="635" spans="1:7" x14ac:dyDescent="0.2">
      <c r="A635" s="4">
        <v>2178</v>
      </c>
      <c r="B635" t="s">
        <v>3</v>
      </c>
      <c r="C635" s="1">
        <v>3200</v>
      </c>
      <c r="D635">
        <v>3</v>
      </c>
      <c r="E635" t="s">
        <v>11</v>
      </c>
      <c r="F635" s="6"/>
      <c r="G635" s="7"/>
    </row>
    <row r="636" spans="1:7" x14ac:dyDescent="0.2">
      <c r="A636" s="4">
        <v>1947</v>
      </c>
      <c r="B636" t="s">
        <v>3</v>
      </c>
      <c r="C636" s="1">
        <v>3735</v>
      </c>
      <c r="D636">
        <v>3</v>
      </c>
      <c r="E636" t="s">
        <v>10</v>
      </c>
      <c r="F636" s="6"/>
      <c r="G636" s="7"/>
    </row>
    <row r="637" spans="1:7" x14ac:dyDescent="0.2">
      <c r="A637" s="4">
        <v>2055</v>
      </c>
      <c r="B637" t="s">
        <v>3</v>
      </c>
      <c r="C637" s="1">
        <v>3500</v>
      </c>
      <c r="D637">
        <v>3</v>
      </c>
      <c r="E637" t="s">
        <v>11</v>
      </c>
      <c r="F637" s="6"/>
      <c r="G637" s="7"/>
    </row>
    <row r="638" spans="1:7" x14ac:dyDescent="0.2">
      <c r="A638" s="4">
        <v>2503</v>
      </c>
      <c r="B638" t="s">
        <v>0</v>
      </c>
      <c r="C638" s="1">
        <v>3500</v>
      </c>
      <c r="D638">
        <v>3</v>
      </c>
      <c r="E638" t="s">
        <v>10</v>
      </c>
      <c r="F638" s="6"/>
      <c r="G638" s="7"/>
    </row>
    <row r="639" spans="1:7" x14ac:dyDescent="0.2">
      <c r="A639" s="4">
        <v>2504</v>
      </c>
      <c r="B639" t="s">
        <v>0</v>
      </c>
      <c r="C639" s="1">
        <v>6500</v>
      </c>
      <c r="D639">
        <v>3</v>
      </c>
      <c r="E639" t="s">
        <v>10</v>
      </c>
      <c r="F639" s="6"/>
      <c r="G639" s="7"/>
    </row>
    <row r="640" spans="1:7" x14ac:dyDescent="0.2">
      <c r="A640" s="4">
        <v>2519</v>
      </c>
      <c r="B640" t="s">
        <v>0</v>
      </c>
      <c r="C640" s="1">
        <v>3500</v>
      </c>
      <c r="D640">
        <v>3</v>
      </c>
      <c r="E640" t="s">
        <v>11</v>
      </c>
      <c r="F640" s="6"/>
      <c r="G640" s="7"/>
    </row>
    <row r="641" spans="1:7" x14ac:dyDescent="0.2">
      <c r="A641" s="4">
        <v>2620</v>
      </c>
      <c r="B641" t="s">
        <v>0</v>
      </c>
      <c r="C641" s="1">
        <v>3500</v>
      </c>
      <c r="D641">
        <v>3</v>
      </c>
      <c r="E641" t="s">
        <v>10</v>
      </c>
      <c r="F641" s="6"/>
      <c r="G641" s="7"/>
    </row>
    <row r="642" spans="1:7" x14ac:dyDescent="0.2">
      <c r="A642" s="4">
        <v>2642</v>
      </c>
      <c r="B642" t="s">
        <v>2</v>
      </c>
      <c r="C642" s="1">
        <v>4027</v>
      </c>
      <c r="D642">
        <v>3</v>
      </c>
      <c r="E642" t="s">
        <v>10</v>
      </c>
      <c r="F642" s="6"/>
      <c r="G642" s="7"/>
    </row>
    <row r="643" spans="1:7" x14ac:dyDescent="0.2">
      <c r="A643" s="4">
        <v>2231</v>
      </c>
      <c r="B643" t="s">
        <v>3</v>
      </c>
      <c r="C643" s="1">
        <v>3550</v>
      </c>
      <c r="D643">
        <v>3</v>
      </c>
      <c r="E643" t="s">
        <v>10</v>
      </c>
      <c r="F643" s="6"/>
      <c r="G643" s="7"/>
    </row>
    <row r="644" spans="1:7" x14ac:dyDescent="0.2">
      <c r="A644" s="4">
        <v>2059</v>
      </c>
      <c r="B644" t="s">
        <v>3</v>
      </c>
      <c r="C644" s="1">
        <v>3625</v>
      </c>
      <c r="D644">
        <v>3</v>
      </c>
      <c r="E644" t="s">
        <v>10</v>
      </c>
      <c r="F644" s="6"/>
      <c r="G644" s="7"/>
    </row>
    <row r="645" spans="1:7" x14ac:dyDescent="0.2">
      <c r="A645" s="4">
        <v>6421</v>
      </c>
      <c r="B645" t="s">
        <v>3</v>
      </c>
      <c r="C645" s="1">
        <v>4095</v>
      </c>
      <c r="D645">
        <v>3</v>
      </c>
      <c r="E645" t="s">
        <v>11</v>
      </c>
      <c r="F645" s="6"/>
      <c r="G645" s="7"/>
    </row>
    <row r="646" spans="1:7" x14ac:dyDescent="0.2">
      <c r="A646" s="4">
        <v>2648</v>
      </c>
      <c r="B646" t="s">
        <v>2</v>
      </c>
      <c r="C646" s="1">
        <v>3750</v>
      </c>
      <c r="D646">
        <v>3</v>
      </c>
      <c r="E646" t="s">
        <v>11</v>
      </c>
      <c r="F646" s="6"/>
      <c r="G646" s="7"/>
    </row>
    <row r="647" spans="1:7" x14ac:dyDescent="0.2">
      <c r="A647" s="4">
        <v>2045</v>
      </c>
      <c r="B647" t="s">
        <v>3</v>
      </c>
      <c r="C647" s="1">
        <v>4000</v>
      </c>
      <c r="D647">
        <v>3</v>
      </c>
      <c r="E647" t="s">
        <v>11</v>
      </c>
      <c r="F647" s="6"/>
      <c r="G647" s="7"/>
    </row>
    <row r="648" spans="1:7" x14ac:dyDescent="0.2">
      <c r="A648" s="4">
        <v>2210</v>
      </c>
      <c r="B648" t="s">
        <v>3</v>
      </c>
      <c r="C648" s="1">
        <v>4400</v>
      </c>
      <c r="D648">
        <v>3</v>
      </c>
      <c r="E648" t="s">
        <v>10</v>
      </c>
      <c r="F648" s="6"/>
      <c r="G648" s="7"/>
    </row>
    <row r="649" spans="1:7" x14ac:dyDescent="0.2">
      <c r="A649" s="4">
        <v>2169</v>
      </c>
      <c r="B649" t="s">
        <v>3</v>
      </c>
      <c r="C649" s="1">
        <v>4000</v>
      </c>
      <c r="D649">
        <v>3</v>
      </c>
      <c r="E649" t="s">
        <v>10</v>
      </c>
      <c r="F649" s="6"/>
      <c r="G649" s="7"/>
    </row>
    <row r="650" spans="1:7" x14ac:dyDescent="0.2">
      <c r="A650" s="4">
        <v>3126</v>
      </c>
      <c r="B650" t="s">
        <v>1</v>
      </c>
      <c r="C650" s="1">
        <v>4400</v>
      </c>
      <c r="D650">
        <v>3</v>
      </c>
      <c r="E650" t="s">
        <v>10</v>
      </c>
      <c r="F650" s="6"/>
      <c r="G650" s="7"/>
    </row>
    <row r="651" spans="1:7" x14ac:dyDescent="0.2">
      <c r="A651" s="4">
        <v>1649</v>
      </c>
      <c r="B651" t="s">
        <v>5</v>
      </c>
      <c r="C651" s="1">
        <v>4080</v>
      </c>
      <c r="D651">
        <v>3</v>
      </c>
      <c r="E651" t="s">
        <v>10</v>
      </c>
      <c r="F651" s="6"/>
      <c r="G651" s="7"/>
    </row>
    <row r="652" spans="1:7" x14ac:dyDescent="0.2">
      <c r="A652" s="4">
        <v>1690</v>
      </c>
      <c r="B652" t="s">
        <v>5</v>
      </c>
      <c r="C652" s="1">
        <v>4400</v>
      </c>
      <c r="D652">
        <v>3</v>
      </c>
      <c r="E652" t="s">
        <v>11</v>
      </c>
      <c r="F652" s="6"/>
      <c r="G652" s="7"/>
    </row>
    <row r="653" spans="1:7" x14ac:dyDescent="0.2">
      <c r="A653" s="4">
        <v>2123</v>
      </c>
      <c r="B653" t="s">
        <v>3</v>
      </c>
      <c r="C653" s="1">
        <v>4500</v>
      </c>
      <c r="D653">
        <v>3</v>
      </c>
      <c r="E653" t="s">
        <v>11</v>
      </c>
      <c r="F653" s="6"/>
      <c r="G653" s="7"/>
    </row>
    <row r="654" spans="1:7" x14ac:dyDescent="0.2">
      <c r="A654" s="4">
        <v>3130</v>
      </c>
      <c r="B654" t="s">
        <v>1</v>
      </c>
      <c r="C654" s="1">
        <v>5700</v>
      </c>
      <c r="D654">
        <v>3</v>
      </c>
      <c r="E654" t="s">
        <v>10</v>
      </c>
      <c r="F654" s="6"/>
      <c r="G654" s="7"/>
    </row>
    <row r="655" spans="1:7" x14ac:dyDescent="0.2">
      <c r="A655" s="4">
        <v>2159</v>
      </c>
      <c r="B655" t="s">
        <v>3</v>
      </c>
      <c r="C655" s="1">
        <v>5150</v>
      </c>
      <c r="D655">
        <v>3</v>
      </c>
      <c r="E655" t="s">
        <v>11</v>
      </c>
      <c r="F655" s="6"/>
      <c r="G655" s="7"/>
    </row>
    <row r="656" spans="1:7" x14ac:dyDescent="0.2">
      <c r="A656" s="4">
        <v>2146</v>
      </c>
      <c r="B656" t="s">
        <v>3</v>
      </c>
      <c r="C656" s="1">
        <v>5480</v>
      </c>
      <c r="D656">
        <v>3</v>
      </c>
      <c r="E656" t="s">
        <v>11</v>
      </c>
      <c r="F656" s="6"/>
      <c r="G656" s="7"/>
    </row>
    <row r="657" spans="1:7" x14ac:dyDescent="0.2">
      <c r="A657" s="4">
        <v>2352</v>
      </c>
      <c r="B657" t="s">
        <v>0</v>
      </c>
      <c r="C657" s="1">
        <v>6000</v>
      </c>
      <c r="D657">
        <v>3</v>
      </c>
      <c r="E657" t="s">
        <v>11</v>
      </c>
      <c r="F657" s="6"/>
      <c r="G657" s="7"/>
    </row>
    <row r="658" spans="1:7" x14ac:dyDescent="0.2">
      <c r="A658" s="4">
        <v>2725</v>
      </c>
      <c r="B658" t="s">
        <v>2</v>
      </c>
      <c r="C658" s="1">
        <v>6000</v>
      </c>
      <c r="D658">
        <v>3</v>
      </c>
      <c r="E658" t="s">
        <v>11</v>
      </c>
      <c r="F658" s="6"/>
      <c r="G658" s="7"/>
    </row>
    <row r="659" spans="1:7" x14ac:dyDescent="0.2">
      <c r="A659" s="4">
        <v>6241</v>
      </c>
      <c r="B659" t="s">
        <v>1</v>
      </c>
      <c r="C659" s="1">
        <v>6000</v>
      </c>
      <c r="D659">
        <v>3</v>
      </c>
      <c r="E659" t="s">
        <v>11</v>
      </c>
      <c r="F659" s="6"/>
      <c r="G659" s="7"/>
    </row>
    <row r="660" spans="1:7" x14ac:dyDescent="0.2">
      <c r="A660" s="4">
        <v>2074</v>
      </c>
      <c r="B660" t="s">
        <v>3</v>
      </c>
      <c r="C660" s="1">
        <v>11250</v>
      </c>
      <c r="D660">
        <v>3</v>
      </c>
      <c r="E660" t="s">
        <v>10</v>
      </c>
      <c r="F660" s="6"/>
      <c r="G660" s="7"/>
    </row>
    <row r="661" spans="1:7" x14ac:dyDescent="0.2">
      <c r="A661" s="4">
        <v>5322</v>
      </c>
      <c r="B661" t="s">
        <v>5</v>
      </c>
      <c r="C661" s="1">
        <v>8400</v>
      </c>
      <c r="D661">
        <v>3</v>
      </c>
      <c r="E661" t="s">
        <v>11</v>
      </c>
      <c r="F661" s="6"/>
      <c r="G661" s="7"/>
    </row>
    <row r="662" spans="1:7" x14ac:dyDescent="0.2">
      <c r="A662" s="4">
        <v>1904</v>
      </c>
      <c r="B662" t="s">
        <v>3</v>
      </c>
      <c r="C662" s="1">
        <v>10000</v>
      </c>
      <c r="D662">
        <v>3</v>
      </c>
      <c r="E662" t="s">
        <v>11</v>
      </c>
      <c r="F662" s="6"/>
      <c r="G662" s="7"/>
    </row>
    <row r="663" spans="1:7" x14ac:dyDescent="0.2">
      <c r="A663" s="4">
        <v>2939</v>
      </c>
      <c r="B663" t="s">
        <v>1</v>
      </c>
      <c r="C663">
        <v>40</v>
      </c>
      <c r="D663">
        <v>2</v>
      </c>
      <c r="E663" t="s">
        <v>10</v>
      </c>
      <c r="F663" s="6"/>
      <c r="G663" s="7"/>
    </row>
    <row r="664" spans="1:7" x14ac:dyDescent="0.2">
      <c r="A664" s="4">
        <v>2714</v>
      </c>
      <c r="B664" t="s">
        <v>2</v>
      </c>
      <c r="C664">
        <v>648</v>
      </c>
      <c r="D664">
        <v>2</v>
      </c>
      <c r="E664" t="s">
        <v>11</v>
      </c>
      <c r="F664" s="6"/>
      <c r="G664" s="7"/>
    </row>
    <row r="665" spans="1:7" x14ac:dyDescent="0.2">
      <c r="A665" s="4">
        <v>1808</v>
      </c>
      <c r="B665" t="s">
        <v>3</v>
      </c>
      <c r="C665">
        <v>50</v>
      </c>
      <c r="D665">
        <v>2</v>
      </c>
      <c r="E665" t="s">
        <v>10</v>
      </c>
      <c r="F665" s="6"/>
      <c r="G665" s="7"/>
    </row>
    <row r="666" spans="1:7" x14ac:dyDescent="0.2">
      <c r="A666" s="4">
        <v>797</v>
      </c>
      <c r="B666" t="s">
        <v>4</v>
      </c>
      <c r="C666">
        <v>1050</v>
      </c>
      <c r="D666">
        <v>2</v>
      </c>
      <c r="E666" t="s">
        <v>10</v>
      </c>
      <c r="F666" s="6"/>
      <c r="G666" s="7"/>
    </row>
    <row r="667" spans="1:7" x14ac:dyDescent="0.2">
      <c r="A667" s="4">
        <v>2534</v>
      </c>
      <c r="B667" t="s">
        <v>0</v>
      </c>
      <c r="C667">
        <v>890</v>
      </c>
      <c r="D667">
        <v>2</v>
      </c>
      <c r="E667" t="s">
        <v>10</v>
      </c>
      <c r="F667" s="6"/>
      <c r="G667" s="7"/>
    </row>
    <row r="668" spans="1:7" x14ac:dyDescent="0.2">
      <c r="A668" s="4">
        <v>1834</v>
      </c>
      <c r="B668" t="s">
        <v>3</v>
      </c>
      <c r="C668">
        <v>94</v>
      </c>
      <c r="D668">
        <v>2</v>
      </c>
      <c r="E668" t="s">
        <v>11</v>
      </c>
      <c r="F668" s="6"/>
      <c r="G668" s="7"/>
    </row>
    <row r="669" spans="1:7" x14ac:dyDescent="0.2">
      <c r="A669" s="4">
        <v>1893</v>
      </c>
      <c r="B669" t="s">
        <v>3</v>
      </c>
      <c r="C669">
        <v>100</v>
      </c>
      <c r="D669">
        <v>2</v>
      </c>
      <c r="E669" t="s">
        <v>10</v>
      </c>
      <c r="F669" s="6"/>
      <c r="G669" s="7"/>
    </row>
    <row r="670" spans="1:7" x14ac:dyDescent="0.2">
      <c r="A670" s="4">
        <v>1952</v>
      </c>
      <c r="B670" t="s">
        <v>3</v>
      </c>
      <c r="C670">
        <v>100</v>
      </c>
      <c r="D670">
        <v>2</v>
      </c>
      <c r="E670" t="s">
        <v>10</v>
      </c>
      <c r="F670" s="6"/>
      <c r="G670" s="7"/>
    </row>
    <row r="671" spans="1:7" x14ac:dyDescent="0.2">
      <c r="A671" s="4">
        <v>2627</v>
      </c>
      <c r="B671" t="s">
        <v>0</v>
      </c>
      <c r="C671">
        <v>1100</v>
      </c>
      <c r="D671">
        <v>2</v>
      </c>
      <c r="E671" t="s">
        <v>11</v>
      </c>
      <c r="F671" s="6"/>
      <c r="G671" s="7"/>
    </row>
    <row r="672" spans="1:7" x14ac:dyDescent="0.2">
      <c r="A672" s="4">
        <v>1602</v>
      </c>
      <c r="B672" t="s">
        <v>5</v>
      </c>
      <c r="C672">
        <v>150</v>
      </c>
      <c r="D672">
        <v>2</v>
      </c>
      <c r="E672" t="s">
        <v>10</v>
      </c>
      <c r="F672" s="6"/>
      <c r="G672" s="7"/>
    </row>
    <row r="673" spans="1:7" x14ac:dyDescent="0.2">
      <c r="A673" s="4">
        <v>2064</v>
      </c>
      <c r="B673" t="s">
        <v>3</v>
      </c>
      <c r="C673">
        <v>150</v>
      </c>
      <c r="D673">
        <v>2</v>
      </c>
      <c r="E673" t="s">
        <v>10</v>
      </c>
      <c r="F673" s="6"/>
      <c r="G673" s="7"/>
    </row>
    <row r="674" spans="1:7" x14ac:dyDescent="0.2">
      <c r="A674" s="4">
        <v>2120</v>
      </c>
      <c r="B674" t="s">
        <v>3</v>
      </c>
      <c r="C674">
        <v>150</v>
      </c>
      <c r="D674">
        <v>2</v>
      </c>
      <c r="E674" t="s">
        <v>11</v>
      </c>
      <c r="F674" s="6"/>
      <c r="G674" s="7"/>
    </row>
    <row r="675" spans="1:7" x14ac:dyDescent="0.2">
      <c r="A675" s="4">
        <v>2333</v>
      </c>
      <c r="B675" t="s">
        <v>0</v>
      </c>
      <c r="C675">
        <v>150</v>
      </c>
      <c r="D675">
        <v>2</v>
      </c>
      <c r="E675" t="s">
        <v>11</v>
      </c>
      <c r="F675" s="6"/>
      <c r="G675" s="7"/>
    </row>
    <row r="676" spans="1:7" x14ac:dyDescent="0.2">
      <c r="A676" s="4">
        <v>2417</v>
      </c>
      <c r="B676" t="s">
        <v>0</v>
      </c>
      <c r="C676">
        <v>350</v>
      </c>
      <c r="D676">
        <v>2</v>
      </c>
      <c r="E676" t="s">
        <v>11</v>
      </c>
      <c r="F676" s="6"/>
      <c r="G676" s="7"/>
    </row>
    <row r="677" spans="1:7" x14ac:dyDescent="0.2">
      <c r="A677" s="4">
        <v>2617</v>
      </c>
      <c r="B677" t="s">
        <v>0</v>
      </c>
      <c r="C677">
        <v>150</v>
      </c>
      <c r="D677">
        <v>2</v>
      </c>
      <c r="E677" t="s">
        <v>11</v>
      </c>
      <c r="F677" s="6"/>
      <c r="G677" s="7"/>
    </row>
    <row r="678" spans="1:7" x14ac:dyDescent="0.2">
      <c r="A678" s="4">
        <v>3141</v>
      </c>
      <c r="B678" t="s">
        <v>1</v>
      </c>
      <c r="C678">
        <v>524</v>
      </c>
      <c r="D678">
        <v>2</v>
      </c>
      <c r="E678" t="s">
        <v>10</v>
      </c>
      <c r="F678" s="6"/>
      <c r="G678" s="7"/>
    </row>
    <row r="679" spans="1:7" x14ac:dyDescent="0.2">
      <c r="A679" s="4">
        <v>2227</v>
      </c>
      <c r="B679" t="s">
        <v>3</v>
      </c>
      <c r="C679">
        <v>180</v>
      </c>
      <c r="D679">
        <v>2</v>
      </c>
      <c r="E679" t="s">
        <v>10</v>
      </c>
      <c r="F679" s="6"/>
      <c r="G679" s="7"/>
    </row>
    <row r="680" spans="1:7" x14ac:dyDescent="0.2">
      <c r="A680" s="4">
        <v>6544</v>
      </c>
      <c r="B680" t="s">
        <v>3</v>
      </c>
      <c r="C680">
        <v>187</v>
      </c>
      <c r="D680">
        <v>2</v>
      </c>
      <c r="E680" t="s">
        <v>11</v>
      </c>
      <c r="F680" s="6"/>
      <c r="G680" s="7"/>
    </row>
    <row r="681" spans="1:7" x14ac:dyDescent="0.2">
      <c r="A681" s="4">
        <v>2779</v>
      </c>
      <c r="B681" t="s">
        <v>2</v>
      </c>
      <c r="C681">
        <v>200</v>
      </c>
      <c r="D681">
        <v>2</v>
      </c>
      <c r="E681" t="s">
        <v>11</v>
      </c>
      <c r="F681" s="6"/>
      <c r="G681" s="7"/>
    </row>
    <row r="682" spans="1:7" x14ac:dyDescent="0.2">
      <c r="A682" s="4">
        <v>957</v>
      </c>
      <c r="B682" t="s">
        <v>4</v>
      </c>
      <c r="C682">
        <v>200</v>
      </c>
      <c r="D682">
        <v>2</v>
      </c>
      <c r="E682" t="s">
        <v>11</v>
      </c>
      <c r="F682" s="6"/>
      <c r="G682" s="7"/>
    </row>
    <row r="683" spans="1:7" x14ac:dyDescent="0.2">
      <c r="A683" s="4">
        <v>2319</v>
      </c>
      <c r="B683" t="s">
        <v>0</v>
      </c>
      <c r="C683">
        <v>200</v>
      </c>
      <c r="D683">
        <v>2</v>
      </c>
      <c r="E683" t="s">
        <v>11</v>
      </c>
      <c r="F683" s="6"/>
      <c r="G683" s="7"/>
    </row>
    <row r="684" spans="1:7" x14ac:dyDescent="0.2">
      <c r="A684" s="4">
        <v>2553</v>
      </c>
      <c r="B684" t="s">
        <v>0</v>
      </c>
      <c r="C684">
        <v>200</v>
      </c>
      <c r="D684">
        <v>2</v>
      </c>
      <c r="E684" t="s">
        <v>10</v>
      </c>
      <c r="F684" s="6"/>
      <c r="G684" s="7"/>
    </row>
    <row r="685" spans="1:7" x14ac:dyDescent="0.2">
      <c r="A685" s="4">
        <v>2756</v>
      </c>
      <c r="B685" t="s">
        <v>2</v>
      </c>
      <c r="C685">
        <v>200</v>
      </c>
      <c r="D685">
        <v>2</v>
      </c>
      <c r="E685" t="s">
        <v>10</v>
      </c>
      <c r="F685" s="6"/>
      <c r="G685" s="7"/>
    </row>
    <row r="686" spans="1:7" x14ac:dyDescent="0.2">
      <c r="A686" s="4">
        <v>3085</v>
      </c>
      <c r="B686" t="s">
        <v>1</v>
      </c>
      <c r="C686">
        <v>600</v>
      </c>
      <c r="D686">
        <v>2</v>
      </c>
      <c r="E686" t="s">
        <v>11</v>
      </c>
      <c r="F686" s="6"/>
      <c r="G686" s="7"/>
    </row>
    <row r="687" spans="1:7" x14ac:dyDescent="0.2">
      <c r="A687" s="4">
        <v>6286</v>
      </c>
      <c r="B687" t="s">
        <v>1</v>
      </c>
      <c r="C687">
        <v>208</v>
      </c>
      <c r="D687">
        <v>2</v>
      </c>
      <c r="E687" t="s">
        <v>11</v>
      </c>
      <c r="F687" s="6"/>
      <c r="G687" s="7"/>
    </row>
    <row r="688" spans="1:7" x14ac:dyDescent="0.2">
      <c r="A688" s="4">
        <v>2984</v>
      </c>
      <c r="B688" t="s">
        <v>1</v>
      </c>
      <c r="C688">
        <v>730</v>
      </c>
      <c r="D688">
        <v>2</v>
      </c>
      <c r="E688" t="s">
        <v>10</v>
      </c>
      <c r="F688" s="6"/>
      <c r="G688" s="7"/>
    </row>
    <row r="689" spans="1:7" x14ac:dyDescent="0.2">
      <c r="A689" s="4">
        <v>3213</v>
      </c>
      <c r="B689" t="s">
        <v>1</v>
      </c>
      <c r="C689">
        <v>1250</v>
      </c>
      <c r="D689">
        <v>2</v>
      </c>
      <c r="E689" t="s">
        <v>11</v>
      </c>
      <c r="F689" s="6"/>
      <c r="G689" s="7"/>
    </row>
    <row r="690" spans="1:7" x14ac:dyDescent="0.2">
      <c r="A690" s="4">
        <v>1945</v>
      </c>
      <c r="B690" t="s">
        <v>3</v>
      </c>
      <c r="C690">
        <v>300</v>
      </c>
      <c r="D690">
        <v>2</v>
      </c>
      <c r="E690" t="s">
        <v>10</v>
      </c>
      <c r="F690" s="6"/>
      <c r="G690" s="7"/>
    </row>
    <row r="691" spans="1:7" x14ac:dyDescent="0.2">
      <c r="A691" s="4">
        <v>908</v>
      </c>
      <c r="B691" t="s">
        <v>4</v>
      </c>
      <c r="C691">
        <v>300</v>
      </c>
      <c r="D691">
        <v>2</v>
      </c>
      <c r="E691" t="s">
        <v>10</v>
      </c>
      <c r="F691" s="6"/>
      <c r="G691" s="7"/>
    </row>
    <row r="692" spans="1:7" x14ac:dyDescent="0.2">
      <c r="A692" s="4">
        <v>2007</v>
      </c>
      <c r="B692" t="s">
        <v>3</v>
      </c>
      <c r="C692">
        <v>600</v>
      </c>
      <c r="D692">
        <v>2</v>
      </c>
      <c r="E692" t="s">
        <v>10</v>
      </c>
      <c r="F692" s="6"/>
      <c r="G692" s="7"/>
    </row>
    <row r="693" spans="1:7" x14ac:dyDescent="0.2">
      <c r="A693" s="4">
        <v>2568</v>
      </c>
      <c r="B693" t="s">
        <v>0</v>
      </c>
      <c r="C693">
        <v>300</v>
      </c>
      <c r="D693">
        <v>2</v>
      </c>
      <c r="E693" t="s">
        <v>10</v>
      </c>
      <c r="F693" s="6"/>
      <c r="G693" s="7"/>
    </row>
    <row r="694" spans="1:7" x14ac:dyDescent="0.2">
      <c r="A694" s="4">
        <v>2603</v>
      </c>
      <c r="B694" t="s">
        <v>0</v>
      </c>
      <c r="C694">
        <v>300</v>
      </c>
      <c r="D694">
        <v>2</v>
      </c>
      <c r="E694" t="s">
        <v>11</v>
      </c>
      <c r="F694" s="6"/>
      <c r="G694" s="7"/>
    </row>
    <row r="695" spans="1:7" x14ac:dyDescent="0.2">
      <c r="A695" s="4">
        <v>2805</v>
      </c>
      <c r="B695" t="s">
        <v>2</v>
      </c>
      <c r="C695">
        <v>1300</v>
      </c>
      <c r="D695">
        <v>2</v>
      </c>
      <c r="E695" t="s">
        <v>11</v>
      </c>
      <c r="F695" s="6"/>
      <c r="G695" s="7"/>
    </row>
    <row r="696" spans="1:7" x14ac:dyDescent="0.2">
      <c r="A696" s="4">
        <v>3190</v>
      </c>
      <c r="B696" t="s">
        <v>1</v>
      </c>
      <c r="C696">
        <v>900</v>
      </c>
      <c r="D696">
        <v>2</v>
      </c>
      <c r="E696" t="s">
        <v>11</v>
      </c>
      <c r="F696" s="6"/>
      <c r="G696" s="7"/>
    </row>
    <row r="697" spans="1:7" x14ac:dyDescent="0.2">
      <c r="A697" s="4">
        <v>3187</v>
      </c>
      <c r="B697" t="s">
        <v>1</v>
      </c>
      <c r="C697">
        <v>315</v>
      </c>
      <c r="D697">
        <v>2</v>
      </c>
      <c r="E697" t="s">
        <v>11</v>
      </c>
      <c r="F697" s="6"/>
      <c r="G697" s="7"/>
    </row>
    <row r="698" spans="1:7" x14ac:dyDescent="0.2">
      <c r="A698" s="4">
        <v>543</v>
      </c>
      <c r="B698" t="s">
        <v>4</v>
      </c>
      <c r="C698">
        <v>680</v>
      </c>
      <c r="D698">
        <v>2</v>
      </c>
      <c r="E698" t="s">
        <v>11</v>
      </c>
      <c r="F698" s="6"/>
      <c r="G698" s="7"/>
    </row>
    <row r="699" spans="1:7" x14ac:dyDescent="0.2">
      <c r="A699" s="4">
        <v>6221</v>
      </c>
      <c r="B699" t="s">
        <v>1</v>
      </c>
      <c r="C699">
        <v>320</v>
      </c>
      <c r="D699">
        <v>2</v>
      </c>
      <c r="E699" t="s">
        <v>11</v>
      </c>
      <c r="F699" s="6"/>
      <c r="G699" s="7"/>
    </row>
    <row r="700" spans="1:7" x14ac:dyDescent="0.2">
      <c r="A700" s="4">
        <v>6264</v>
      </c>
      <c r="B700" t="s">
        <v>1</v>
      </c>
      <c r="C700">
        <v>345</v>
      </c>
      <c r="D700">
        <v>2</v>
      </c>
      <c r="E700" t="s">
        <v>11</v>
      </c>
      <c r="F700" s="6"/>
      <c r="G700" s="7"/>
    </row>
    <row r="701" spans="1:7" x14ac:dyDescent="0.2">
      <c r="A701" s="4">
        <v>2536</v>
      </c>
      <c r="B701" t="s">
        <v>0</v>
      </c>
      <c r="C701">
        <v>350</v>
      </c>
      <c r="D701">
        <v>2</v>
      </c>
      <c r="E701" t="s">
        <v>10</v>
      </c>
      <c r="F701" s="6"/>
      <c r="G701" s="7"/>
    </row>
    <row r="702" spans="1:7" x14ac:dyDescent="0.2">
      <c r="A702" s="4">
        <v>3266</v>
      </c>
      <c r="B702" t="s">
        <v>1</v>
      </c>
      <c r="C702">
        <v>600</v>
      </c>
      <c r="D702">
        <v>2</v>
      </c>
      <c r="E702" t="s">
        <v>11</v>
      </c>
      <c r="F702" s="6"/>
      <c r="G702" s="7"/>
    </row>
    <row r="703" spans="1:7" x14ac:dyDescent="0.2">
      <c r="A703" s="4">
        <v>1741</v>
      </c>
      <c r="B703" t="s">
        <v>3</v>
      </c>
      <c r="C703">
        <v>1450</v>
      </c>
      <c r="D703">
        <v>2</v>
      </c>
      <c r="E703" t="s">
        <v>10</v>
      </c>
      <c r="F703" s="6"/>
      <c r="G703" s="7"/>
    </row>
    <row r="704" spans="1:7" x14ac:dyDescent="0.2">
      <c r="A704" s="4">
        <v>2625</v>
      </c>
      <c r="B704" t="s">
        <v>0</v>
      </c>
      <c r="C704">
        <v>810</v>
      </c>
      <c r="D704">
        <v>2</v>
      </c>
      <c r="E704" t="s">
        <v>11</v>
      </c>
      <c r="F704" s="6"/>
      <c r="G704" s="7"/>
    </row>
    <row r="705" spans="1:7" x14ac:dyDescent="0.2">
      <c r="A705" s="4">
        <v>6665</v>
      </c>
      <c r="B705" t="s">
        <v>3</v>
      </c>
      <c r="C705">
        <v>1190</v>
      </c>
      <c r="D705">
        <v>2</v>
      </c>
      <c r="E705" t="s">
        <v>10</v>
      </c>
      <c r="F705" s="6"/>
      <c r="G705" s="7"/>
    </row>
    <row r="706" spans="1:7" x14ac:dyDescent="0.2">
      <c r="A706" s="4">
        <v>1970</v>
      </c>
      <c r="B706" t="s">
        <v>3</v>
      </c>
      <c r="C706">
        <v>860</v>
      </c>
      <c r="D706">
        <v>2</v>
      </c>
      <c r="E706" t="s">
        <v>10</v>
      </c>
      <c r="F706" s="6"/>
      <c r="G706" s="7"/>
    </row>
    <row r="707" spans="1:7" x14ac:dyDescent="0.2">
      <c r="A707" s="4">
        <v>1633</v>
      </c>
      <c r="B707" t="s">
        <v>5</v>
      </c>
      <c r="C707">
        <v>370</v>
      </c>
      <c r="D707">
        <v>2</v>
      </c>
      <c r="E707" t="s">
        <v>10</v>
      </c>
      <c r="F707" s="6"/>
      <c r="G707" s="7"/>
    </row>
    <row r="708" spans="1:7" x14ac:dyDescent="0.2">
      <c r="A708" s="4">
        <v>1642</v>
      </c>
      <c r="B708" t="s">
        <v>5</v>
      </c>
      <c r="C708">
        <v>768</v>
      </c>
      <c r="D708">
        <v>2</v>
      </c>
      <c r="E708" t="s">
        <v>11</v>
      </c>
      <c r="F708" s="6"/>
      <c r="G708" s="7"/>
    </row>
    <row r="709" spans="1:7" x14ac:dyDescent="0.2">
      <c r="A709" s="4">
        <v>2268</v>
      </c>
      <c r="B709" t="s">
        <v>3</v>
      </c>
      <c r="C709">
        <v>700</v>
      </c>
      <c r="D709">
        <v>2</v>
      </c>
      <c r="E709" t="s">
        <v>10</v>
      </c>
      <c r="F709" s="6"/>
      <c r="G709" s="7"/>
    </row>
    <row r="710" spans="1:7" x14ac:dyDescent="0.2">
      <c r="A710" s="4">
        <v>2030</v>
      </c>
      <c r="B710" t="s">
        <v>3</v>
      </c>
      <c r="C710">
        <v>400</v>
      </c>
      <c r="D710">
        <v>2</v>
      </c>
      <c r="E710" t="s">
        <v>11</v>
      </c>
      <c r="F710" s="6"/>
      <c r="G710" s="7"/>
    </row>
    <row r="711" spans="1:7" x14ac:dyDescent="0.2">
      <c r="A711" s="4">
        <v>2762</v>
      </c>
      <c r="B711" t="s">
        <v>2</v>
      </c>
      <c r="C711">
        <v>400</v>
      </c>
      <c r="D711">
        <v>2</v>
      </c>
      <c r="E711" t="s">
        <v>11</v>
      </c>
      <c r="F711" s="6"/>
      <c r="G711" s="7"/>
    </row>
    <row r="712" spans="1:7" x14ac:dyDescent="0.2">
      <c r="A712" s="4">
        <v>1775</v>
      </c>
      <c r="B712" t="s">
        <v>3</v>
      </c>
      <c r="C712">
        <v>400</v>
      </c>
      <c r="D712">
        <v>2</v>
      </c>
      <c r="E712" t="s">
        <v>10</v>
      </c>
      <c r="F712" s="6"/>
      <c r="G712" s="7"/>
    </row>
    <row r="713" spans="1:7" x14ac:dyDescent="0.2">
      <c r="A713" s="4">
        <v>1774</v>
      </c>
      <c r="B713" t="s">
        <v>3</v>
      </c>
      <c r="C713">
        <v>800</v>
      </c>
      <c r="D713">
        <v>2</v>
      </c>
      <c r="E713" t="s">
        <v>11</v>
      </c>
      <c r="F713" s="6"/>
      <c r="G713" s="7"/>
    </row>
    <row r="714" spans="1:7" x14ac:dyDescent="0.2">
      <c r="A714" s="4">
        <v>1629</v>
      </c>
      <c r="B714" t="s">
        <v>5</v>
      </c>
      <c r="C714">
        <v>400</v>
      </c>
      <c r="D714">
        <v>2</v>
      </c>
      <c r="E714" t="s">
        <v>11</v>
      </c>
      <c r="F714" s="6"/>
      <c r="G714" s="7"/>
    </row>
    <row r="715" spans="1:7" x14ac:dyDescent="0.2">
      <c r="A715" s="4">
        <v>1673</v>
      </c>
      <c r="B715" t="s">
        <v>5</v>
      </c>
      <c r="C715">
        <v>400</v>
      </c>
      <c r="D715">
        <v>2</v>
      </c>
      <c r="E715" t="s">
        <v>11</v>
      </c>
      <c r="F715" s="6"/>
      <c r="G715" s="7"/>
    </row>
    <row r="716" spans="1:7" x14ac:dyDescent="0.2">
      <c r="A716" s="4">
        <v>1899</v>
      </c>
      <c r="B716" t="s">
        <v>3</v>
      </c>
      <c r="C716">
        <v>1400</v>
      </c>
      <c r="D716">
        <v>2</v>
      </c>
      <c r="E716" t="s">
        <v>11</v>
      </c>
      <c r="F716" s="6"/>
      <c r="G716" s="7"/>
    </row>
    <row r="717" spans="1:7" x14ac:dyDescent="0.2">
      <c r="A717" s="4">
        <v>2084</v>
      </c>
      <c r="B717" t="s">
        <v>3</v>
      </c>
      <c r="C717">
        <v>400</v>
      </c>
      <c r="D717">
        <v>2</v>
      </c>
      <c r="E717" t="s">
        <v>10</v>
      </c>
      <c r="F717" s="6"/>
      <c r="G717" s="7"/>
    </row>
    <row r="718" spans="1:7" x14ac:dyDescent="0.2">
      <c r="A718" s="4">
        <v>2310</v>
      </c>
      <c r="B718" t="s">
        <v>0</v>
      </c>
      <c r="C718">
        <v>400</v>
      </c>
      <c r="D718">
        <v>2</v>
      </c>
      <c r="E718" t="s">
        <v>11</v>
      </c>
      <c r="F718" s="6"/>
      <c r="G718" s="7"/>
    </row>
    <row r="719" spans="1:7" x14ac:dyDescent="0.2">
      <c r="A719" s="4">
        <v>2316</v>
      </c>
      <c r="B719" t="s">
        <v>0</v>
      </c>
      <c r="C719">
        <v>400</v>
      </c>
      <c r="D719">
        <v>2</v>
      </c>
      <c r="E719" t="s">
        <v>11</v>
      </c>
      <c r="F719" s="6"/>
      <c r="G719" s="7"/>
    </row>
    <row r="720" spans="1:7" x14ac:dyDescent="0.2">
      <c r="A720" s="4">
        <v>2409</v>
      </c>
      <c r="B720" t="s">
        <v>0</v>
      </c>
      <c r="C720">
        <v>1100</v>
      </c>
      <c r="D720">
        <v>2</v>
      </c>
      <c r="E720" t="s">
        <v>11</v>
      </c>
      <c r="F720" s="6"/>
      <c r="G720" s="7"/>
    </row>
    <row r="721" spans="1:7" x14ac:dyDescent="0.2">
      <c r="A721" s="4">
        <v>2429</v>
      </c>
      <c r="B721" t="s">
        <v>0</v>
      </c>
      <c r="C721">
        <v>2400</v>
      </c>
      <c r="D721">
        <v>2</v>
      </c>
      <c r="E721" t="s">
        <v>11</v>
      </c>
      <c r="F721" s="6"/>
      <c r="G721" s="7"/>
    </row>
    <row r="722" spans="1:7" x14ac:dyDescent="0.2">
      <c r="A722" s="4">
        <v>2493</v>
      </c>
      <c r="B722" t="s">
        <v>0</v>
      </c>
      <c r="C722">
        <v>415</v>
      </c>
      <c r="D722">
        <v>2</v>
      </c>
      <c r="E722" t="s">
        <v>11</v>
      </c>
      <c r="F722" s="6"/>
      <c r="G722" s="7"/>
    </row>
    <row r="723" spans="1:7" x14ac:dyDescent="0.2">
      <c r="A723" s="4">
        <v>2655</v>
      </c>
      <c r="B723" t="s">
        <v>2</v>
      </c>
      <c r="C723">
        <v>1030</v>
      </c>
      <c r="D723">
        <v>2</v>
      </c>
      <c r="E723" t="s">
        <v>10</v>
      </c>
      <c r="F723" s="6"/>
      <c r="G723" s="7"/>
    </row>
    <row r="724" spans="1:7" x14ac:dyDescent="0.2">
      <c r="A724" s="4">
        <v>5027</v>
      </c>
      <c r="B724" t="s">
        <v>4</v>
      </c>
      <c r="C724">
        <v>436</v>
      </c>
      <c r="D724">
        <v>2</v>
      </c>
      <c r="E724" t="s">
        <v>11</v>
      </c>
      <c r="F724" s="6"/>
      <c r="G724" s="7"/>
    </row>
    <row r="725" spans="1:7" x14ac:dyDescent="0.2">
      <c r="A725" s="4">
        <v>2085</v>
      </c>
      <c r="B725" t="s">
        <v>3</v>
      </c>
      <c r="C725">
        <v>1124</v>
      </c>
      <c r="D725">
        <v>2</v>
      </c>
      <c r="E725" t="s">
        <v>10</v>
      </c>
      <c r="F725" s="6"/>
      <c r="G725" s="7"/>
    </row>
    <row r="726" spans="1:7" x14ac:dyDescent="0.2">
      <c r="A726" s="4">
        <v>3055</v>
      </c>
      <c r="B726" t="s">
        <v>1</v>
      </c>
      <c r="C726">
        <v>450</v>
      </c>
      <c r="D726">
        <v>2</v>
      </c>
      <c r="E726" t="s">
        <v>10</v>
      </c>
      <c r="F726" s="6"/>
      <c r="G726" s="7"/>
    </row>
    <row r="727" spans="1:7" x14ac:dyDescent="0.2">
      <c r="A727" s="4">
        <v>2005</v>
      </c>
      <c r="B727" t="s">
        <v>3</v>
      </c>
      <c r="C727">
        <v>450</v>
      </c>
      <c r="D727">
        <v>2</v>
      </c>
      <c r="E727" t="s">
        <v>10</v>
      </c>
      <c r="F727" s="6"/>
      <c r="G727" s="7"/>
    </row>
    <row r="728" spans="1:7" x14ac:dyDescent="0.2">
      <c r="A728" s="4">
        <v>5146</v>
      </c>
      <c r="B728" t="s">
        <v>4</v>
      </c>
      <c r="C728">
        <v>1650</v>
      </c>
      <c r="D728">
        <v>2</v>
      </c>
      <c r="E728" t="s">
        <v>11</v>
      </c>
      <c r="F728" s="6"/>
      <c r="G728" s="7"/>
    </row>
    <row r="729" spans="1:7" x14ac:dyDescent="0.2">
      <c r="A729" s="4">
        <v>6281</v>
      </c>
      <c r="B729" t="s">
        <v>1</v>
      </c>
      <c r="C729">
        <v>1160</v>
      </c>
      <c r="D729">
        <v>2</v>
      </c>
      <c r="E729" t="s">
        <v>11</v>
      </c>
      <c r="F729" s="6"/>
      <c r="G729" s="7"/>
    </row>
    <row r="730" spans="1:7" x14ac:dyDescent="0.2">
      <c r="A730" s="4">
        <v>1451</v>
      </c>
      <c r="B730" t="s">
        <v>4</v>
      </c>
      <c r="C730">
        <v>460</v>
      </c>
      <c r="D730">
        <v>2</v>
      </c>
      <c r="E730" t="s">
        <v>10</v>
      </c>
      <c r="F730" s="6"/>
      <c r="G730" s="7"/>
    </row>
    <row r="731" spans="1:7" x14ac:dyDescent="0.2">
      <c r="A731" s="4">
        <v>1600</v>
      </c>
      <c r="B731" t="s">
        <v>5</v>
      </c>
      <c r="C731">
        <v>960</v>
      </c>
      <c r="D731">
        <v>2</v>
      </c>
      <c r="E731" t="s">
        <v>11</v>
      </c>
      <c r="F731" s="6"/>
      <c r="G731" s="7"/>
    </row>
    <row r="732" spans="1:7" x14ac:dyDescent="0.2">
      <c r="A732" s="4">
        <v>6442</v>
      </c>
      <c r="B732" t="s">
        <v>3</v>
      </c>
      <c r="C732">
        <v>477</v>
      </c>
      <c r="D732">
        <v>2</v>
      </c>
      <c r="E732" t="s">
        <v>11</v>
      </c>
      <c r="F732" s="6"/>
      <c r="G732" s="7"/>
    </row>
    <row r="733" spans="1:7" x14ac:dyDescent="0.2">
      <c r="A733" s="4">
        <v>2067</v>
      </c>
      <c r="B733" t="s">
        <v>3</v>
      </c>
      <c r="C733">
        <v>480</v>
      </c>
      <c r="D733">
        <v>2</v>
      </c>
      <c r="E733" t="s">
        <v>11</v>
      </c>
      <c r="F733" s="6"/>
      <c r="G733" s="7"/>
    </row>
    <row r="734" spans="1:7" x14ac:dyDescent="0.2">
      <c r="A734" s="4">
        <v>3077</v>
      </c>
      <c r="B734" t="s">
        <v>1</v>
      </c>
      <c r="C734">
        <v>500</v>
      </c>
      <c r="D734">
        <v>2</v>
      </c>
      <c r="E734" t="s">
        <v>11</v>
      </c>
      <c r="F734" s="6"/>
      <c r="G734" s="7"/>
    </row>
    <row r="735" spans="1:7" x14ac:dyDescent="0.2">
      <c r="A735" s="4">
        <v>1572</v>
      </c>
      <c r="B735" t="s">
        <v>5</v>
      </c>
      <c r="C735">
        <v>500</v>
      </c>
      <c r="D735">
        <v>2</v>
      </c>
      <c r="E735" t="s">
        <v>11</v>
      </c>
      <c r="F735" s="6"/>
      <c r="G735" s="7"/>
    </row>
    <row r="736" spans="1:7" x14ac:dyDescent="0.2">
      <c r="A736" s="4">
        <v>1599</v>
      </c>
      <c r="B736" t="s">
        <v>5</v>
      </c>
      <c r="C736">
        <v>500</v>
      </c>
      <c r="D736">
        <v>2</v>
      </c>
      <c r="E736" t="s">
        <v>11</v>
      </c>
      <c r="F736" s="6"/>
      <c r="G736" s="7"/>
    </row>
    <row r="737" spans="1:7" x14ac:dyDescent="0.2">
      <c r="A737" s="4">
        <v>1605</v>
      </c>
      <c r="B737" t="s">
        <v>5</v>
      </c>
      <c r="C737">
        <v>500</v>
      </c>
      <c r="D737">
        <v>2</v>
      </c>
      <c r="E737" t="s">
        <v>10</v>
      </c>
      <c r="F737" s="6"/>
      <c r="G737" s="7"/>
    </row>
    <row r="738" spans="1:7" x14ac:dyDescent="0.2">
      <c r="A738" s="4">
        <v>1889</v>
      </c>
      <c r="B738" t="s">
        <v>3</v>
      </c>
      <c r="C738">
        <v>500</v>
      </c>
      <c r="D738">
        <v>2</v>
      </c>
      <c r="E738" t="s">
        <v>11</v>
      </c>
      <c r="F738" s="6"/>
      <c r="G738" s="7"/>
    </row>
    <row r="739" spans="1:7" x14ac:dyDescent="0.2">
      <c r="A739" s="4">
        <v>2121</v>
      </c>
      <c r="B739" t="s">
        <v>3</v>
      </c>
      <c r="C739">
        <v>580</v>
      </c>
      <c r="D739">
        <v>2</v>
      </c>
      <c r="E739" t="s">
        <v>11</v>
      </c>
      <c r="F739" s="6"/>
      <c r="G739" s="7"/>
    </row>
    <row r="740" spans="1:7" x14ac:dyDescent="0.2">
      <c r="A740" s="4">
        <v>2143</v>
      </c>
      <c r="B740" t="s">
        <v>3</v>
      </c>
      <c r="C740">
        <v>500</v>
      </c>
      <c r="D740">
        <v>2</v>
      </c>
      <c r="E740" t="s">
        <v>11</v>
      </c>
      <c r="F740" s="6"/>
      <c r="G740" s="7"/>
    </row>
    <row r="741" spans="1:7" x14ac:dyDescent="0.2">
      <c r="A741" s="4">
        <v>2290</v>
      </c>
      <c r="B741" t="s">
        <v>3</v>
      </c>
      <c r="C741">
        <v>500</v>
      </c>
      <c r="D741">
        <v>2</v>
      </c>
      <c r="E741" t="s">
        <v>11</v>
      </c>
      <c r="F741" s="6"/>
      <c r="G741" s="7"/>
    </row>
    <row r="742" spans="1:7" x14ac:dyDescent="0.2">
      <c r="A742" s="4">
        <v>2339</v>
      </c>
      <c r="B742" t="s">
        <v>0</v>
      </c>
      <c r="C742">
        <v>500</v>
      </c>
      <c r="D742">
        <v>2</v>
      </c>
      <c r="E742" t="s">
        <v>10</v>
      </c>
      <c r="F742" s="6"/>
      <c r="G742" s="7"/>
    </row>
    <row r="743" spans="1:7" x14ac:dyDescent="0.2">
      <c r="A743" s="4">
        <v>2712</v>
      </c>
      <c r="B743" t="s">
        <v>2</v>
      </c>
      <c r="C743">
        <v>500</v>
      </c>
      <c r="D743">
        <v>2</v>
      </c>
      <c r="E743" t="s">
        <v>11</v>
      </c>
      <c r="F743" s="6"/>
      <c r="G743" s="7"/>
    </row>
    <row r="744" spans="1:7" x14ac:dyDescent="0.2">
      <c r="A744" s="4">
        <v>2833</v>
      </c>
      <c r="B744" t="s">
        <v>2</v>
      </c>
      <c r="C744">
        <v>500</v>
      </c>
      <c r="D744">
        <v>2</v>
      </c>
      <c r="E744" t="s">
        <v>10</v>
      </c>
      <c r="F744" s="6"/>
      <c r="G744" s="7"/>
    </row>
    <row r="745" spans="1:7" x14ac:dyDescent="0.2">
      <c r="A745" s="4">
        <v>3052</v>
      </c>
      <c r="B745" t="s">
        <v>1</v>
      </c>
      <c r="C745">
        <v>800</v>
      </c>
      <c r="D745">
        <v>2</v>
      </c>
      <c r="E745" t="s">
        <v>10</v>
      </c>
      <c r="F745" s="6"/>
      <c r="G745" s="7"/>
    </row>
    <row r="746" spans="1:7" x14ac:dyDescent="0.2">
      <c r="A746" s="4">
        <v>3182</v>
      </c>
      <c r="B746" s="1" t="s">
        <v>1</v>
      </c>
      <c r="C746">
        <v>1700</v>
      </c>
      <c r="D746">
        <v>2</v>
      </c>
      <c r="E746" t="s">
        <v>11</v>
      </c>
      <c r="F746" s="6"/>
      <c r="G746" s="7"/>
    </row>
    <row r="747" spans="1:7" x14ac:dyDescent="0.2">
      <c r="A747" s="4">
        <v>5122</v>
      </c>
      <c r="B747" s="1" t="s">
        <v>4</v>
      </c>
      <c r="C747">
        <v>1250</v>
      </c>
      <c r="D747">
        <v>2</v>
      </c>
      <c r="E747" t="s">
        <v>10</v>
      </c>
      <c r="F747" s="6"/>
      <c r="G747" s="7"/>
    </row>
    <row r="748" spans="1:7" x14ac:dyDescent="0.2">
      <c r="A748" s="4">
        <v>5826</v>
      </c>
      <c r="B748" s="1" t="s">
        <v>2</v>
      </c>
      <c r="C748">
        <v>500</v>
      </c>
      <c r="D748">
        <v>2</v>
      </c>
      <c r="E748" t="s">
        <v>11</v>
      </c>
      <c r="F748" s="6"/>
      <c r="G748" s="7"/>
    </row>
    <row r="749" spans="1:7" x14ac:dyDescent="0.2">
      <c r="A749" s="4">
        <v>6042</v>
      </c>
      <c r="B749" s="1" t="s">
        <v>1</v>
      </c>
      <c r="C749">
        <v>2000</v>
      </c>
      <c r="D749">
        <v>2</v>
      </c>
      <c r="E749" t="s">
        <v>10</v>
      </c>
      <c r="F749" s="6"/>
      <c r="G749" s="7"/>
    </row>
    <row r="750" spans="1:7" x14ac:dyDescent="0.2">
      <c r="A750" s="4">
        <v>2669</v>
      </c>
      <c r="B750" s="1" t="s">
        <v>2</v>
      </c>
      <c r="C750">
        <v>840</v>
      </c>
      <c r="D750">
        <v>2</v>
      </c>
      <c r="E750" t="s">
        <v>11</v>
      </c>
      <c r="F750" s="6"/>
      <c r="G750" s="7"/>
    </row>
    <row r="751" spans="1:7" x14ac:dyDescent="0.2">
      <c r="A751" s="4">
        <v>3053</v>
      </c>
      <c r="B751" s="1" t="s">
        <v>1</v>
      </c>
      <c r="C751">
        <v>2520</v>
      </c>
      <c r="D751">
        <v>2</v>
      </c>
      <c r="E751" t="s">
        <v>10</v>
      </c>
      <c r="F751" s="6"/>
      <c r="G751" s="7"/>
    </row>
    <row r="752" spans="1:7" x14ac:dyDescent="0.2">
      <c r="A752" s="4">
        <v>3122</v>
      </c>
      <c r="B752" s="1" t="s">
        <v>1</v>
      </c>
      <c r="C752">
        <v>520</v>
      </c>
      <c r="D752">
        <v>2</v>
      </c>
      <c r="E752" t="s">
        <v>11</v>
      </c>
      <c r="F752" s="6"/>
      <c r="G752" s="7"/>
    </row>
    <row r="753" spans="1:7" x14ac:dyDescent="0.2">
      <c r="A753" s="4">
        <v>2482</v>
      </c>
      <c r="B753" s="1" t="s">
        <v>0</v>
      </c>
      <c r="C753">
        <v>2535</v>
      </c>
      <c r="D753">
        <v>2</v>
      </c>
      <c r="E753" t="s">
        <v>10</v>
      </c>
      <c r="F753" s="6"/>
      <c r="G753" s="7"/>
    </row>
    <row r="754" spans="1:7" x14ac:dyDescent="0.2">
      <c r="A754" s="4">
        <v>870</v>
      </c>
      <c r="B754" s="1" t="s">
        <v>4</v>
      </c>
      <c r="C754">
        <v>1053</v>
      </c>
      <c r="D754">
        <v>2</v>
      </c>
      <c r="E754" t="s">
        <v>10</v>
      </c>
      <c r="F754" s="6"/>
      <c r="G754" s="7"/>
    </row>
    <row r="755" spans="1:7" x14ac:dyDescent="0.2">
      <c r="A755" s="4">
        <v>6781</v>
      </c>
      <c r="B755" s="1" t="s">
        <v>3</v>
      </c>
      <c r="C755">
        <v>3340</v>
      </c>
      <c r="D755">
        <v>2</v>
      </c>
      <c r="E755" t="s">
        <v>10</v>
      </c>
      <c r="F755" s="6"/>
      <c r="G755" s="7"/>
    </row>
    <row r="756" spans="1:7" x14ac:dyDescent="0.2">
      <c r="A756" s="4">
        <v>2693</v>
      </c>
      <c r="B756" s="1" t="s">
        <v>2</v>
      </c>
      <c r="C756">
        <v>550</v>
      </c>
      <c r="D756">
        <v>2</v>
      </c>
      <c r="E756" t="s">
        <v>11</v>
      </c>
      <c r="F756" s="6"/>
      <c r="G756" s="7"/>
    </row>
    <row r="757" spans="1:7" x14ac:dyDescent="0.2">
      <c r="A757" s="4">
        <v>1907</v>
      </c>
      <c r="B757" s="1" t="s">
        <v>3</v>
      </c>
      <c r="C757">
        <v>1975</v>
      </c>
      <c r="D757">
        <v>2</v>
      </c>
      <c r="E757" t="s">
        <v>10</v>
      </c>
      <c r="F757" s="6"/>
      <c r="G757" s="7"/>
    </row>
    <row r="758" spans="1:7" x14ac:dyDescent="0.2">
      <c r="A758" s="4">
        <v>2690</v>
      </c>
      <c r="B758" s="1" t="s">
        <v>2</v>
      </c>
      <c r="C758">
        <v>1060</v>
      </c>
      <c r="D758">
        <v>2</v>
      </c>
      <c r="E758" t="s">
        <v>11</v>
      </c>
      <c r="F758" s="6"/>
      <c r="G758" s="7"/>
    </row>
    <row r="759" spans="1:7" x14ac:dyDescent="0.2">
      <c r="A759" s="4">
        <v>2086</v>
      </c>
      <c r="B759" s="1" t="s">
        <v>3</v>
      </c>
      <c r="C759">
        <v>570</v>
      </c>
      <c r="D759">
        <v>2</v>
      </c>
      <c r="E759" t="s">
        <v>10</v>
      </c>
      <c r="F759" s="6"/>
      <c r="G759" s="7"/>
    </row>
    <row r="760" spans="1:7" x14ac:dyDescent="0.2">
      <c r="A760" s="4">
        <v>1776</v>
      </c>
      <c r="B760" s="1" t="s">
        <v>3</v>
      </c>
      <c r="C760">
        <v>3600</v>
      </c>
      <c r="D760">
        <v>2</v>
      </c>
      <c r="E760" t="s">
        <v>10</v>
      </c>
      <c r="F760" s="6"/>
      <c r="G760" s="7"/>
    </row>
    <row r="761" spans="1:7" x14ac:dyDescent="0.2">
      <c r="A761" s="4">
        <v>6641</v>
      </c>
      <c r="B761" s="1" t="s">
        <v>3</v>
      </c>
      <c r="C761">
        <v>2600</v>
      </c>
      <c r="D761">
        <v>2</v>
      </c>
      <c r="E761" t="s">
        <v>10</v>
      </c>
      <c r="F761" s="6"/>
      <c r="G761" s="7"/>
    </row>
    <row r="762" spans="1:7" x14ac:dyDescent="0.2">
      <c r="A762" s="4">
        <v>536</v>
      </c>
      <c r="B762" s="1" t="s">
        <v>4</v>
      </c>
      <c r="C762">
        <v>1600</v>
      </c>
      <c r="D762">
        <v>2</v>
      </c>
      <c r="E762" t="s">
        <v>11</v>
      </c>
      <c r="F762" s="6"/>
      <c r="G762" s="7"/>
    </row>
    <row r="763" spans="1:7" x14ac:dyDescent="0.2">
      <c r="A763" s="4">
        <v>1262</v>
      </c>
      <c r="B763" s="1" t="s">
        <v>4</v>
      </c>
      <c r="C763">
        <v>5600</v>
      </c>
      <c r="D763">
        <v>2</v>
      </c>
      <c r="E763" t="s">
        <v>11</v>
      </c>
      <c r="F763" s="6"/>
      <c r="G763" s="7"/>
    </row>
    <row r="764" spans="1:7" x14ac:dyDescent="0.2">
      <c r="A764" s="4">
        <v>1637</v>
      </c>
      <c r="B764" s="1" t="s">
        <v>5</v>
      </c>
      <c r="C764">
        <v>600</v>
      </c>
      <c r="D764">
        <v>2</v>
      </c>
      <c r="E764" t="s">
        <v>11</v>
      </c>
      <c r="F764" s="6"/>
      <c r="G764" s="7"/>
    </row>
    <row r="765" spans="1:7" x14ac:dyDescent="0.2">
      <c r="A765" s="4">
        <v>2311</v>
      </c>
      <c r="B765" s="1" t="s">
        <v>0</v>
      </c>
      <c r="C765">
        <v>1150</v>
      </c>
      <c r="D765">
        <v>2</v>
      </c>
      <c r="E765" t="s">
        <v>11</v>
      </c>
      <c r="F765" s="6"/>
      <c r="G765" s="7"/>
    </row>
    <row r="766" spans="1:7" x14ac:dyDescent="0.2">
      <c r="A766" s="4">
        <v>2387</v>
      </c>
      <c r="B766" s="1" t="s">
        <v>0</v>
      </c>
      <c r="C766">
        <v>600</v>
      </c>
      <c r="D766">
        <v>2</v>
      </c>
      <c r="E766" t="s">
        <v>10</v>
      </c>
      <c r="F766" s="6"/>
      <c r="G766" s="7"/>
    </row>
    <row r="767" spans="1:7" x14ac:dyDescent="0.2">
      <c r="A767" s="4">
        <v>2476</v>
      </c>
      <c r="B767" s="1" t="s">
        <v>0</v>
      </c>
      <c r="C767">
        <v>600</v>
      </c>
      <c r="D767">
        <v>2</v>
      </c>
      <c r="E767" t="s">
        <v>11</v>
      </c>
      <c r="F767" s="6"/>
      <c r="G767" s="7"/>
    </row>
    <row r="768" spans="1:7" x14ac:dyDescent="0.2">
      <c r="A768" s="4">
        <v>2495</v>
      </c>
      <c r="B768" s="1" t="s">
        <v>0</v>
      </c>
      <c r="C768">
        <v>600</v>
      </c>
      <c r="D768">
        <v>2</v>
      </c>
      <c r="E768" t="s">
        <v>10</v>
      </c>
      <c r="F768" s="6"/>
      <c r="G768" s="7"/>
    </row>
    <row r="769" spans="1:7" x14ac:dyDescent="0.2">
      <c r="A769" s="4">
        <v>3170</v>
      </c>
      <c r="B769" s="1" t="s">
        <v>1</v>
      </c>
      <c r="C769">
        <v>750</v>
      </c>
      <c r="D769">
        <v>2</v>
      </c>
      <c r="E769" t="s">
        <v>10</v>
      </c>
      <c r="F769" s="6"/>
      <c r="G769" s="7"/>
    </row>
    <row r="770" spans="1:7" x14ac:dyDescent="0.2">
      <c r="A770" s="4">
        <v>3276</v>
      </c>
      <c r="B770" s="1" t="s">
        <v>1</v>
      </c>
      <c r="C770">
        <v>600</v>
      </c>
      <c r="D770">
        <v>2</v>
      </c>
      <c r="E770" t="s">
        <v>11</v>
      </c>
      <c r="F770" s="6"/>
      <c r="G770" s="7"/>
    </row>
    <row r="771" spans="1:7" x14ac:dyDescent="0.2">
      <c r="A771" s="4">
        <v>5046</v>
      </c>
      <c r="B771" s="1" t="s">
        <v>4</v>
      </c>
      <c r="C771">
        <v>600</v>
      </c>
      <c r="D771">
        <v>2</v>
      </c>
      <c r="E771" t="s">
        <v>10</v>
      </c>
      <c r="F771" s="6"/>
      <c r="G771" s="7"/>
    </row>
    <row r="772" spans="1:7" x14ac:dyDescent="0.2">
      <c r="A772" s="4">
        <v>5188</v>
      </c>
      <c r="B772" s="1" t="s">
        <v>4</v>
      </c>
      <c r="C772">
        <v>600</v>
      </c>
      <c r="D772">
        <v>2</v>
      </c>
      <c r="E772" t="s">
        <v>11</v>
      </c>
      <c r="F772" s="6"/>
      <c r="G772" s="7"/>
    </row>
    <row r="773" spans="1:7" x14ac:dyDescent="0.2">
      <c r="A773" s="4">
        <v>2764</v>
      </c>
      <c r="B773" s="1" t="s">
        <v>2</v>
      </c>
      <c r="C773">
        <v>2120</v>
      </c>
      <c r="D773">
        <v>2</v>
      </c>
      <c r="E773" t="s">
        <v>11</v>
      </c>
      <c r="F773" s="6"/>
      <c r="G773" s="7"/>
    </row>
    <row r="774" spans="1:7" x14ac:dyDescent="0.2">
      <c r="A774" s="4">
        <v>1298</v>
      </c>
      <c r="B774" s="1" t="s">
        <v>4</v>
      </c>
      <c r="C774">
        <v>1480</v>
      </c>
      <c r="D774">
        <v>2</v>
      </c>
      <c r="E774" t="s">
        <v>10</v>
      </c>
      <c r="F774" s="6"/>
      <c r="G774" s="7"/>
    </row>
    <row r="775" spans="1:7" x14ac:dyDescent="0.2">
      <c r="A775" s="4">
        <v>1761</v>
      </c>
      <c r="B775" s="1" t="s">
        <v>3</v>
      </c>
      <c r="C775">
        <v>650</v>
      </c>
      <c r="D775">
        <v>2</v>
      </c>
      <c r="E775" t="s">
        <v>11</v>
      </c>
      <c r="F775" s="6"/>
      <c r="G775" s="7"/>
    </row>
    <row r="776" spans="1:7" x14ac:dyDescent="0.2">
      <c r="A776" s="4">
        <v>3291</v>
      </c>
      <c r="B776" s="1" t="s">
        <v>1</v>
      </c>
      <c r="C776">
        <v>650</v>
      </c>
      <c r="D776">
        <v>2</v>
      </c>
      <c r="E776" t="s">
        <v>11</v>
      </c>
      <c r="F776" s="6"/>
      <c r="G776" s="7"/>
    </row>
    <row r="777" spans="1:7" x14ac:dyDescent="0.2">
      <c r="A777" s="4">
        <v>5047</v>
      </c>
      <c r="B777" s="1" t="s">
        <v>4</v>
      </c>
      <c r="C777">
        <v>650</v>
      </c>
      <c r="D777">
        <v>2</v>
      </c>
      <c r="E777" t="s">
        <v>11</v>
      </c>
      <c r="F777" s="6"/>
      <c r="G777" s="7"/>
    </row>
    <row r="778" spans="1:7" x14ac:dyDescent="0.2">
      <c r="A778" s="4">
        <v>1820</v>
      </c>
      <c r="B778" s="1" t="s">
        <v>3</v>
      </c>
      <c r="C778">
        <v>660</v>
      </c>
      <c r="D778">
        <v>2</v>
      </c>
      <c r="E778" t="s">
        <v>10</v>
      </c>
      <c r="F778" s="6"/>
      <c r="G778" s="7"/>
    </row>
    <row r="779" spans="1:7" x14ac:dyDescent="0.2">
      <c r="A779" s="4">
        <v>6246</v>
      </c>
      <c r="B779" s="1" t="s">
        <v>1</v>
      </c>
      <c r="C779">
        <v>660</v>
      </c>
      <c r="D779">
        <v>2</v>
      </c>
      <c r="E779" t="s">
        <v>10</v>
      </c>
      <c r="F779" s="6"/>
      <c r="G779" s="7"/>
    </row>
    <row r="780" spans="1:7" x14ac:dyDescent="0.2">
      <c r="A780" s="4">
        <v>2145</v>
      </c>
      <c r="B780" s="1" t="s">
        <v>3</v>
      </c>
      <c r="C780">
        <v>680</v>
      </c>
      <c r="D780">
        <v>2</v>
      </c>
      <c r="E780" t="s">
        <v>10</v>
      </c>
      <c r="F780" s="6"/>
      <c r="G780" s="7"/>
    </row>
    <row r="781" spans="1:7" x14ac:dyDescent="0.2">
      <c r="A781" s="4">
        <v>2782</v>
      </c>
      <c r="B781" s="1" t="s">
        <v>2</v>
      </c>
      <c r="C781">
        <v>689</v>
      </c>
      <c r="D781">
        <v>2</v>
      </c>
      <c r="E781" t="s">
        <v>11</v>
      </c>
      <c r="F781" s="6"/>
      <c r="G781" s="7"/>
    </row>
    <row r="782" spans="1:7" x14ac:dyDescent="0.2">
      <c r="A782" s="4">
        <v>2890</v>
      </c>
      <c r="B782" s="1" t="s">
        <v>1</v>
      </c>
      <c r="C782">
        <v>700</v>
      </c>
      <c r="D782">
        <v>2</v>
      </c>
      <c r="E782" t="s">
        <v>10</v>
      </c>
      <c r="F782" s="6"/>
      <c r="G782" s="7"/>
    </row>
    <row r="783" spans="1:7" x14ac:dyDescent="0.2">
      <c r="A783" s="4">
        <v>2365</v>
      </c>
      <c r="B783" s="1" t="s">
        <v>0</v>
      </c>
      <c r="C783">
        <v>3200</v>
      </c>
      <c r="D783">
        <v>2</v>
      </c>
      <c r="E783" t="s">
        <v>11</v>
      </c>
      <c r="F783" s="6"/>
      <c r="G783" s="7"/>
    </row>
    <row r="784" spans="1:7" x14ac:dyDescent="0.2">
      <c r="A784" s="4">
        <v>915</v>
      </c>
      <c r="B784" s="1" t="s">
        <v>4</v>
      </c>
      <c r="C784">
        <v>1400</v>
      </c>
      <c r="D784">
        <v>2</v>
      </c>
      <c r="E784" t="s">
        <v>10</v>
      </c>
      <c r="F784" s="6"/>
      <c r="G784" s="7"/>
    </row>
    <row r="785" spans="1:7" x14ac:dyDescent="0.2">
      <c r="A785" s="4">
        <v>1569</v>
      </c>
      <c r="B785" s="1" t="s">
        <v>5</v>
      </c>
      <c r="C785">
        <v>1400</v>
      </c>
      <c r="D785">
        <v>2</v>
      </c>
      <c r="E785" t="s">
        <v>11</v>
      </c>
      <c r="F785" s="6"/>
      <c r="G785" s="7"/>
    </row>
    <row r="786" spans="1:7" x14ac:dyDescent="0.2">
      <c r="A786" s="4">
        <v>1595</v>
      </c>
      <c r="B786" s="1" t="s">
        <v>5</v>
      </c>
      <c r="C786">
        <v>700</v>
      </c>
      <c r="D786">
        <v>2</v>
      </c>
      <c r="E786" t="s">
        <v>11</v>
      </c>
      <c r="F786" s="6"/>
      <c r="G786" s="7"/>
    </row>
    <row r="787" spans="1:7" x14ac:dyDescent="0.2">
      <c r="A787" s="4">
        <v>1896</v>
      </c>
      <c r="B787" s="1" t="s">
        <v>3</v>
      </c>
      <c r="C787">
        <v>700</v>
      </c>
      <c r="D787">
        <v>2</v>
      </c>
      <c r="E787" t="s">
        <v>11</v>
      </c>
      <c r="F787" s="6"/>
      <c r="G787" s="7"/>
    </row>
    <row r="788" spans="1:7" x14ac:dyDescent="0.2">
      <c r="A788" s="4">
        <v>2040</v>
      </c>
      <c r="B788" s="1" t="s">
        <v>3</v>
      </c>
      <c r="C788">
        <v>700</v>
      </c>
      <c r="D788">
        <v>2</v>
      </c>
      <c r="E788" t="s">
        <v>11</v>
      </c>
      <c r="F788" s="6"/>
      <c r="G788" s="7"/>
    </row>
    <row r="789" spans="1:7" x14ac:dyDescent="0.2">
      <c r="A789" s="4">
        <v>2076</v>
      </c>
      <c r="B789" s="1" t="s">
        <v>3</v>
      </c>
      <c r="C789">
        <v>1000</v>
      </c>
      <c r="D789">
        <v>2</v>
      </c>
      <c r="E789" t="s">
        <v>11</v>
      </c>
      <c r="F789" s="6"/>
      <c r="G789" s="7"/>
    </row>
    <row r="790" spans="1:7" x14ac:dyDescent="0.2">
      <c r="A790" s="4">
        <v>2089</v>
      </c>
      <c r="B790" s="1" t="s">
        <v>3</v>
      </c>
      <c r="C790">
        <v>700</v>
      </c>
      <c r="D790">
        <v>2</v>
      </c>
      <c r="E790" t="s">
        <v>11</v>
      </c>
      <c r="F790" s="6"/>
      <c r="G790" s="7"/>
    </row>
    <row r="791" spans="1:7" x14ac:dyDescent="0.2">
      <c r="A791" s="4">
        <v>2103</v>
      </c>
      <c r="B791" s="1" t="s">
        <v>3</v>
      </c>
      <c r="C791">
        <v>700</v>
      </c>
      <c r="D791">
        <v>2</v>
      </c>
      <c r="E791" t="s">
        <v>11</v>
      </c>
      <c r="F791" s="6"/>
      <c r="G791" s="7"/>
    </row>
    <row r="792" spans="1:7" x14ac:dyDescent="0.2">
      <c r="A792" s="4">
        <v>2395</v>
      </c>
      <c r="B792" s="1" t="s">
        <v>0</v>
      </c>
      <c r="C792">
        <v>700</v>
      </c>
      <c r="D792">
        <v>2</v>
      </c>
      <c r="E792" t="s">
        <v>10</v>
      </c>
      <c r="F792" s="6"/>
      <c r="G792" s="7"/>
    </row>
    <row r="793" spans="1:7" x14ac:dyDescent="0.2">
      <c r="A793" s="4">
        <v>5048</v>
      </c>
      <c r="B793" s="1" t="s">
        <v>4</v>
      </c>
      <c r="C793">
        <v>1700</v>
      </c>
      <c r="D793">
        <v>2</v>
      </c>
      <c r="E793" t="s">
        <v>10</v>
      </c>
      <c r="F793" s="6"/>
      <c r="G793" s="7"/>
    </row>
    <row r="794" spans="1:7" x14ac:dyDescent="0.2">
      <c r="A794" s="4">
        <v>1578</v>
      </c>
      <c r="B794" s="1" t="s">
        <v>5</v>
      </c>
      <c r="C794">
        <v>1000</v>
      </c>
      <c r="D794">
        <v>2</v>
      </c>
      <c r="E794" t="s">
        <v>11</v>
      </c>
      <c r="F794" s="6"/>
      <c r="G794" s="7"/>
    </row>
    <row r="795" spans="1:7" x14ac:dyDescent="0.2">
      <c r="A795" s="4">
        <v>2628</v>
      </c>
      <c r="B795" s="1" t="s">
        <v>0</v>
      </c>
      <c r="C795">
        <v>1250</v>
      </c>
      <c r="D795">
        <v>2</v>
      </c>
      <c r="E795" t="s">
        <v>11</v>
      </c>
      <c r="F795" s="6"/>
      <c r="G795" s="7"/>
    </row>
    <row r="796" spans="1:7" x14ac:dyDescent="0.2">
      <c r="A796" s="4">
        <v>5049</v>
      </c>
      <c r="B796" s="1" t="s">
        <v>4</v>
      </c>
      <c r="C796">
        <v>750</v>
      </c>
      <c r="D796">
        <v>2</v>
      </c>
      <c r="E796" t="s">
        <v>11</v>
      </c>
      <c r="F796" s="6"/>
      <c r="G796" s="7"/>
    </row>
    <row r="797" spans="1:7" x14ac:dyDescent="0.2">
      <c r="A797" s="4">
        <v>5823</v>
      </c>
      <c r="B797" s="1" t="s">
        <v>2</v>
      </c>
      <c r="C797">
        <v>810</v>
      </c>
      <c r="D797">
        <v>2</v>
      </c>
      <c r="E797" t="s">
        <v>11</v>
      </c>
      <c r="F797" s="6"/>
      <c r="G797" s="7"/>
    </row>
    <row r="798" spans="1:7" x14ac:dyDescent="0.2">
      <c r="A798" s="4">
        <v>5041</v>
      </c>
      <c r="B798" s="1" t="s">
        <v>4</v>
      </c>
      <c r="C798">
        <v>760</v>
      </c>
      <c r="D798">
        <v>2</v>
      </c>
      <c r="E798" t="s">
        <v>11</v>
      </c>
      <c r="F798" s="6"/>
      <c r="G798" s="7"/>
    </row>
    <row r="799" spans="1:7" x14ac:dyDescent="0.2">
      <c r="A799" s="4">
        <v>1763</v>
      </c>
      <c r="B799" s="1" t="s">
        <v>3</v>
      </c>
      <c r="C799">
        <v>2160</v>
      </c>
      <c r="D799">
        <v>2</v>
      </c>
      <c r="E799" t="s">
        <v>11</v>
      </c>
      <c r="F799" s="6"/>
      <c r="G799" s="7"/>
    </row>
    <row r="800" spans="1:7" x14ac:dyDescent="0.2">
      <c r="A800" s="4">
        <v>2193</v>
      </c>
      <c r="B800" s="1" t="s">
        <v>3</v>
      </c>
      <c r="C800">
        <v>800</v>
      </c>
      <c r="D800">
        <v>2</v>
      </c>
      <c r="E800" t="s">
        <v>10</v>
      </c>
      <c r="F800" s="6"/>
      <c r="G800" s="7"/>
    </row>
    <row r="801" spans="1:7" x14ac:dyDescent="0.2">
      <c r="A801" s="4">
        <v>2889</v>
      </c>
      <c r="B801" s="1" t="s">
        <v>1</v>
      </c>
      <c r="C801">
        <v>800</v>
      </c>
      <c r="D801">
        <v>2</v>
      </c>
      <c r="E801" t="s">
        <v>10</v>
      </c>
      <c r="F801" s="6"/>
      <c r="G801" s="7"/>
    </row>
    <row r="802" spans="1:7" x14ac:dyDescent="0.2">
      <c r="A802" s="4">
        <v>458</v>
      </c>
      <c r="B802" s="1" t="s">
        <v>4</v>
      </c>
      <c r="C802">
        <v>800</v>
      </c>
      <c r="D802">
        <v>2</v>
      </c>
      <c r="E802" t="s">
        <v>11</v>
      </c>
      <c r="F802" s="6"/>
      <c r="G802" s="7"/>
    </row>
    <row r="803" spans="1:7" x14ac:dyDescent="0.2">
      <c r="A803" s="4">
        <v>1521</v>
      </c>
      <c r="B803" s="1" t="s">
        <v>5</v>
      </c>
      <c r="C803">
        <v>1500</v>
      </c>
      <c r="D803">
        <v>2</v>
      </c>
      <c r="E803" t="s">
        <v>11</v>
      </c>
      <c r="F803" s="6"/>
      <c r="G803" s="7"/>
    </row>
    <row r="804" spans="1:7" x14ac:dyDescent="0.2">
      <c r="A804" s="4">
        <v>2011</v>
      </c>
      <c r="B804" s="1" t="s">
        <v>3</v>
      </c>
      <c r="C804">
        <v>1800</v>
      </c>
      <c r="D804">
        <v>2</v>
      </c>
      <c r="E804" t="s">
        <v>10</v>
      </c>
      <c r="F804" s="6"/>
      <c r="G804" s="7"/>
    </row>
    <row r="805" spans="1:7" x14ac:dyDescent="0.2">
      <c r="A805" s="4">
        <v>2147</v>
      </c>
      <c r="B805" s="1" t="s">
        <v>3</v>
      </c>
      <c r="C805">
        <v>1500</v>
      </c>
      <c r="D805">
        <v>2</v>
      </c>
      <c r="E805" t="s">
        <v>10</v>
      </c>
      <c r="F805" s="6"/>
      <c r="G805" s="7"/>
    </row>
    <row r="806" spans="1:7" x14ac:dyDescent="0.2">
      <c r="A806" s="4">
        <v>2304</v>
      </c>
      <c r="B806" s="1" t="s">
        <v>0</v>
      </c>
      <c r="C806">
        <v>800</v>
      </c>
      <c r="D806">
        <v>2</v>
      </c>
      <c r="E806" t="s">
        <v>10</v>
      </c>
      <c r="F806" s="6"/>
      <c r="G806" s="7"/>
    </row>
    <row r="807" spans="1:7" x14ac:dyDescent="0.2">
      <c r="A807" s="4">
        <v>3202</v>
      </c>
      <c r="B807" s="1" t="s">
        <v>1</v>
      </c>
      <c r="C807">
        <v>800</v>
      </c>
      <c r="D807">
        <v>2</v>
      </c>
      <c r="E807" t="s">
        <v>11</v>
      </c>
      <c r="F807" s="6"/>
      <c r="G807" s="7"/>
    </row>
    <row r="808" spans="1:7" x14ac:dyDescent="0.2">
      <c r="A808" s="4">
        <v>5141</v>
      </c>
      <c r="B808" s="1" t="s">
        <v>4</v>
      </c>
      <c r="C808">
        <v>4300</v>
      </c>
      <c r="D808">
        <v>2</v>
      </c>
      <c r="E808" t="s">
        <v>10</v>
      </c>
      <c r="F808" s="6"/>
      <c r="G808" s="7"/>
    </row>
    <row r="809" spans="1:7" x14ac:dyDescent="0.2">
      <c r="A809" s="4">
        <v>2025</v>
      </c>
      <c r="B809" s="1" t="s">
        <v>3</v>
      </c>
      <c r="C809">
        <v>870</v>
      </c>
      <c r="D809">
        <v>2</v>
      </c>
      <c r="E809" t="s">
        <v>10</v>
      </c>
      <c r="F809" s="6"/>
      <c r="G809" s="7"/>
    </row>
    <row r="810" spans="1:7" x14ac:dyDescent="0.2">
      <c r="A810" s="4">
        <v>6443</v>
      </c>
      <c r="B810" s="1" t="s">
        <v>3</v>
      </c>
      <c r="C810">
        <v>900</v>
      </c>
      <c r="D810">
        <v>2</v>
      </c>
      <c r="E810" t="s">
        <v>10</v>
      </c>
      <c r="F810" s="6"/>
      <c r="G810" s="7"/>
    </row>
    <row r="811" spans="1:7" x14ac:dyDescent="0.2">
      <c r="A811" s="4">
        <v>839</v>
      </c>
      <c r="B811" s="1" t="s">
        <v>4</v>
      </c>
      <c r="C811">
        <v>900</v>
      </c>
      <c r="D811">
        <v>2</v>
      </c>
      <c r="E811" t="s">
        <v>10</v>
      </c>
      <c r="F811" s="6"/>
      <c r="G811" s="7"/>
    </row>
    <row r="812" spans="1:7" x14ac:dyDescent="0.2">
      <c r="A812" s="4">
        <v>1780</v>
      </c>
      <c r="B812" s="1" t="s">
        <v>3</v>
      </c>
      <c r="C812">
        <v>2900</v>
      </c>
      <c r="D812">
        <v>2</v>
      </c>
      <c r="E812" t="s">
        <v>11</v>
      </c>
      <c r="F812" s="6"/>
      <c r="G812" s="7"/>
    </row>
    <row r="813" spans="1:7" x14ac:dyDescent="0.2">
      <c r="A813" s="4">
        <v>1802</v>
      </c>
      <c r="B813" s="1" t="s">
        <v>3</v>
      </c>
      <c r="C813">
        <v>900</v>
      </c>
      <c r="D813">
        <v>2</v>
      </c>
      <c r="E813" t="s">
        <v>11</v>
      </c>
      <c r="F813" s="6"/>
      <c r="G813" s="7"/>
    </row>
    <row r="814" spans="1:7" x14ac:dyDescent="0.2">
      <c r="A814" s="4">
        <v>2091</v>
      </c>
      <c r="B814" s="1" t="s">
        <v>3</v>
      </c>
      <c r="C814">
        <v>900</v>
      </c>
      <c r="D814">
        <v>2</v>
      </c>
      <c r="E814" t="s">
        <v>10</v>
      </c>
      <c r="F814" s="6"/>
      <c r="G814" s="7"/>
    </row>
    <row r="815" spans="1:7" x14ac:dyDescent="0.2">
      <c r="A815" s="4">
        <v>5001</v>
      </c>
      <c r="B815" s="1" t="s">
        <v>4</v>
      </c>
      <c r="C815">
        <v>900</v>
      </c>
      <c r="D815">
        <v>2</v>
      </c>
      <c r="E815" t="s">
        <v>11</v>
      </c>
      <c r="F815" s="6"/>
      <c r="G815" s="7"/>
    </row>
    <row r="816" spans="1:7" x14ac:dyDescent="0.2">
      <c r="A816" s="4">
        <v>1992</v>
      </c>
      <c r="B816" s="1" t="s">
        <v>3</v>
      </c>
      <c r="C816" s="1">
        <v>1500</v>
      </c>
      <c r="D816">
        <v>2</v>
      </c>
      <c r="E816" t="s">
        <v>10</v>
      </c>
      <c r="F816" s="6"/>
      <c r="G816" s="7"/>
    </row>
    <row r="817" spans="1:7" x14ac:dyDescent="0.2">
      <c r="A817" s="4">
        <v>2636</v>
      </c>
      <c r="B817" s="1" t="s">
        <v>0</v>
      </c>
      <c r="C817" s="1">
        <v>1000</v>
      </c>
      <c r="D817">
        <v>2</v>
      </c>
      <c r="E817" t="s">
        <v>11</v>
      </c>
      <c r="F817" s="6"/>
      <c r="G817" s="7"/>
    </row>
    <row r="818" spans="1:7" x14ac:dyDescent="0.2">
      <c r="A818" s="4">
        <v>961</v>
      </c>
      <c r="B818" t="s">
        <v>4</v>
      </c>
      <c r="C818" s="1">
        <v>2000</v>
      </c>
      <c r="D818">
        <v>2</v>
      </c>
      <c r="E818" t="s">
        <v>10</v>
      </c>
      <c r="F818" s="6"/>
      <c r="G818" s="7"/>
    </row>
    <row r="819" spans="1:7" x14ac:dyDescent="0.2">
      <c r="A819" s="4">
        <v>2003</v>
      </c>
      <c r="B819" t="s">
        <v>3</v>
      </c>
      <c r="C819" s="1">
        <v>3000</v>
      </c>
      <c r="D819">
        <v>2</v>
      </c>
      <c r="E819" t="s">
        <v>10</v>
      </c>
      <c r="F819" s="6"/>
      <c r="G819" s="7"/>
    </row>
    <row r="820" spans="1:7" x14ac:dyDescent="0.2">
      <c r="A820" s="4">
        <v>2379</v>
      </c>
      <c r="B820" t="s">
        <v>0</v>
      </c>
      <c r="C820" s="1">
        <v>1000</v>
      </c>
      <c r="D820">
        <v>2</v>
      </c>
      <c r="E820" t="s">
        <v>10</v>
      </c>
      <c r="F820" s="6"/>
      <c r="G820" s="7"/>
    </row>
    <row r="821" spans="1:7" x14ac:dyDescent="0.2">
      <c r="A821" s="4">
        <v>2466</v>
      </c>
      <c r="B821" t="s">
        <v>0</v>
      </c>
      <c r="C821" s="1">
        <v>1000</v>
      </c>
      <c r="D821">
        <v>2</v>
      </c>
      <c r="E821" t="s">
        <v>11</v>
      </c>
      <c r="F821" s="6"/>
      <c r="G821" s="7"/>
    </row>
    <row r="822" spans="1:7" x14ac:dyDescent="0.2">
      <c r="A822" s="4">
        <v>2574</v>
      </c>
      <c r="B822" t="s">
        <v>0</v>
      </c>
      <c r="C822" s="1">
        <v>1000</v>
      </c>
      <c r="D822">
        <v>2</v>
      </c>
      <c r="E822" t="s">
        <v>10</v>
      </c>
      <c r="F822" s="6"/>
      <c r="G822" s="7"/>
    </row>
    <row r="823" spans="1:7" x14ac:dyDescent="0.2">
      <c r="A823" s="4">
        <v>2747</v>
      </c>
      <c r="B823" t="s">
        <v>2</v>
      </c>
      <c r="C823" s="1">
        <v>1000</v>
      </c>
      <c r="D823">
        <v>2</v>
      </c>
      <c r="E823" t="s">
        <v>10</v>
      </c>
      <c r="F823" s="6"/>
      <c r="G823" s="7"/>
    </row>
    <row r="824" spans="1:7" x14ac:dyDescent="0.2">
      <c r="A824" s="4">
        <v>2771</v>
      </c>
      <c r="B824" t="s">
        <v>2</v>
      </c>
      <c r="C824" s="1">
        <v>1000</v>
      </c>
      <c r="D824">
        <v>2</v>
      </c>
      <c r="E824" t="s">
        <v>11</v>
      </c>
      <c r="F824" s="6"/>
      <c r="G824" s="7"/>
    </row>
    <row r="825" spans="1:7" x14ac:dyDescent="0.2">
      <c r="A825" s="4">
        <v>3056</v>
      </c>
      <c r="B825" t="s">
        <v>1</v>
      </c>
      <c r="C825" s="1">
        <v>1000</v>
      </c>
      <c r="D825">
        <v>2</v>
      </c>
      <c r="E825" t="s">
        <v>10</v>
      </c>
      <c r="F825" s="6"/>
      <c r="G825" s="7"/>
    </row>
    <row r="826" spans="1:7" x14ac:dyDescent="0.2">
      <c r="A826" s="4">
        <v>3205</v>
      </c>
      <c r="B826" t="s">
        <v>1</v>
      </c>
      <c r="C826" s="1">
        <v>1000</v>
      </c>
      <c r="D826">
        <v>2</v>
      </c>
      <c r="E826" t="s">
        <v>11</v>
      </c>
      <c r="F826" s="6"/>
      <c r="G826" s="7"/>
    </row>
    <row r="827" spans="1:7" x14ac:dyDescent="0.2">
      <c r="A827" s="4">
        <v>6282</v>
      </c>
      <c r="B827" t="s">
        <v>1</v>
      </c>
      <c r="C827" s="1">
        <v>1000</v>
      </c>
      <c r="D827">
        <v>2</v>
      </c>
      <c r="E827" t="s">
        <v>11</v>
      </c>
      <c r="F827" s="6"/>
      <c r="G827" s="7"/>
    </row>
    <row r="828" spans="1:7" x14ac:dyDescent="0.2">
      <c r="A828" s="4">
        <v>6982</v>
      </c>
      <c r="B828" t="s">
        <v>3</v>
      </c>
      <c r="C828" s="1">
        <v>1000</v>
      </c>
      <c r="D828">
        <v>2</v>
      </c>
      <c r="E828" t="s">
        <v>11</v>
      </c>
      <c r="F828" s="6"/>
      <c r="G828" s="7"/>
    </row>
    <row r="829" spans="1:7" x14ac:dyDescent="0.2">
      <c r="A829" s="4">
        <v>1565</v>
      </c>
      <c r="B829" t="s">
        <v>5</v>
      </c>
      <c r="C829" s="1">
        <v>1015</v>
      </c>
      <c r="D829">
        <v>2</v>
      </c>
      <c r="E829" t="s">
        <v>11</v>
      </c>
      <c r="F829" s="6"/>
      <c r="G829" s="7"/>
    </row>
    <row r="830" spans="1:7" x14ac:dyDescent="0.2">
      <c r="A830" s="4">
        <v>2113</v>
      </c>
      <c r="B830" t="s">
        <v>3</v>
      </c>
      <c r="C830" s="1">
        <v>1707</v>
      </c>
      <c r="D830">
        <v>2</v>
      </c>
      <c r="E830" t="s">
        <v>11</v>
      </c>
      <c r="F830" s="6"/>
      <c r="G830" s="7"/>
    </row>
    <row r="831" spans="1:7" x14ac:dyDescent="0.2">
      <c r="A831" s="4">
        <v>2850</v>
      </c>
      <c r="B831" t="s">
        <v>2</v>
      </c>
      <c r="C831" s="1">
        <v>1094</v>
      </c>
      <c r="D831">
        <v>2</v>
      </c>
      <c r="E831" t="s">
        <v>10</v>
      </c>
      <c r="F831" s="6"/>
      <c r="G831" s="7"/>
    </row>
    <row r="832" spans="1:7" x14ac:dyDescent="0.2">
      <c r="A832" s="4">
        <v>1890</v>
      </c>
      <c r="B832" t="s">
        <v>3</v>
      </c>
      <c r="C832" s="1">
        <v>1167</v>
      </c>
      <c r="D832">
        <v>2</v>
      </c>
      <c r="E832" t="s">
        <v>11</v>
      </c>
      <c r="F832" s="6"/>
      <c r="G832" s="7"/>
    </row>
    <row r="833" spans="1:7" x14ac:dyDescent="0.2">
      <c r="A833" s="4">
        <v>2397</v>
      </c>
      <c r="B833" t="s">
        <v>0</v>
      </c>
      <c r="C833" s="1">
        <v>2000</v>
      </c>
      <c r="D833">
        <v>2</v>
      </c>
      <c r="E833" t="s">
        <v>11</v>
      </c>
      <c r="F833" s="6"/>
      <c r="G833" s="7"/>
    </row>
    <row r="834" spans="1:7" x14ac:dyDescent="0.2">
      <c r="A834" s="4">
        <v>2612</v>
      </c>
      <c r="B834" t="s">
        <v>0</v>
      </c>
      <c r="C834" s="1">
        <v>1200</v>
      </c>
      <c r="D834">
        <v>2</v>
      </c>
      <c r="E834" t="s">
        <v>10</v>
      </c>
      <c r="F834" s="6"/>
      <c r="G834" s="7"/>
    </row>
    <row r="835" spans="1:7" x14ac:dyDescent="0.2">
      <c r="A835" s="4">
        <v>5005</v>
      </c>
      <c r="B835" t="s">
        <v>4</v>
      </c>
      <c r="C835" s="1">
        <v>1200</v>
      </c>
      <c r="D835">
        <v>2</v>
      </c>
      <c r="E835" t="s">
        <v>10</v>
      </c>
      <c r="F835" s="6"/>
      <c r="G835" s="7"/>
    </row>
    <row r="836" spans="1:7" x14ac:dyDescent="0.2">
      <c r="A836" s="4">
        <v>5461</v>
      </c>
      <c r="B836" t="s">
        <v>0</v>
      </c>
      <c r="C836" s="1">
        <v>6200</v>
      </c>
      <c r="D836">
        <v>2</v>
      </c>
      <c r="E836" t="s">
        <v>10</v>
      </c>
      <c r="F836" s="6"/>
      <c r="G836" s="7"/>
    </row>
    <row r="837" spans="1:7" x14ac:dyDescent="0.2">
      <c r="A837" s="4">
        <v>3128</v>
      </c>
      <c r="B837" t="s">
        <v>1</v>
      </c>
      <c r="C837" s="1">
        <v>1230</v>
      </c>
      <c r="D837">
        <v>2</v>
      </c>
      <c r="E837" t="s">
        <v>10</v>
      </c>
      <c r="F837" s="6"/>
      <c r="G837" s="7"/>
    </row>
    <row r="838" spans="1:7" x14ac:dyDescent="0.2">
      <c r="A838" s="4">
        <v>1666</v>
      </c>
      <c r="B838" t="s">
        <v>5</v>
      </c>
      <c r="C838" s="1">
        <v>1300</v>
      </c>
      <c r="D838">
        <v>2</v>
      </c>
      <c r="E838" t="s">
        <v>10</v>
      </c>
      <c r="F838" s="6"/>
      <c r="G838" s="7"/>
    </row>
    <row r="839" spans="1:7" x14ac:dyDescent="0.2">
      <c r="A839" s="4">
        <v>1551</v>
      </c>
      <c r="B839" t="s">
        <v>5</v>
      </c>
      <c r="C839" s="1">
        <v>1350</v>
      </c>
      <c r="D839">
        <v>2</v>
      </c>
      <c r="E839" t="s">
        <v>11</v>
      </c>
      <c r="F839" s="6"/>
      <c r="G839" s="7"/>
    </row>
    <row r="840" spans="1:7" x14ac:dyDescent="0.2">
      <c r="A840" s="4">
        <v>2683</v>
      </c>
      <c r="B840" t="s">
        <v>2</v>
      </c>
      <c r="C840" s="1">
        <v>1400</v>
      </c>
      <c r="D840">
        <v>2</v>
      </c>
      <c r="E840" t="s">
        <v>10</v>
      </c>
      <c r="F840" s="6"/>
      <c r="G840" s="7"/>
    </row>
    <row r="841" spans="1:7" x14ac:dyDescent="0.2">
      <c r="A841" s="4">
        <v>2490</v>
      </c>
      <c r="B841" t="s">
        <v>0</v>
      </c>
      <c r="C841" s="1">
        <v>2475</v>
      </c>
      <c r="D841">
        <v>2</v>
      </c>
      <c r="E841" t="s">
        <v>11</v>
      </c>
      <c r="F841" s="6"/>
      <c r="G841" s="7"/>
    </row>
    <row r="842" spans="1:7" x14ac:dyDescent="0.2">
      <c r="A842" s="4">
        <v>2886</v>
      </c>
      <c r="B842" t="s">
        <v>1</v>
      </c>
      <c r="C842" s="1">
        <v>1500</v>
      </c>
      <c r="D842">
        <v>2</v>
      </c>
      <c r="E842" t="s">
        <v>11</v>
      </c>
      <c r="F842" s="6"/>
      <c r="G842" s="7"/>
    </row>
    <row r="843" spans="1:7" x14ac:dyDescent="0.2">
      <c r="A843" s="4">
        <v>1724</v>
      </c>
      <c r="B843" t="s">
        <v>3</v>
      </c>
      <c r="C843" s="1">
        <v>5500</v>
      </c>
      <c r="D843">
        <v>2</v>
      </c>
      <c r="E843" t="s">
        <v>11</v>
      </c>
      <c r="F843" s="6"/>
      <c r="G843" s="7"/>
    </row>
    <row r="844" spans="1:7" x14ac:dyDescent="0.2">
      <c r="A844" s="4">
        <v>1657</v>
      </c>
      <c r="B844" t="s">
        <v>5</v>
      </c>
      <c r="C844" s="1">
        <v>1500</v>
      </c>
      <c r="D844">
        <v>2</v>
      </c>
      <c r="E844" t="s">
        <v>11</v>
      </c>
      <c r="F844" s="6"/>
      <c r="G844" s="7"/>
    </row>
    <row r="845" spans="1:7" x14ac:dyDescent="0.2">
      <c r="A845" s="4">
        <v>1754</v>
      </c>
      <c r="B845" t="s">
        <v>3</v>
      </c>
      <c r="C845" s="1">
        <v>2700</v>
      </c>
      <c r="D845">
        <v>2</v>
      </c>
      <c r="E845" t="s">
        <v>11</v>
      </c>
      <c r="F845" s="6"/>
      <c r="G845" s="7"/>
    </row>
    <row r="846" spans="1:7" x14ac:dyDescent="0.2">
      <c r="A846" s="4">
        <v>1816</v>
      </c>
      <c r="B846" t="s">
        <v>3</v>
      </c>
      <c r="C846" s="1">
        <v>1500</v>
      </c>
      <c r="D846">
        <v>2</v>
      </c>
      <c r="E846" t="s">
        <v>11</v>
      </c>
      <c r="F846" s="6"/>
      <c r="G846" s="7"/>
    </row>
    <row r="847" spans="1:7" x14ac:dyDescent="0.2">
      <c r="A847" s="4">
        <v>2614</v>
      </c>
      <c r="B847" t="s">
        <v>0</v>
      </c>
      <c r="C847" s="1">
        <v>1500</v>
      </c>
      <c r="D847">
        <v>2</v>
      </c>
      <c r="E847" t="s">
        <v>11</v>
      </c>
      <c r="F847" s="6"/>
      <c r="G847" s="7"/>
    </row>
    <row r="848" spans="1:7" x14ac:dyDescent="0.2">
      <c r="A848" s="4">
        <v>2228</v>
      </c>
      <c r="B848" t="s">
        <v>3</v>
      </c>
      <c r="C848" s="1">
        <v>1600</v>
      </c>
      <c r="D848">
        <v>2</v>
      </c>
      <c r="E848" t="s">
        <v>11</v>
      </c>
      <c r="F848" s="6"/>
      <c r="G848" s="7"/>
    </row>
    <row r="849" spans="1:7" x14ac:dyDescent="0.2">
      <c r="A849" s="4">
        <v>1887</v>
      </c>
      <c r="B849" t="s">
        <v>3</v>
      </c>
      <c r="C849" s="1">
        <v>4520</v>
      </c>
      <c r="D849">
        <v>2</v>
      </c>
      <c r="E849" t="s">
        <v>10</v>
      </c>
      <c r="F849" s="6"/>
      <c r="G849" s="7"/>
    </row>
    <row r="850" spans="1:7" x14ac:dyDescent="0.2">
      <c r="A850" s="4">
        <v>5066</v>
      </c>
      <c r="B850" t="s">
        <v>4</v>
      </c>
      <c r="C850" s="1">
        <v>2000</v>
      </c>
      <c r="D850">
        <v>2</v>
      </c>
      <c r="E850" t="s">
        <v>11</v>
      </c>
      <c r="F850" s="6"/>
      <c r="G850" s="7"/>
    </row>
    <row r="851" spans="1:7" x14ac:dyDescent="0.2">
      <c r="A851" s="4">
        <v>974</v>
      </c>
      <c r="B851" t="s">
        <v>4</v>
      </c>
      <c r="C851" s="1">
        <v>2000</v>
      </c>
      <c r="D851">
        <v>2</v>
      </c>
      <c r="E851" t="s">
        <v>10</v>
      </c>
      <c r="F851" s="6"/>
      <c r="G851" s="7"/>
    </row>
    <row r="852" spans="1:7" x14ac:dyDescent="0.2">
      <c r="A852" s="4">
        <v>1795</v>
      </c>
      <c r="B852" t="s">
        <v>3</v>
      </c>
      <c r="C852" s="1">
        <v>3300</v>
      </c>
      <c r="D852">
        <v>2</v>
      </c>
      <c r="E852" t="s">
        <v>11</v>
      </c>
      <c r="F852" s="6"/>
      <c r="G852" s="7"/>
    </row>
    <row r="853" spans="1:7" x14ac:dyDescent="0.2">
      <c r="A853" s="4">
        <v>2215</v>
      </c>
      <c r="B853" t="s">
        <v>3</v>
      </c>
      <c r="C853" s="1">
        <v>2000</v>
      </c>
      <c r="D853">
        <v>2</v>
      </c>
      <c r="E853" t="s">
        <v>10</v>
      </c>
      <c r="F853" s="6"/>
      <c r="G853" s="7"/>
    </row>
    <row r="854" spans="1:7" x14ac:dyDescent="0.2">
      <c r="A854" s="4">
        <v>5187</v>
      </c>
      <c r="B854" t="s">
        <v>4</v>
      </c>
      <c r="C854" s="1">
        <v>2000</v>
      </c>
      <c r="D854">
        <v>2</v>
      </c>
      <c r="E854" t="s">
        <v>11</v>
      </c>
      <c r="F854" s="6"/>
      <c r="G854" s="7"/>
    </row>
    <row r="855" spans="1:7" x14ac:dyDescent="0.2">
      <c r="A855" s="4">
        <v>2487</v>
      </c>
      <c r="B855" t="s">
        <v>0</v>
      </c>
      <c r="C855" s="1">
        <v>3700</v>
      </c>
      <c r="D855">
        <v>2</v>
      </c>
      <c r="E855" t="s">
        <v>11</v>
      </c>
      <c r="F855" s="6"/>
      <c r="G855" s="7"/>
    </row>
    <row r="856" spans="1:7" x14ac:dyDescent="0.2">
      <c r="A856" s="4">
        <v>2260</v>
      </c>
      <c r="B856" t="s">
        <v>3</v>
      </c>
      <c r="C856" s="1">
        <v>2500</v>
      </c>
      <c r="D856">
        <v>2</v>
      </c>
      <c r="E856" t="s">
        <v>11</v>
      </c>
      <c r="F856" s="6"/>
      <c r="G856" s="7"/>
    </row>
    <row r="857" spans="1:7" x14ac:dyDescent="0.2">
      <c r="A857" s="4">
        <v>2471</v>
      </c>
      <c r="B857" t="s">
        <v>0</v>
      </c>
      <c r="C857" s="1">
        <v>2500</v>
      </c>
      <c r="D857">
        <v>2</v>
      </c>
      <c r="E857" t="s">
        <v>11</v>
      </c>
      <c r="F857" s="6"/>
      <c r="G857" s="7"/>
    </row>
    <row r="858" spans="1:7" x14ac:dyDescent="0.2">
      <c r="A858" s="4">
        <v>2485</v>
      </c>
      <c r="B858" t="s">
        <v>0</v>
      </c>
      <c r="C858" s="1">
        <v>2500</v>
      </c>
      <c r="D858">
        <v>2</v>
      </c>
      <c r="E858" t="s">
        <v>11</v>
      </c>
      <c r="F858" s="6"/>
      <c r="G858" s="7"/>
    </row>
    <row r="859" spans="1:7" x14ac:dyDescent="0.2">
      <c r="A859" s="4">
        <v>1544</v>
      </c>
      <c r="B859" t="s">
        <v>5</v>
      </c>
      <c r="C859" s="1">
        <v>2600</v>
      </c>
      <c r="D859">
        <v>2</v>
      </c>
      <c r="E859" t="s">
        <v>10</v>
      </c>
      <c r="F859" s="6"/>
      <c r="G859" s="7"/>
    </row>
    <row r="860" spans="1:7" x14ac:dyDescent="0.2">
      <c r="A860" s="4">
        <v>1628</v>
      </c>
      <c r="B860" t="s">
        <v>5</v>
      </c>
      <c r="C860" s="1">
        <v>3151</v>
      </c>
      <c r="D860">
        <v>2</v>
      </c>
      <c r="E860" t="s">
        <v>10</v>
      </c>
      <c r="F860" s="6"/>
      <c r="G860" s="7"/>
    </row>
    <row r="861" spans="1:7" x14ac:dyDescent="0.2">
      <c r="A861" s="4">
        <v>1684</v>
      </c>
      <c r="B861" t="s">
        <v>5</v>
      </c>
      <c r="C861" s="1">
        <v>2940</v>
      </c>
      <c r="D861">
        <v>2</v>
      </c>
      <c r="E861" t="s">
        <v>10</v>
      </c>
      <c r="F861" s="6"/>
      <c r="G861" s="7"/>
    </row>
    <row r="862" spans="1:7" x14ac:dyDescent="0.2">
      <c r="A862" s="4">
        <v>3137</v>
      </c>
      <c r="B862" t="s">
        <v>1</v>
      </c>
      <c r="C862" s="1">
        <v>3000</v>
      </c>
      <c r="D862">
        <v>2</v>
      </c>
      <c r="E862" t="s">
        <v>11</v>
      </c>
      <c r="F862" s="6"/>
      <c r="G862" s="7"/>
    </row>
    <row r="863" spans="1:7" x14ac:dyDescent="0.2">
      <c r="A863" s="4">
        <v>2483</v>
      </c>
      <c r="B863" t="s">
        <v>0</v>
      </c>
      <c r="C863" s="1">
        <v>5000</v>
      </c>
      <c r="D863">
        <v>2</v>
      </c>
      <c r="E863" t="s">
        <v>11</v>
      </c>
      <c r="F863" s="6"/>
      <c r="G863" s="7"/>
    </row>
    <row r="864" spans="1:7" x14ac:dyDescent="0.2">
      <c r="A864" s="4">
        <v>5881</v>
      </c>
      <c r="B864" t="s">
        <v>2</v>
      </c>
      <c r="C864" s="1">
        <v>3000</v>
      </c>
      <c r="D864">
        <v>2</v>
      </c>
      <c r="E864" t="s">
        <v>10</v>
      </c>
      <c r="F864" s="6"/>
      <c r="G864" s="7"/>
    </row>
    <row r="865" spans="1:7" x14ac:dyDescent="0.2">
      <c r="A865" s="4">
        <v>1895</v>
      </c>
      <c r="B865" t="s">
        <v>3</v>
      </c>
      <c r="C865" s="1">
        <v>3000</v>
      </c>
      <c r="D865">
        <v>2</v>
      </c>
      <c r="E865" t="s">
        <v>10</v>
      </c>
      <c r="F865" s="6"/>
      <c r="G865" s="7"/>
    </row>
    <row r="866" spans="1:7" x14ac:dyDescent="0.2">
      <c r="A866" s="4">
        <v>2068</v>
      </c>
      <c r="B866" t="s">
        <v>3</v>
      </c>
      <c r="C866" s="1">
        <v>5700</v>
      </c>
      <c r="D866">
        <v>2</v>
      </c>
      <c r="E866" t="s">
        <v>11</v>
      </c>
      <c r="F866" s="6"/>
      <c r="G866" s="7"/>
    </row>
    <row r="867" spans="1:7" x14ac:dyDescent="0.2">
      <c r="A867" s="4">
        <v>2302</v>
      </c>
      <c r="B867" t="s">
        <v>0</v>
      </c>
      <c r="C867" s="1">
        <v>4500</v>
      </c>
      <c r="D867">
        <v>2</v>
      </c>
      <c r="E867" t="s">
        <v>11</v>
      </c>
      <c r="F867" s="6"/>
      <c r="G867" s="7"/>
    </row>
    <row r="868" spans="1:7" x14ac:dyDescent="0.2">
      <c r="A868" s="4">
        <v>2224</v>
      </c>
      <c r="B868" t="s">
        <v>3</v>
      </c>
      <c r="C868" s="1">
        <v>5000</v>
      </c>
      <c r="D868">
        <v>2</v>
      </c>
      <c r="E868" t="s">
        <v>11</v>
      </c>
      <c r="F868" s="6"/>
      <c r="G868" s="7"/>
    </row>
    <row r="869" spans="1:7" x14ac:dyDescent="0.2">
      <c r="A869" s="4">
        <v>1833</v>
      </c>
      <c r="B869" t="s">
        <v>3</v>
      </c>
      <c r="C869" s="1">
        <v>9000</v>
      </c>
      <c r="D869">
        <v>2</v>
      </c>
      <c r="E869" t="s">
        <v>11</v>
      </c>
      <c r="F869" s="6"/>
      <c r="G869" s="7"/>
    </row>
    <row r="870" spans="1:7" x14ac:dyDescent="0.2">
      <c r="A870" s="4">
        <v>5144</v>
      </c>
      <c r="B870" t="s">
        <v>4</v>
      </c>
      <c r="C870">
        <v>40</v>
      </c>
      <c r="D870">
        <v>1</v>
      </c>
      <c r="E870" t="s">
        <v>10</v>
      </c>
      <c r="F870" s="6"/>
      <c r="G870" s="7"/>
    </row>
    <row r="871" spans="1:7" x14ac:dyDescent="0.2">
      <c r="A871" s="4">
        <v>2575</v>
      </c>
      <c r="B871" t="s">
        <v>0</v>
      </c>
      <c r="C871">
        <v>50</v>
      </c>
      <c r="D871">
        <v>1</v>
      </c>
      <c r="E871" t="s">
        <v>11</v>
      </c>
      <c r="F871" s="6"/>
      <c r="G871" s="7"/>
    </row>
    <row r="872" spans="1:7" x14ac:dyDescent="0.2">
      <c r="A872" s="4">
        <v>2921</v>
      </c>
      <c r="B872" t="s">
        <v>1</v>
      </c>
      <c r="C872">
        <v>100</v>
      </c>
      <c r="D872">
        <v>1</v>
      </c>
      <c r="E872" t="s">
        <v>11</v>
      </c>
      <c r="F872" s="6"/>
      <c r="G872" s="7"/>
    </row>
    <row r="873" spans="1:7" x14ac:dyDescent="0.2">
      <c r="A873" s="4">
        <v>2201</v>
      </c>
      <c r="B873" t="s">
        <v>3</v>
      </c>
      <c r="C873">
        <v>100</v>
      </c>
      <c r="D873">
        <v>1</v>
      </c>
      <c r="E873" t="s">
        <v>11</v>
      </c>
      <c r="F873" s="6"/>
      <c r="G873" s="7"/>
    </row>
    <row r="874" spans="1:7" x14ac:dyDescent="0.2">
      <c r="A874" s="4">
        <v>2477</v>
      </c>
      <c r="B874" t="s">
        <v>0</v>
      </c>
      <c r="C874">
        <v>100</v>
      </c>
      <c r="D874">
        <v>1</v>
      </c>
      <c r="E874" t="s">
        <v>11</v>
      </c>
      <c r="F874" s="6"/>
      <c r="G874" s="7"/>
    </row>
    <row r="875" spans="1:7" x14ac:dyDescent="0.2">
      <c r="A875" s="4">
        <v>2324</v>
      </c>
      <c r="B875" t="s">
        <v>0</v>
      </c>
      <c r="C875">
        <v>150</v>
      </c>
      <c r="D875">
        <v>1</v>
      </c>
      <c r="E875" t="s">
        <v>10</v>
      </c>
      <c r="F875" s="6"/>
      <c r="G875" s="7"/>
    </row>
    <row r="876" spans="1:7" x14ac:dyDescent="0.2">
      <c r="A876" s="4">
        <v>2689</v>
      </c>
      <c r="B876" t="s">
        <v>2</v>
      </c>
      <c r="C876">
        <v>150</v>
      </c>
      <c r="D876">
        <v>1</v>
      </c>
      <c r="E876" t="s">
        <v>10</v>
      </c>
      <c r="F876" s="6"/>
      <c r="G876" s="7"/>
    </row>
    <row r="877" spans="1:7" x14ac:dyDescent="0.2">
      <c r="A877" s="4">
        <v>1611</v>
      </c>
      <c r="B877" t="s">
        <v>5</v>
      </c>
      <c r="C877">
        <v>160</v>
      </c>
      <c r="D877">
        <v>1</v>
      </c>
      <c r="E877" t="s">
        <v>10</v>
      </c>
      <c r="F877" s="6"/>
      <c r="G877" s="7"/>
    </row>
    <row r="878" spans="1:7" x14ac:dyDescent="0.2">
      <c r="A878" s="4">
        <v>6293</v>
      </c>
      <c r="B878" t="s">
        <v>1</v>
      </c>
      <c r="C878">
        <v>180</v>
      </c>
      <c r="D878">
        <v>1</v>
      </c>
      <c r="E878" t="s">
        <v>10</v>
      </c>
      <c r="F878" s="6"/>
      <c r="G878" s="7"/>
    </row>
    <row r="879" spans="1:7" x14ac:dyDescent="0.2">
      <c r="A879" s="4">
        <v>2111</v>
      </c>
      <c r="B879" t="s">
        <v>3</v>
      </c>
      <c r="C879">
        <v>180</v>
      </c>
      <c r="D879">
        <v>1</v>
      </c>
      <c r="E879" t="s">
        <v>10</v>
      </c>
      <c r="F879" s="6"/>
      <c r="G879" s="7"/>
    </row>
    <row r="880" spans="1:7" x14ac:dyDescent="0.2">
      <c r="A880" s="4">
        <v>2440</v>
      </c>
      <c r="B880" t="s">
        <v>0</v>
      </c>
      <c r="C880">
        <v>200</v>
      </c>
      <c r="D880">
        <v>1</v>
      </c>
      <c r="E880" t="s">
        <v>10</v>
      </c>
      <c r="F880" s="6"/>
      <c r="G880" s="7"/>
    </row>
    <row r="881" spans="1:7" x14ac:dyDescent="0.2">
      <c r="A881" s="4">
        <v>2336</v>
      </c>
      <c r="B881" t="s">
        <v>0</v>
      </c>
      <c r="C881">
        <v>200</v>
      </c>
      <c r="D881">
        <v>1</v>
      </c>
      <c r="E881" t="s">
        <v>10</v>
      </c>
      <c r="F881" s="6"/>
      <c r="G881" s="7"/>
    </row>
    <row r="882" spans="1:7" x14ac:dyDescent="0.2">
      <c r="A882" s="4">
        <v>2347</v>
      </c>
      <c r="B882" t="s">
        <v>0</v>
      </c>
      <c r="C882">
        <v>200</v>
      </c>
      <c r="D882">
        <v>1</v>
      </c>
      <c r="E882" t="s">
        <v>10</v>
      </c>
      <c r="F882" s="6"/>
      <c r="G882" s="7"/>
    </row>
    <row r="883" spans="1:7" x14ac:dyDescent="0.2">
      <c r="A883" s="4">
        <v>2355</v>
      </c>
      <c r="B883" t="s">
        <v>0</v>
      </c>
      <c r="C883">
        <v>200</v>
      </c>
      <c r="D883">
        <v>1</v>
      </c>
      <c r="E883" t="s">
        <v>11</v>
      </c>
      <c r="F883" s="6"/>
      <c r="G883" s="7"/>
    </row>
    <row r="884" spans="1:7" x14ac:dyDescent="0.2">
      <c r="A884" s="4">
        <v>2582</v>
      </c>
      <c r="B884" t="s">
        <v>0</v>
      </c>
      <c r="C884">
        <v>200</v>
      </c>
      <c r="D884">
        <v>1</v>
      </c>
      <c r="E884" t="s">
        <v>10</v>
      </c>
      <c r="F884" s="6"/>
      <c r="G884" s="7"/>
    </row>
    <row r="885" spans="1:7" x14ac:dyDescent="0.2">
      <c r="A885" s="4">
        <v>2606</v>
      </c>
      <c r="B885" t="s">
        <v>0</v>
      </c>
      <c r="C885">
        <v>200</v>
      </c>
      <c r="D885">
        <v>1</v>
      </c>
      <c r="E885" t="s">
        <v>10</v>
      </c>
      <c r="F885" s="6"/>
      <c r="G885" s="7"/>
    </row>
    <row r="886" spans="1:7" x14ac:dyDescent="0.2">
      <c r="A886" s="4">
        <v>2934</v>
      </c>
      <c r="B886" t="s">
        <v>1</v>
      </c>
      <c r="C886">
        <v>200</v>
      </c>
      <c r="D886">
        <v>1</v>
      </c>
      <c r="E886" t="s">
        <v>10</v>
      </c>
      <c r="F886" s="6"/>
      <c r="G886" s="7"/>
    </row>
    <row r="887" spans="1:7" x14ac:dyDescent="0.2">
      <c r="A887" s="4">
        <v>5121</v>
      </c>
      <c r="B887" t="s">
        <v>4</v>
      </c>
      <c r="C887">
        <v>200</v>
      </c>
      <c r="D887">
        <v>1</v>
      </c>
      <c r="E887" t="s">
        <v>11</v>
      </c>
      <c r="F887" s="6"/>
      <c r="G887" s="7"/>
    </row>
    <row r="888" spans="1:7" x14ac:dyDescent="0.2">
      <c r="A888" s="4">
        <v>6245</v>
      </c>
      <c r="B888" t="s">
        <v>1</v>
      </c>
      <c r="C888">
        <v>200</v>
      </c>
      <c r="D888">
        <v>1</v>
      </c>
      <c r="E888" t="s">
        <v>11</v>
      </c>
      <c r="F888" s="6"/>
      <c r="G888" s="7"/>
    </row>
    <row r="889" spans="1:7" x14ac:dyDescent="0.2">
      <c r="A889" s="4">
        <v>2954</v>
      </c>
      <c r="B889" t="s">
        <v>1</v>
      </c>
      <c r="C889">
        <v>208</v>
      </c>
      <c r="D889">
        <v>1</v>
      </c>
      <c r="E889" t="s">
        <v>10</v>
      </c>
      <c r="F889" s="6"/>
      <c r="G889" s="7"/>
    </row>
    <row r="890" spans="1:7" x14ac:dyDescent="0.2">
      <c r="A890" s="4">
        <v>2196</v>
      </c>
      <c r="B890" t="s">
        <v>3</v>
      </c>
      <c r="C890">
        <v>250</v>
      </c>
      <c r="D890">
        <v>1</v>
      </c>
      <c r="E890" t="s">
        <v>11</v>
      </c>
      <c r="F890" s="6"/>
      <c r="G890" s="7"/>
    </row>
    <row r="891" spans="1:7" x14ac:dyDescent="0.2">
      <c r="A891" s="4">
        <v>6701</v>
      </c>
      <c r="B891" t="s">
        <v>3</v>
      </c>
      <c r="C891">
        <v>250</v>
      </c>
      <c r="D891">
        <v>1</v>
      </c>
      <c r="E891" t="s">
        <v>11</v>
      </c>
      <c r="F891" s="6"/>
      <c r="G891" s="7"/>
    </row>
    <row r="892" spans="1:7" x14ac:dyDescent="0.2">
      <c r="A892" s="4">
        <v>1740</v>
      </c>
      <c r="B892" t="s">
        <v>3</v>
      </c>
      <c r="C892">
        <v>270</v>
      </c>
      <c r="D892">
        <v>1</v>
      </c>
      <c r="E892" t="s">
        <v>11</v>
      </c>
      <c r="F892" s="6"/>
      <c r="G892" s="7"/>
    </row>
    <row r="893" spans="1:7" x14ac:dyDescent="0.2">
      <c r="A893" s="4">
        <v>5841</v>
      </c>
      <c r="B893" t="s">
        <v>2</v>
      </c>
      <c r="C893">
        <v>275</v>
      </c>
      <c r="D893">
        <v>1</v>
      </c>
      <c r="E893" t="s">
        <v>10</v>
      </c>
      <c r="F893" s="6"/>
      <c r="G893" s="7"/>
    </row>
    <row r="894" spans="1:7" x14ac:dyDescent="0.2">
      <c r="A894" s="4">
        <v>2424</v>
      </c>
      <c r="B894" t="s">
        <v>0</v>
      </c>
      <c r="C894">
        <v>280</v>
      </c>
      <c r="D894">
        <v>1</v>
      </c>
      <c r="E894" t="s">
        <v>11</v>
      </c>
      <c r="F894" s="6"/>
      <c r="G894" s="7"/>
    </row>
    <row r="895" spans="1:7" x14ac:dyDescent="0.2">
      <c r="A895" s="4">
        <v>2481</v>
      </c>
      <c r="B895" t="s">
        <v>0</v>
      </c>
      <c r="C895">
        <v>280</v>
      </c>
      <c r="D895">
        <v>1</v>
      </c>
      <c r="E895" t="s">
        <v>11</v>
      </c>
      <c r="F895" s="6"/>
      <c r="G895" s="7"/>
    </row>
    <row r="896" spans="1:7" x14ac:dyDescent="0.2">
      <c r="A896" s="4">
        <v>2408</v>
      </c>
      <c r="B896" t="s">
        <v>0</v>
      </c>
      <c r="C896">
        <v>300</v>
      </c>
      <c r="D896">
        <v>1</v>
      </c>
      <c r="E896" t="s">
        <v>10</v>
      </c>
      <c r="F896" s="6"/>
      <c r="G896" s="7"/>
    </row>
    <row r="897" spans="1:7" x14ac:dyDescent="0.2">
      <c r="A897" s="4">
        <v>2615</v>
      </c>
      <c r="B897" t="s">
        <v>0</v>
      </c>
      <c r="C897">
        <v>300</v>
      </c>
      <c r="D897">
        <v>1</v>
      </c>
      <c r="E897" t="s">
        <v>11</v>
      </c>
      <c r="F897" s="6"/>
      <c r="G897" s="7"/>
    </row>
    <row r="898" spans="1:7" x14ac:dyDescent="0.2">
      <c r="A898" s="4">
        <v>2635</v>
      </c>
      <c r="B898" t="s">
        <v>0</v>
      </c>
      <c r="C898">
        <v>300</v>
      </c>
      <c r="D898">
        <v>1</v>
      </c>
      <c r="E898" t="s">
        <v>11</v>
      </c>
      <c r="F898" s="6"/>
      <c r="G898" s="7"/>
    </row>
    <row r="899" spans="1:7" x14ac:dyDescent="0.2">
      <c r="A899" s="4">
        <v>2822</v>
      </c>
      <c r="B899" t="s">
        <v>2</v>
      </c>
      <c r="C899">
        <v>300</v>
      </c>
      <c r="D899">
        <v>1</v>
      </c>
      <c r="E899" t="s">
        <v>10</v>
      </c>
      <c r="F899" s="6"/>
      <c r="G899" s="7"/>
    </row>
    <row r="900" spans="1:7" x14ac:dyDescent="0.2">
      <c r="A900" s="4">
        <v>2854</v>
      </c>
      <c r="B900" t="s">
        <v>2</v>
      </c>
      <c r="C900">
        <v>300</v>
      </c>
      <c r="D900">
        <v>1</v>
      </c>
      <c r="E900" t="s">
        <v>10</v>
      </c>
      <c r="F900" s="6"/>
      <c r="G900" s="7"/>
    </row>
    <row r="901" spans="1:7" x14ac:dyDescent="0.2">
      <c r="A901" s="4">
        <v>2946</v>
      </c>
      <c r="B901" t="s">
        <v>1</v>
      </c>
      <c r="C901">
        <v>300</v>
      </c>
      <c r="D901">
        <v>1</v>
      </c>
      <c r="E901" t="s">
        <v>10</v>
      </c>
      <c r="F901" s="6"/>
      <c r="G901" s="7"/>
    </row>
    <row r="902" spans="1:7" x14ac:dyDescent="0.2">
      <c r="A902" s="4">
        <v>2979</v>
      </c>
      <c r="B902" t="s">
        <v>1</v>
      </c>
      <c r="C902">
        <v>300</v>
      </c>
      <c r="D902">
        <v>1</v>
      </c>
      <c r="E902" t="s">
        <v>11</v>
      </c>
      <c r="F902" s="6"/>
      <c r="G902" s="7"/>
    </row>
    <row r="903" spans="1:7" x14ac:dyDescent="0.2">
      <c r="A903" s="4">
        <v>5011</v>
      </c>
      <c r="B903" t="s">
        <v>4</v>
      </c>
      <c r="C903">
        <v>300</v>
      </c>
      <c r="D903">
        <v>1</v>
      </c>
      <c r="E903" t="s">
        <v>11</v>
      </c>
      <c r="F903" s="6"/>
      <c r="G903" s="7"/>
    </row>
    <row r="904" spans="1:7" x14ac:dyDescent="0.2">
      <c r="A904" s="4">
        <v>5147</v>
      </c>
      <c r="B904" t="s">
        <v>4</v>
      </c>
      <c r="C904">
        <v>300</v>
      </c>
      <c r="D904">
        <v>1</v>
      </c>
      <c r="E904" t="s">
        <v>11</v>
      </c>
      <c r="F904" s="6"/>
      <c r="G904" s="7"/>
    </row>
    <row r="905" spans="1:7" x14ac:dyDescent="0.2">
      <c r="A905" s="4">
        <v>6141</v>
      </c>
      <c r="B905" t="s">
        <v>1</v>
      </c>
      <c r="C905">
        <v>300</v>
      </c>
      <c r="D905">
        <v>1</v>
      </c>
      <c r="E905" t="s">
        <v>11</v>
      </c>
      <c r="F905" s="6"/>
      <c r="G905" s="7"/>
    </row>
    <row r="906" spans="1:7" x14ac:dyDescent="0.2">
      <c r="A906" s="4">
        <v>6343</v>
      </c>
      <c r="B906" t="s">
        <v>1</v>
      </c>
      <c r="C906">
        <v>300</v>
      </c>
      <c r="D906">
        <v>1</v>
      </c>
      <c r="E906" t="s">
        <v>11</v>
      </c>
      <c r="F906" s="6"/>
      <c r="G906" s="7"/>
    </row>
    <row r="907" spans="1:7" x14ac:dyDescent="0.2">
      <c r="A907" s="4">
        <v>5000</v>
      </c>
      <c r="B907" t="s">
        <v>4</v>
      </c>
      <c r="C907">
        <v>320</v>
      </c>
      <c r="D907">
        <v>1</v>
      </c>
      <c r="E907" t="s">
        <v>11</v>
      </c>
      <c r="F907" s="6"/>
      <c r="G907" s="7"/>
    </row>
    <row r="908" spans="1:7" x14ac:dyDescent="0.2">
      <c r="A908" s="4">
        <v>3149</v>
      </c>
      <c r="B908" t="s">
        <v>1</v>
      </c>
      <c r="C908">
        <v>333</v>
      </c>
      <c r="D908">
        <v>1</v>
      </c>
      <c r="E908" t="s">
        <v>10</v>
      </c>
      <c r="F908" s="6"/>
      <c r="G908" s="7"/>
    </row>
    <row r="909" spans="1:7" x14ac:dyDescent="0.2">
      <c r="A909" s="4">
        <v>3138</v>
      </c>
      <c r="B909" t="s">
        <v>1</v>
      </c>
      <c r="C909">
        <v>350</v>
      </c>
      <c r="D909">
        <v>1</v>
      </c>
      <c r="E909" t="s">
        <v>11</v>
      </c>
      <c r="F909" s="6"/>
      <c r="G909" s="7"/>
    </row>
    <row r="910" spans="1:7" x14ac:dyDescent="0.2">
      <c r="A910" s="4">
        <v>1920</v>
      </c>
      <c r="B910" t="s">
        <v>3</v>
      </c>
      <c r="C910">
        <v>350</v>
      </c>
      <c r="D910">
        <v>1</v>
      </c>
      <c r="E910" t="s">
        <v>10</v>
      </c>
      <c r="F910" s="6"/>
      <c r="G910" s="7"/>
    </row>
    <row r="911" spans="1:7" x14ac:dyDescent="0.2">
      <c r="A911" s="4">
        <v>2218</v>
      </c>
      <c r="B911" t="s">
        <v>3</v>
      </c>
      <c r="C911">
        <v>350</v>
      </c>
      <c r="D911">
        <v>1</v>
      </c>
      <c r="E911" t="s">
        <v>11</v>
      </c>
      <c r="F911" s="6"/>
      <c r="G911" s="7"/>
    </row>
    <row r="912" spans="1:7" x14ac:dyDescent="0.2">
      <c r="A912" s="4">
        <v>3134</v>
      </c>
      <c r="B912" t="s">
        <v>1</v>
      </c>
      <c r="C912">
        <v>350</v>
      </c>
      <c r="D912">
        <v>1</v>
      </c>
      <c r="E912" t="s">
        <v>10</v>
      </c>
      <c r="F912" s="6"/>
      <c r="G912" s="7"/>
    </row>
    <row r="913" spans="1:7" x14ac:dyDescent="0.2">
      <c r="A913" s="4">
        <v>3293</v>
      </c>
      <c r="B913" t="s">
        <v>1</v>
      </c>
      <c r="C913">
        <v>380</v>
      </c>
      <c r="D913">
        <v>1</v>
      </c>
      <c r="E913" t="s">
        <v>10</v>
      </c>
      <c r="F913" s="6"/>
      <c r="G913" s="7"/>
    </row>
    <row r="914" spans="1:7" x14ac:dyDescent="0.2">
      <c r="A914" s="4">
        <v>1928</v>
      </c>
      <c r="B914" t="s">
        <v>3</v>
      </c>
      <c r="C914">
        <v>397</v>
      </c>
      <c r="D914">
        <v>1</v>
      </c>
      <c r="E914" t="s">
        <v>11</v>
      </c>
      <c r="F914" s="6"/>
      <c r="G914" s="7"/>
    </row>
    <row r="915" spans="1:7" x14ac:dyDescent="0.2">
      <c r="A915" s="4">
        <v>2380</v>
      </c>
      <c r="B915" t="s">
        <v>0</v>
      </c>
      <c r="C915">
        <v>400</v>
      </c>
      <c r="D915">
        <v>1</v>
      </c>
      <c r="E915" t="s">
        <v>11</v>
      </c>
      <c r="F915" s="6"/>
      <c r="G915" s="7"/>
    </row>
    <row r="916" spans="1:7" x14ac:dyDescent="0.2">
      <c r="A916" s="4">
        <v>2447</v>
      </c>
      <c r="B916" t="s">
        <v>0</v>
      </c>
      <c r="C916">
        <v>400</v>
      </c>
      <c r="D916">
        <v>1</v>
      </c>
      <c r="E916" t="s">
        <v>11</v>
      </c>
      <c r="F916" s="6"/>
      <c r="G916" s="7"/>
    </row>
    <row r="917" spans="1:7" x14ac:dyDescent="0.2">
      <c r="A917" s="4">
        <v>2506</v>
      </c>
      <c r="B917" t="s">
        <v>0</v>
      </c>
      <c r="C917">
        <v>400</v>
      </c>
      <c r="D917">
        <v>1</v>
      </c>
      <c r="E917" t="s">
        <v>11</v>
      </c>
      <c r="F917" s="6"/>
      <c r="G917" s="7"/>
    </row>
    <row r="918" spans="1:7" x14ac:dyDescent="0.2">
      <c r="A918" s="4">
        <v>2799</v>
      </c>
      <c r="B918" t="s">
        <v>2</v>
      </c>
      <c r="C918">
        <v>400</v>
      </c>
      <c r="D918">
        <v>1</v>
      </c>
      <c r="E918" t="s">
        <v>10</v>
      </c>
      <c r="F918" s="6"/>
      <c r="G918" s="7"/>
    </row>
    <row r="919" spans="1:7" x14ac:dyDescent="0.2">
      <c r="A919" s="4">
        <v>2944</v>
      </c>
      <c r="B919" t="s">
        <v>1</v>
      </c>
      <c r="C919">
        <v>400</v>
      </c>
      <c r="D919">
        <v>1</v>
      </c>
      <c r="E919" t="s">
        <v>11</v>
      </c>
      <c r="F919" s="6"/>
      <c r="G919" s="7"/>
    </row>
    <row r="920" spans="1:7" x14ac:dyDescent="0.2">
      <c r="A920" s="4">
        <v>2949</v>
      </c>
      <c r="B920" t="s">
        <v>1</v>
      </c>
      <c r="C920">
        <v>400</v>
      </c>
      <c r="D920">
        <v>1</v>
      </c>
      <c r="E920" t="s">
        <v>11</v>
      </c>
      <c r="F920" s="6"/>
      <c r="G920" s="7"/>
    </row>
    <row r="921" spans="1:7" x14ac:dyDescent="0.2">
      <c r="A921" s="4">
        <v>2976</v>
      </c>
      <c r="B921" t="s">
        <v>1</v>
      </c>
      <c r="C921">
        <v>400</v>
      </c>
      <c r="D921">
        <v>1</v>
      </c>
      <c r="E921" t="s">
        <v>11</v>
      </c>
      <c r="F921" s="6"/>
      <c r="G921" s="7"/>
    </row>
    <row r="922" spans="1:7" x14ac:dyDescent="0.2">
      <c r="A922" s="4">
        <v>2029</v>
      </c>
      <c r="B922" t="s">
        <v>3</v>
      </c>
      <c r="C922">
        <v>421</v>
      </c>
      <c r="D922">
        <v>1</v>
      </c>
      <c r="E922" t="s">
        <v>10</v>
      </c>
      <c r="F922" s="6"/>
      <c r="G922" s="7"/>
    </row>
    <row r="923" spans="1:7" x14ac:dyDescent="0.2">
      <c r="A923" s="4">
        <v>1543</v>
      </c>
      <c r="B923" t="s">
        <v>5</v>
      </c>
      <c r="C923">
        <v>450</v>
      </c>
      <c r="D923">
        <v>1</v>
      </c>
      <c r="E923" t="s">
        <v>11</v>
      </c>
      <c r="F923" s="6"/>
      <c r="G923" s="7"/>
    </row>
    <row r="924" spans="1:7" x14ac:dyDescent="0.2">
      <c r="A924" s="4">
        <v>2499</v>
      </c>
      <c r="B924" t="s">
        <v>0</v>
      </c>
      <c r="C924">
        <v>450</v>
      </c>
      <c r="D924">
        <v>1</v>
      </c>
      <c r="E924" t="s">
        <v>10</v>
      </c>
      <c r="F924" s="6"/>
      <c r="G924" s="7"/>
    </row>
    <row r="925" spans="1:7" x14ac:dyDescent="0.2">
      <c r="A925" s="4">
        <v>2651</v>
      </c>
      <c r="B925" t="s">
        <v>2</v>
      </c>
      <c r="C925">
        <v>450</v>
      </c>
      <c r="D925">
        <v>1</v>
      </c>
      <c r="E925" t="s">
        <v>10</v>
      </c>
      <c r="F925" s="6"/>
      <c r="G925" s="7"/>
    </row>
    <row r="926" spans="1:7" x14ac:dyDescent="0.2">
      <c r="A926" s="4">
        <v>2846</v>
      </c>
      <c r="B926" t="s">
        <v>2</v>
      </c>
      <c r="C926">
        <v>450</v>
      </c>
      <c r="D926">
        <v>1</v>
      </c>
      <c r="E926" t="s">
        <v>11</v>
      </c>
      <c r="F926" s="6"/>
      <c r="G926" s="7"/>
    </row>
    <row r="927" spans="1:7" x14ac:dyDescent="0.2">
      <c r="A927" s="4">
        <v>3095</v>
      </c>
      <c r="B927" t="s">
        <v>1</v>
      </c>
      <c r="C927">
        <v>450</v>
      </c>
      <c r="D927">
        <v>1</v>
      </c>
      <c r="E927" t="s">
        <v>10</v>
      </c>
      <c r="F927" s="6"/>
      <c r="G927" s="7"/>
    </row>
    <row r="928" spans="1:7" x14ac:dyDescent="0.2">
      <c r="A928" s="4">
        <v>6662</v>
      </c>
      <c r="B928" t="s">
        <v>3</v>
      </c>
      <c r="C928">
        <v>450</v>
      </c>
      <c r="D928">
        <v>1</v>
      </c>
      <c r="E928" t="s">
        <v>10</v>
      </c>
      <c r="F928" s="6"/>
      <c r="G928" s="7"/>
    </row>
    <row r="929" spans="1:7" x14ac:dyDescent="0.2">
      <c r="A929" s="4">
        <v>2955</v>
      </c>
      <c r="B929" t="s">
        <v>1</v>
      </c>
      <c r="C929">
        <v>480</v>
      </c>
      <c r="D929">
        <v>1</v>
      </c>
      <c r="E929" t="s">
        <v>11</v>
      </c>
      <c r="F929" s="6"/>
      <c r="G929" s="7"/>
    </row>
    <row r="930" spans="1:7" x14ac:dyDescent="0.2">
      <c r="A930" s="4">
        <v>1826</v>
      </c>
      <c r="B930" t="s">
        <v>3</v>
      </c>
      <c r="C930">
        <v>500</v>
      </c>
      <c r="D930">
        <v>1</v>
      </c>
      <c r="E930" t="s">
        <v>10</v>
      </c>
      <c r="F930" s="6"/>
      <c r="G930" s="7"/>
    </row>
    <row r="931" spans="1:7" x14ac:dyDescent="0.2">
      <c r="A931" s="4">
        <v>6621</v>
      </c>
      <c r="B931" t="s">
        <v>3</v>
      </c>
      <c r="C931">
        <v>500</v>
      </c>
      <c r="D931">
        <v>1</v>
      </c>
      <c r="E931" t="s">
        <v>11</v>
      </c>
      <c r="F931" s="6"/>
      <c r="G931" s="7"/>
    </row>
    <row r="932" spans="1:7" x14ac:dyDescent="0.2">
      <c r="A932" s="4">
        <v>2899</v>
      </c>
      <c r="B932" t="s">
        <v>1</v>
      </c>
      <c r="C932">
        <v>500</v>
      </c>
      <c r="D932">
        <v>1</v>
      </c>
      <c r="E932" t="s">
        <v>11</v>
      </c>
      <c r="F932" s="6"/>
      <c r="G932" s="7"/>
    </row>
    <row r="933" spans="1:7" x14ac:dyDescent="0.2">
      <c r="A933" s="4">
        <v>878</v>
      </c>
      <c r="B933" t="s">
        <v>4</v>
      </c>
      <c r="C933">
        <v>500</v>
      </c>
      <c r="D933">
        <v>1</v>
      </c>
      <c r="E933" t="s">
        <v>10</v>
      </c>
      <c r="F933" s="6"/>
      <c r="G933" s="7"/>
    </row>
    <row r="934" spans="1:7" x14ac:dyDescent="0.2">
      <c r="A934" s="4">
        <v>1575</v>
      </c>
      <c r="B934" t="s">
        <v>5</v>
      </c>
      <c r="C934">
        <v>500</v>
      </c>
      <c r="D934">
        <v>1</v>
      </c>
      <c r="E934" t="s">
        <v>11</v>
      </c>
      <c r="F934" s="6"/>
      <c r="G934" s="7"/>
    </row>
    <row r="935" spans="1:7" x14ac:dyDescent="0.2">
      <c r="A935" s="4">
        <v>1643</v>
      </c>
      <c r="B935" t="s">
        <v>5</v>
      </c>
      <c r="C935">
        <v>500</v>
      </c>
      <c r="D935">
        <v>1</v>
      </c>
      <c r="E935" t="s">
        <v>10</v>
      </c>
      <c r="F935" s="6"/>
      <c r="G935" s="7"/>
    </row>
    <row r="936" spans="1:7" x14ac:dyDescent="0.2">
      <c r="A936" s="4">
        <v>2071</v>
      </c>
      <c r="B936" t="s">
        <v>3</v>
      </c>
      <c r="C936">
        <v>500</v>
      </c>
      <c r="D936">
        <v>1</v>
      </c>
      <c r="E936" t="s">
        <v>11</v>
      </c>
      <c r="F936" s="6"/>
      <c r="G936" s="7"/>
    </row>
    <row r="937" spans="1:7" x14ac:dyDescent="0.2">
      <c r="A937" s="4">
        <v>2094</v>
      </c>
      <c r="B937" t="s">
        <v>3</v>
      </c>
      <c r="C937">
        <v>500</v>
      </c>
      <c r="D937">
        <v>1</v>
      </c>
      <c r="E937" t="s">
        <v>10</v>
      </c>
      <c r="F937" s="6"/>
      <c r="G937" s="7"/>
    </row>
    <row r="938" spans="1:7" x14ac:dyDescent="0.2">
      <c r="A938" s="4">
        <v>2129</v>
      </c>
      <c r="B938" t="s">
        <v>3</v>
      </c>
      <c r="C938">
        <v>500</v>
      </c>
      <c r="D938">
        <v>1</v>
      </c>
      <c r="E938" t="s">
        <v>11</v>
      </c>
      <c r="F938" s="6"/>
      <c r="G938" s="7"/>
    </row>
    <row r="939" spans="1:7" x14ac:dyDescent="0.2">
      <c r="A939" s="4">
        <v>2272</v>
      </c>
      <c r="B939" t="s">
        <v>3</v>
      </c>
      <c r="C939">
        <v>500</v>
      </c>
      <c r="D939">
        <v>1</v>
      </c>
      <c r="E939" t="s">
        <v>11</v>
      </c>
      <c r="F939" s="6"/>
      <c r="G939" s="7"/>
    </row>
    <row r="940" spans="1:7" x14ac:dyDescent="0.2">
      <c r="A940" s="4">
        <v>2315</v>
      </c>
      <c r="B940" t="s">
        <v>0</v>
      </c>
      <c r="C940">
        <v>500</v>
      </c>
      <c r="D940">
        <v>1</v>
      </c>
      <c r="E940" t="s">
        <v>11</v>
      </c>
      <c r="F940" s="6"/>
      <c r="G940" s="7"/>
    </row>
    <row r="941" spans="1:7" x14ac:dyDescent="0.2">
      <c r="A941" s="4">
        <v>2320</v>
      </c>
      <c r="B941" t="s">
        <v>0</v>
      </c>
      <c r="C941">
        <v>500</v>
      </c>
      <c r="D941">
        <v>1</v>
      </c>
      <c r="E941" t="s">
        <v>11</v>
      </c>
      <c r="F941" s="6"/>
      <c r="G941" s="7"/>
    </row>
    <row r="942" spans="1:7" x14ac:dyDescent="0.2">
      <c r="A942" s="4">
        <v>2431</v>
      </c>
      <c r="B942" t="s">
        <v>0</v>
      </c>
      <c r="C942">
        <v>500</v>
      </c>
      <c r="D942">
        <v>1</v>
      </c>
      <c r="E942" t="s">
        <v>10</v>
      </c>
      <c r="F942" s="6"/>
      <c r="G942" s="7"/>
    </row>
    <row r="943" spans="1:7" x14ac:dyDescent="0.2">
      <c r="A943" s="4">
        <v>2550</v>
      </c>
      <c r="B943" t="s">
        <v>0</v>
      </c>
      <c r="C943">
        <v>500</v>
      </c>
      <c r="D943">
        <v>1</v>
      </c>
      <c r="E943" t="s">
        <v>11</v>
      </c>
      <c r="F943" s="6"/>
      <c r="G943" s="7"/>
    </row>
    <row r="944" spans="1:7" x14ac:dyDescent="0.2">
      <c r="A944" s="4">
        <v>2607</v>
      </c>
      <c r="B944" t="s">
        <v>0</v>
      </c>
      <c r="C944">
        <v>500</v>
      </c>
      <c r="D944">
        <v>1</v>
      </c>
      <c r="E944" t="s">
        <v>11</v>
      </c>
      <c r="F944" s="6"/>
      <c r="G944" s="7"/>
    </row>
    <row r="945" spans="1:7" x14ac:dyDescent="0.2">
      <c r="A945" s="4">
        <v>2783</v>
      </c>
      <c r="B945" t="s">
        <v>2</v>
      </c>
      <c r="C945">
        <v>500</v>
      </c>
      <c r="D945">
        <v>1</v>
      </c>
      <c r="E945" t="s">
        <v>11</v>
      </c>
      <c r="F945" s="6"/>
      <c r="G945" s="7"/>
    </row>
    <row r="946" spans="1:7" x14ac:dyDescent="0.2">
      <c r="A946" s="4">
        <v>2857</v>
      </c>
      <c r="B946" t="s">
        <v>2</v>
      </c>
      <c r="C946">
        <v>500</v>
      </c>
      <c r="D946">
        <v>1</v>
      </c>
      <c r="E946" t="s">
        <v>11</v>
      </c>
      <c r="F946" s="6"/>
      <c r="G946" s="7"/>
    </row>
    <row r="947" spans="1:7" x14ac:dyDescent="0.2">
      <c r="A947" s="4">
        <v>2945</v>
      </c>
      <c r="B947" t="s">
        <v>1</v>
      </c>
      <c r="C947">
        <v>500</v>
      </c>
      <c r="D947">
        <v>1</v>
      </c>
      <c r="E947" t="s">
        <v>11</v>
      </c>
      <c r="F947" s="6"/>
      <c r="G947" s="7"/>
    </row>
    <row r="948" spans="1:7" x14ac:dyDescent="0.2">
      <c r="A948" s="4">
        <v>2968</v>
      </c>
      <c r="B948" t="s">
        <v>1</v>
      </c>
      <c r="C948">
        <v>500</v>
      </c>
      <c r="D948">
        <v>1</v>
      </c>
      <c r="E948" t="s">
        <v>10</v>
      </c>
      <c r="F948" s="6"/>
      <c r="G948" s="7"/>
    </row>
    <row r="949" spans="1:7" x14ac:dyDescent="0.2">
      <c r="A949" s="4">
        <v>2989</v>
      </c>
      <c r="B949" t="s">
        <v>1</v>
      </c>
      <c r="C949">
        <v>500</v>
      </c>
      <c r="D949">
        <v>1</v>
      </c>
      <c r="E949" t="s">
        <v>11</v>
      </c>
      <c r="F949" s="6"/>
      <c r="G949" s="7"/>
    </row>
    <row r="950" spans="1:7" x14ac:dyDescent="0.2">
      <c r="A950" s="4">
        <v>2999</v>
      </c>
      <c r="B950" t="s">
        <v>1</v>
      </c>
      <c r="C950">
        <v>500</v>
      </c>
      <c r="D950">
        <v>1</v>
      </c>
      <c r="E950" t="s">
        <v>11</v>
      </c>
      <c r="F950" s="6"/>
      <c r="G950" s="7"/>
    </row>
    <row r="951" spans="1:7" x14ac:dyDescent="0.2">
      <c r="A951" s="4">
        <v>3075</v>
      </c>
      <c r="B951" t="s">
        <v>1</v>
      </c>
      <c r="C951">
        <v>500</v>
      </c>
      <c r="D951">
        <v>1</v>
      </c>
      <c r="E951" t="s">
        <v>11</v>
      </c>
      <c r="F951" s="6"/>
      <c r="G951" s="7"/>
    </row>
    <row r="952" spans="1:7" x14ac:dyDescent="0.2">
      <c r="A952" s="4">
        <v>3167</v>
      </c>
      <c r="B952" s="1" t="s">
        <v>1</v>
      </c>
      <c r="C952">
        <v>500</v>
      </c>
      <c r="D952">
        <v>1</v>
      </c>
      <c r="E952" t="s">
        <v>11</v>
      </c>
      <c r="F952" s="6"/>
      <c r="G952" s="7"/>
    </row>
    <row r="953" spans="1:7" x14ac:dyDescent="0.2">
      <c r="A953" s="4">
        <v>3180</v>
      </c>
      <c r="B953" s="1" t="s">
        <v>1</v>
      </c>
      <c r="C953">
        <v>500</v>
      </c>
      <c r="D953">
        <v>1</v>
      </c>
      <c r="E953" t="s">
        <v>10</v>
      </c>
      <c r="F953" s="6"/>
      <c r="G953" s="7"/>
    </row>
    <row r="954" spans="1:7" x14ac:dyDescent="0.2">
      <c r="A954" s="4">
        <v>3183</v>
      </c>
      <c r="B954" s="1" t="s">
        <v>1</v>
      </c>
      <c r="C954">
        <v>500</v>
      </c>
      <c r="D954">
        <v>1</v>
      </c>
      <c r="E954" t="s">
        <v>10</v>
      </c>
      <c r="F954" s="6"/>
      <c r="G954" s="7"/>
    </row>
    <row r="955" spans="1:7" x14ac:dyDescent="0.2">
      <c r="A955" s="4">
        <v>3233</v>
      </c>
      <c r="B955" s="1" t="s">
        <v>1</v>
      </c>
      <c r="C955">
        <v>500</v>
      </c>
      <c r="D955">
        <v>1</v>
      </c>
      <c r="E955" t="s">
        <v>11</v>
      </c>
      <c r="F955" s="6"/>
      <c r="G955" s="7"/>
    </row>
    <row r="956" spans="1:7" x14ac:dyDescent="0.2">
      <c r="A956" s="4">
        <v>5142</v>
      </c>
      <c r="B956" s="1" t="s">
        <v>4</v>
      </c>
      <c r="C956">
        <v>500</v>
      </c>
      <c r="D956">
        <v>1</v>
      </c>
      <c r="E956" t="s">
        <v>10</v>
      </c>
      <c r="F956" s="6"/>
      <c r="G956" s="7"/>
    </row>
    <row r="957" spans="1:7" x14ac:dyDescent="0.2">
      <c r="A957" s="4">
        <v>2597</v>
      </c>
      <c r="B957" s="1" t="s">
        <v>0</v>
      </c>
      <c r="C957">
        <v>540</v>
      </c>
      <c r="D957">
        <v>1</v>
      </c>
      <c r="E957" t="s">
        <v>10</v>
      </c>
      <c r="F957" s="6"/>
      <c r="G957" s="7"/>
    </row>
    <row r="958" spans="1:7" x14ac:dyDescent="0.2">
      <c r="A958" s="4">
        <v>167</v>
      </c>
      <c r="B958" s="1" t="s">
        <v>4</v>
      </c>
      <c r="C958">
        <v>550</v>
      </c>
      <c r="D958">
        <v>1</v>
      </c>
      <c r="E958" t="s">
        <v>11</v>
      </c>
      <c r="F958" s="6"/>
      <c r="G958" s="7"/>
    </row>
    <row r="959" spans="1:7" x14ac:dyDescent="0.2">
      <c r="A959" s="4">
        <v>2757</v>
      </c>
      <c r="B959" s="1" t="s">
        <v>2</v>
      </c>
      <c r="C959">
        <v>550</v>
      </c>
      <c r="D959">
        <v>1</v>
      </c>
      <c r="E959" t="s">
        <v>10</v>
      </c>
      <c r="F959" s="6"/>
      <c r="G959" s="7"/>
    </row>
    <row r="960" spans="1:7" x14ac:dyDescent="0.2">
      <c r="A960" s="4">
        <v>3238</v>
      </c>
      <c r="B960" s="1" t="s">
        <v>1</v>
      </c>
      <c r="C960">
        <v>600</v>
      </c>
      <c r="D960">
        <v>1</v>
      </c>
      <c r="E960" t="s">
        <v>10</v>
      </c>
      <c r="F960" s="6"/>
      <c r="G960" s="7"/>
    </row>
    <row r="961" spans="1:7" x14ac:dyDescent="0.2">
      <c r="A961" s="4">
        <v>2436</v>
      </c>
      <c r="B961" s="1" t="s">
        <v>0</v>
      </c>
      <c r="C961">
        <v>600</v>
      </c>
      <c r="D961">
        <v>1</v>
      </c>
      <c r="E961" t="s">
        <v>11</v>
      </c>
      <c r="F961" s="6"/>
      <c r="G961" s="7"/>
    </row>
    <row r="962" spans="1:7" x14ac:dyDescent="0.2">
      <c r="A962" s="4">
        <v>895</v>
      </c>
      <c r="B962" s="1" t="s">
        <v>4</v>
      </c>
      <c r="C962">
        <v>600</v>
      </c>
      <c r="D962">
        <v>1</v>
      </c>
      <c r="E962" t="s">
        <v>11</v>
      </c>
      <c r="F962" s="6"/>
      <c r="G962" s="7"/>
    </row>
    <row r="963" spans="1:7" x14ac:dyDescent="0.2">
      <c r="A963" s="4">
        <v>1452</v>
      </c>
      <c r="B963" s="1" t="s">
        <v>4</v>
      </c>
      <c r="C963">
        <v>600</v>
      </c>
      <c r="D963">
        <v>1</v>
      </c>
      <c r="E963" t="s">
        <v>11</v>
      </c>
      <c r="F963" s="6"/>
      <c r="G963" s="7"/>
    </row>
    <row r="964" spans="1:7" x14ac:dyDescent="0.2">
      <c r="A964" s="4">
        <v>1545</v>
      </c>
      <c r="B964" s="1" t="s">
        <v>5</v>
      </c>
      <c r="C964">
        <v>600</v>
      </c>
      <c r="D964">
        <v>1</v>
      </c>
      <c r="E964" t="s">
        <v>11</v>
      </c>
      <c r="F964" s="6"/>
      <c r="G964" s="7"/>
    </row>
    <row r="965" spans="1:7" x14ac:dyDescent="0.2">
      <c r="A965" s="4">
        <v>1695</v>
      </c>
      <c r="B965" s="1" t="s">
        <v>5</v>
      </c>
      <c r="C965">
        <v>600</v>
      </c>
      <c r="D965">
        <v>1</v>
      </c>
      <c r="E965" t="s">
        <v>11</v>
      </c>
      <c r="F965" s="6"/>
      <c r="G965" s="7"/>
    </row>
    <row r="966" spans="1:7" x14ac:dyDescent="0.2">
      <c r="A966" s="4">
        <v>2044</v>
      </c>
      <c r="B966" s="1" t="s">
        <v>3</v>
      </c>
      <c r="C966">
        <v>600</v>
      </c>
      <c r="D966">
        <v>1</v>
      </c>
      <c r="E966" t="s">
        <v>11</v>
      </c>
      <c r="F966" s="6"/>
      <c r="G966" s="7"/>
    </row>
    <row r="967" spans="1:7" x14ac:dyDescent="0.2">
      <c r="A967" s="4">
        <v>2256</v>
      </c>
      <c r="B967" s="1" t="s">
        <v>3</v>
      </c>
      <c r="C967">
        <v>600</v>
      </c>
      <c r="D967">
        <v>1</v>
      </c>
      <c r="E967" t="s">
        <v>10</v>
      </c>
      <c r="F967" s="6"/>
      <c r="G967" s="7"/>
    </row>
    <row r="968" spans="1:7" x14ac:dyDescent="0.2">
      <c r="A968" s="4">
        <v>2386</v>
      </c>
      <c r="B968" s="1" t="s">
        <v>0</v>
      </c>
      <c r="C968">
        <v>600</v>
      </c>
      <c r="D968">
        <v>1</v>
      </c>
      <c r="E968" t="s">
        <v>10</v>
      </c>
      <c r="F968" s="6"/>
      <c r="G968" s="7"/>
    </row>
    <row r="969" spans="1:7" x14ac:dyDescent="0.2">
      <c r="A969" s="4">
        <v>2444</v>
      </c>
      <c r="B969" s="1" t="s">
        <v>0</v>
      </c>
      <c r="C969">
        <v>600</v>
      </c>
      <c r="D969">
        <v>1</v>
      </c>
      <c r="E969" t="s">
        <v>11</v>
      </c>
      <c r="F969" s="6"/>
      <c r="G969" s="7"/>
    </row>
    <row r="970" spans="1:7" x14ac:dyDescent="0.2">
      <c r="A970" s="4">
        <v>2520</v>
      </c>
      <c r="B970" s="1" t="s">
        <v>0</v>
      </c>
      <c r="C970">
        <v>600</v>
      </c>
      <c r="D970">
        <v>1</v>
      </c>
      <c r="E970" t="s">
        <v>10</v>
      </c>
      <c r="F970" s="6"/>
      <c r="G970" s="7"/>
    </row>
    <row r="971" spans="1:7" x14ac:dyDescent="0.2">
      <c r="A971" s="4">
        <v>2595</v>
      </c>
      <c r="B971" s="1" t="s">
        <v>0</v>
      </c>
      <c r="C971">
        <v>600</v>
      </c>
      <c r="D971">
        <v>1</v>
      </c>
      <c r="E971" t="s">
        <v>11</v>
      </c>
      <c r="F971" s="6"/>
      <c r="G971" s="7"/>
    </row>
    <row r="972" spans="1:7" x14ac:dyDescent="0.2">
      <c r="A972" s="4">
        <v>2668</v>
      </c>
      <c r="B972" s="1" t="s">
        <v>2</v>
      </c>
      <c r="C972">
        <v>600</v>
      </c>
      <c r="D972">
        <v>1</v>
      </c>
      <c r="E972" t="s">
        <v>11</v>
      </c>
      <c r="F972" s="6"/>
      <c r="G972" s="7"/>
    </row>
    <row r="973" spans="1:7" x14ac:dyDescent="0.2">
      <c r="A973" s="4">
        <v>2947</v>
      </c>
      <c r="B973" s="1" t="s">
        <v>1</v>
      </c>
      <c r="C973">
        <v>600</v>
      </c>
      <c r="D973">
        <v>1</v>
      </c>
      <c r="E973" t="s">
        <v>11</v>
      </c>
      <c r="F973" s="6"/>
      <c r="G973" s="7"/>
    </row>
    <row r="974" spans="1:7" x14ac:dyDescent="0.2">
      <c r="A974" s="4">
        <v>3116</v>
      </c>
      <c r="B974" s="1" t="s">
        <v>1</v>
      </c>
      <c r="C974">
        <v>600</v>
      </c>
      <c r="D974">
        <v>1</v>
      </c>
      <c r="E974" t="s">
        <v>11</v>
      </c>
      <c r="F974" s="6"/>
      <c r="G974" s="7"/>
    </row>
    <row r="975" spans="1:7" x14ac:dyDescent="0.2">
      <c r="A975" s="4">
        <v>6127</v>
      </c>
      <c r="B975" s="1" t="s">
        <v>1</v>
      </c>
      <c r="C975">
        <v>600</v>
      </c>
      <c r="D975">
        <v>1</v>
      </c>
      <c r="E975" t="s">
        <v>10</v>
      </c>
      <c r="F975" s="6"/>
      <c r="G975" s="7"/>
    </row>
    <row r="976" spans="1:7" x14ac:dyDescent="0.2">
      <c r="A976" s="4">
        <v>5941</v>
      </c>
      <c r="B976" s="1" t="s">
        <v>2</v>
      </c>
      <c r="C976">
        <v>620</v>
      </c>
      <c r="D976">
        <v>1</v>
      </c>
      <c r="E976" t="s">
        <v>10</v>
      </c>
      <c r="F976" s="6"/>
      <c r="G976" s="7"/>
    </row>
    <row r="977" spans="1:7" x14ac:dyDescent="0.2">
      <c r="A977" s="4">
        <v>2309</v>
      </c>
      <c r="B977" s="1" t="s">
        <v>0</v>
      </c>
      <c r="C977">
        <v>650</v>
      </c>
      <c r="D977">
        <v>1</v>
      </c>
      <c r="E977" t="s">
        <v>10</v>
      </c>
      <c r="F977" s="6"/>
      <c r="G977" s="7"/>
    </row>
    <row r="978" spans="1:7" x14ac:dyDescent="0.2">
      <c r="A978" s="4">
        <v>6249</v>
      </c>
      <c r="B978" s="1" t="s">
        <v>1</v>
      </c>
      <c r="C978">
        <v>650</v>
      </c>
      <c r="D978">
        <v>1</v>
      </c>
      <c r="E978" t="s">
        <v>11</v>
      </c>
      <c r="F978" s="6"/>
      <c r="G978" s="7"/>
    </row>
    <row r="979" spans="1:7" x14ac:dyDescent="0.2">
      <c r="A979" s="4">
        <v>5182</v>
      </c>
      <c r="B979" s="1" t="s">
        <v>4</v>
      </c>
      <c r="C979">
        <v>690</v>
      </c>
      <c r="D979">
        <v>1</v>
      </c>
      <c r="E979" t="s">
        <v>11</v>
      </c>
      <c r="F979" s="6"/>
      <c r="G979" s="7"/>
    </row>
    <row r="980" spans="1:7" x14ac:dyDescent="0.2">
      <c r="A980" s="4">
        <v>2052</v>
      </c>
      <c r="B980" s="1" t="s">
        <v>3</v>
      </c>
      <c r="C980">
        <v>700</v>
      </c>
      <c r="D980">
        <v>1</v>
      </c>
      <c r="E980" t="s">
        <v>10</v>
      </c>
      <c r="F980" s="6"/>
      <c r="G980" s="7"/>
    </row>
    <row r="981" spans="1:7" x14ac:dyDescent="0.2">
      <c r="A981" s="4">
        <v>1721</v>
      </c>
      <c r="B981" s="1" t="s">
        <v>3</v>
      </c>
      <c r="C981">
        <v>700</v>
      </c>
      <c r="D981">
        <v>1</v>
      </c>
      <c r="E981" t="s">
        <v>10</v>
      </c>
      <c r="F981" s="6"/>
      <c r="G981" s="7"/>
    </row>
    <row r="982" spans="1:7" x14ac:dyDescent="0.2">
      <c r="A982" s="4">
        <v>6545</v>
      </c>
      <c r="B982" s="1" t="s">
        <v>3</v>
      </c>
      <c r="C982">
        <v>700</v>
      </c>
      <c r="D982">
        <v>1</v>
      </c>
      <c r="E982" t="s">
        <v>11</v>
      </c>
      <c r="F982" s="6"/>
      <c r="G982" s="7"/>
    </row>
    <row r="983" spans="1:7" x14ac:dyDescent="0.2">
      <c r="A983" s="4">
        <v>6661</v>
      </c>
      <c r="B983" s="1" t="s">
        <v>3</v>
      </c>
      <c r="C983">
        <v>700</v>
      </c>
      <c r="D983">
        <v>1</v>
      </c>
      <c r="E983" t="s">
        <v>11</v>
      </c>
      <c r="F983" s="6"/>
      <c r="G983" s="7"/>
    </row>
    <row r="984" spans="1:7" x14ac:dyDescent="0.2">
      <c r="A984" s="4">
        <v>1875</v>
      </c>
      <c r="B984" s="1" t="s">
        <v>3</v>
      </c>
      <c r="C984">
        <v>700</v>
      </c>
      <c r="D984">
        <v>1</v>
      </c>
      <c r="E984" t="s">
        <v>11</v>
      </c>
      <c r="F984" s="6"/>
      <c r="G984" s="7"/>
    </row>
    <row r="985" spans="1:7" x14ac:dyDescent="0.2">
      <c r="A985" s="4">
        <v>2158</v>
      </c>
      <c r="B985" s="1" t="s">
        <v>3</v>
      </c>
      <c r="C985">
        <v>700</v>
      </c>
      <c r="D985">
        <v>1</v>
      </c>
      <c r="E985" t="s">
        <v>11</v>
      </c>
      <c r="F985" s="6"/>
      <c r="G985" s="7"/>
    </row>
    <row r="986" spans="1:7" x14ac:dyDescent="0.2">
      <c r="A986" s="4">
        <v>1766</v>
      </c>
      <c r="B986" s="1" t="s">
        <v>3</v>
      </c>
      <c r="C986">
        <v>700</v>
      </c>
      <c r="D986">
        <v>1</v>
      </c>
      <c r="E986" t="s">
        <v>11</v>
      </c>
      <c r="F986" s="6"/>
      <c r="G986" s="7"/>
    </row>
    <row r="987" spans="1:7" x14ac:dyDescent="0.2">
      <c r="A987" s="4">
        <v>1925</v>
      </c>
      <c r="B987" s="1" t="s">
        <v>3</v>
      </c>
      <c r="C987">
        <v>700</v>
      </c>
      <c r="D987">
        <v>1</v>
      </c>
      <c r="E987" t="s">
        <v>11</v>
      </c>
      <c r="F987" s="6"/>
      <c r="G987" s="7"/>
    </row>
    <row r="988" spans="1:7" x14ac:dyDescent="0.2">
      <c r="A988" s="4">
        <v>2184</v>
      </c>
      <c r="B988" s="1" t="s">
        <v>3</v>
      </c>
      <c r="C988">
        <v>700</v>
      </c>
      <c r="D988">
        <v>1</v>
      </c>
      <c r="E988" t="s">
        <v>10</v>
      </c>
      <c r="F988" s="6"/>
      <c r="G988" s="7"/>
    </row>
    <row r="989" spans="1:7" x14ac:dyDescent="0.2">
      <c r="A989" s="4">
        <v>2464</v>
      </c>
      <c r="B989" s="1" t="s">
        <v>0</v>
      </c>
      <c r="C989">
        <v>700</v>
      </c>
      <c r="D989">
        <v>1</v>
      </c>
      <c r="E989" t="s">
        <v>10</v>
      </c>
      <c r="F989" s="6"/>
      <c r="G989" s="7"/>
    </row>
    <row r="990" spans="1:7" x14ac:dyDescent="0.2">
      <c r="A990" s="4">
        <v>2647</v>
      </c>
      <c r="B990" s="1" t="s">
        <v>2</v>
      </c>
      <c r="C990">
        <v>700</v>
      </c>
      <c r="D990">
        <v>1</v>
      </c>
      <c r="E990" t="s">
        <v>10</v>
      </c>
      <c r="F990" s="6"/>
      <c r="G990" s="7"/>
    </row>
    <row r="991" spans="1:7" x14ac:dyDescent="0.2">
      <c r="A991" s="4">
        <v>1663</v>
      </c>
      <c r="B991" s="1" t="s">
        <v>5</v>
      </c>
      <c r="C991">
        <v>730</v>
      </c>
      <c r="D991">
        <v>1</v>
      </c>
      <c r="E991" t="s">
        <v>11</v>
      </c>
      <c r="F991" s="6"/>
      <c r="G991" s="7"/>
    </row>
    <row r="992" spans="1:7" x14ac:dyDescent="0.2">
      <c r="A992" s="4">
        <v>2060</v>
      </c>
      <c r="B992" s="1" t="s">
        <v>3</v>
      </c>
      <c r="C992">
        <v>750</v>
      </c>
      <c r="D992">
        <v>1</v>
      </c>
      <c r="E992" t="s">
        <v>11</v>
      </c>
      <c r="F992" s="6"/>
      <c r="G992" s="7"/>
    </row>
    <row r="993" spans="1:7" x14ac:dyDescent="0.2">
      <c r="A993" s="4">
        <v>3132</v>
      </c>
      <c r="B993" s="1" t="s">
        <v>1</v>
      </c>
      <c r="C993">
        <v>750</v>
      </c>
      <c r="D993">
        <v>1</v>
      </c>
      <c r="E993" t="s">
        <v>10</v>
      </c>
      <c r="F993" s="6"/>
      <c r="G993" s="7"/>
    </row>
    <row r="994" spans="1:7" x14ac:dyDescent="0.2">
      <c r="A994" s="4">
        <v>2049</v>
      </c>
      <c r="B994" s="1" t="s">
        <v>3</v>
      </c>
      <c r="C994">
        <v>750</v>
      </c>
      <c r="D994">
        <v>1</v>
      </c>
      <c r="E994" t="s">
        <v>10</v>
      </c>
      <c r="F994" s="6"/>
      <c r="G994" s="7"/>
    </row>
    <row r="995" spans="1:7" x14ac:dyDescent="0.2">
      <c r="A995" s="4">
        <v>3009</v>
      </c>
      <c r="B995" s="1" t="s">
        <v>1</v>
      </c>
      <c r="C995">
        <v>750</v>
      </c>
      <c r="D995">
        <v>1</v>
      </c>
      <c r="E995" t="s">
        <v>10</v>
      </c>
      <c r="F995" s="6"/>
      <c r="G995" s="7"/>
    </row>
    <row r="996" spans="1:7" x14ac:dyDescent="0.2">
      <c r="A996" s="4">
        <v>6283</v>
      </c>
      <c r="B996" s="1" t="s">
        <v>1</v>
      </c>
      <c r="C996">
        <v>750</v>
      </c>
      <c r="D996">
        <v>1</v>
      </c>
      <c r="E996" t="s">
        <v>11</v>
      </c>
      <c r="F996" s="6"/>
      <c r="G996" s="7"/>
    </row>
    <row r="997" spans="1:7" x14ac:dyDescent="0.2">
      <c r="A997" s="4">
        <v>2629</v>
      </c>
      <c r="B997" s="1" t="s">
        <v>0</v>
      </c>
      <c r="C997">
        <v>800</v>
      </c>
      <c r="D997">
        <v>1</v>
      </c>
      <c r="E997" t="s">
        <v>11</v>
      </c>
      <c r="F997" s="6"/>
      <c r="G997" s="7"/>
    </row>
    <row r="998" spans="1:7" x14ac:dyDescent="0.2">
      <c r="A998" s="4">
        <v>2549</v>
      </c>
      <c r="B998" s="1" t="s">
        <v>0</v>
      </c>
      <c r="C998">
        <v>800</v>
      </c>
      <c r="D998">
        <v>1</v>
      </c>
      <c r="E998" t="s">
        <v>11</v>
      </c>
      <c r="F998" s="6"/>
      <c r="G998" s="7"/>
    </row>
    <row r="999" spans="1:7" x14ac:dyDescent="0.2">
      <c r="A999" s="4">
        <v>794</v>
      </c>
      <c r="B999" s="1" t="s">
        <v>4</v>
      </c>
      <c r="C999">
        <v>800</v>
      </c>
      <c r="D999">
        <v>1</v>
      </c>
      <c r="E999" t="s">
        <v>10</v>
      </c>
      <c r="F999" s="6"/>
      <c r="G999" s="7"/>
    </row>
    <row r="1000" spans="1:7" x14ac:dyDescent="0.2">
      <c r="A1000" s="4">
        <v>1419</v>
      </c>
      <c r="B1000" s="1" t="s">
        <v>4</v>
      </c>
      <c r="C1000">
        <v>800</v>
      </c>
      <c r="D1000">
        <v>1</v>
      </c>
      <c r="E1000" t="s">
        <v>11</v>
      </c>
      <c r="F1000" s="6"/>
      <c r="G1000" s="7"/>
    </row>
    <row r="1001" spans="1:7" x14ac:dyDescent="0.2">
      <c r="A1001" s="4">
        <v>1450</v>
      </c>
      <c r="B1001" s="1" t="s">
        <v>4</v>
      </c>
      <c r="C1001">
        <v>800</v>
      </c>
      <c r="D1001">
        <v>1</v>
      </c>
      <c r="E1001" t="s">
        <v>10</v>
      </c>
      <c r="F1001" s="6"/>
      <c r="G1001" s="7"/>
    </row>
    <row r="1002" spans="1:7" x14ac:dyDescent="0.2">
      <c r="A1002" s="4">
        <v>1700</v>
      </c>
      <c r="B1002" s="1" t="s">
        <v>5</v>
      </c>
      <c r="C1002">
        <v>800</v>
      </c>
      <c r="D1002">
        <v>1</v>
      </c>
      <c r="E1002" t="s">
        <v>11</v>
      </c>
      <c r="F1002" s="6"/>
      <c r="G1002" s="7"/>
    </row>
    <row r="1003" spans="1:7" x14ac:dyDescent="0.2">
      <c r="A1003" s="4">
        <v>1854</v>
      </c>
      <c r="B1003" s="1" t="s">
        <v>3</v>
      </c>
      <c r="C1003">
        <v>800</v>
      </c>
      <c r="D1003">
        <v>1</v>
      </c>
      <c r="E1003" t="s">
        <v>11</v>
      </c>
      <c r="F1003" s="6"/>
      <c r="G1003" s="7"/>
    </row>
    <row r="1004" spans="1:7" x14ac:dyDescent="0.2">
      <c r="A1004" s="4">
        <v>2015</v>
      </c>
      <c r="B1004" s="1" t="s">
        <v>3</v>
      </c>
      <c r="C1004">
        <v>800</v>
      </c>
      <c r="D1004">
        <v>1</v>
      </c>
      <c r="E1004" t="s">
        <v>11</v>
      </c>
      <c r="F1004" s="6"/>
      <c r="G1004" s="7"/>
    </row>
    <row r="1005" spans="1:7" x14ac:dyDescent="0.2">
      <c r="A1005" s="4">
        <v>5148</v>
      </c>
      <c r="B1005" s="1" t="s">
        <v>4</v>
      </c>
      <c r="C1005">
        <v>800</v>
      </c>
      <c r="D1005">
        <v>1</v>
      </c>
      <c r="E1005" t="s">
        <v>11</v>
      </c>
      <c r="F1005" s="6"/>
      <c r="G1005" s="7"/>
    </row>
    <row r="1006" spans="1:7" x14ac:dyDescent="0.2">
      <c r="A1006" s="4">
        <v>5824</v>
      </c>
      <c r="B1006" s="1" t="s">
        <v>2</v>
      </c>
      <c r="C1006">
        <v>800</v>
      </c>
      <c r="D1006">
        <v>1</v>
      </c>
      <c r="E1006" t="s">
        <v>11</v>
      </c>
      <c r="F1006" s="6"/>
      <c r="G1006" s="7"/>
    </row>
    <row r="1007" spans="1:7" x14ac:dyDescent="0.2">
      <c r="A1007" s="4">
        <v>6664</v>
      </c>
      <c r="B1007" s="1" t="s">
        <v>3</v>
      </c>
      <c r="C1007">
        <v>800</v>
      </c>
      <c r="D1007">
        <v>1</v>
      </c>
      <c r="E1007" t="s">
        <v>11</v>
      </c>
      <c r="F1007" s="6"/>
      <c r="G1007" s="7"/>
    </row>
    <row r="1008" spans="1:7" x14ac:dyDescent="0.2">
      <c r="A1008" s="4">
        <v>6861</v>
      </c>
      <c r="B1008" s="1" t="s">
        <v>3</v>
      </c>
      <c r="C1008">
        <v>800</v>
      </c>
      <c r="D1008">
        <v>1</v>
      </c>
      <c r="E1008" t="s">
        <v>10</v>
      </c>
      <c r="F1008" s="6"/>
      <c r="G1008" s="7"/>
    </row>
    <row r="1009" spans="1:7" x14ac:dyDescent="0.2">
      <c r="A1009" s="4">
        <v>3197</v>
      </c>
      <c r="B1009" s="1" t="s">
        <v>1</v>
      </c>
      <c r="C1009">
        <v>820</v>
      </c>
      <c r="D1009">
        <v>1</v>
      </c>
      <c r="E1009" t="s">
        <v>11</v>
      </c>
      <c r="F1009" s="6"/>
      <c r="G1009" s="7"/>
    </row>
    <row r="1010" spans="1:7" x14ac:dyDescent="0.2">
      <c r="A1010" s="4">
        <v>1755</v>
      </c>
      <c r="B1010" s="1" t="s">
        <v>3</v>
      </c>
      <c r="C1010">
        <v>840</v>
      </c>
      <c r="D1010">
        <v>1</v>
      </c>
      <c r="E1010" t="s">
        <v>11</v>
      </c>
      <c r="F1010" s="6"/>
      <c r="G1010" s="7"/>
    </row>
    <row r="1011" spans="1:7" x14ac:dyDescent="0.2">
      <c r="A1011" s="4">
        <v>3181</v>
      </c>
      <c r="B1011" s="1" t="s">
        <v>1</v>
      </c>
      <c r="C1011">
        <v>892</v>
      </c>
      <c r="D1011">
        <v>1</v>
      </c>
      <c r="E1011" t="s">
        <v>11</v>
      </c>
      <c r="F1011" s="6"/>
      <c r="G1011" s="7"/>
    </row>
    <row r="1012" spans="1:7" x14ac:dyDescent="0.2">
      <c r="A1012" s="4">
        <v>2230</v>
      </c>
      <c r="B1012" s="1" t="s">
        <v>3</v>
      </c>
      <c r="C1012">
        <v>900</v>
      </c>
      <c r="D1012">
        <v>1</v>
      </c>
      <c r="E1012" t="s">
        <v>11</v>
      </c>
      <c r="F1012" s="6"/>
      <c r="G1012" s="7"/>
    </row>
    <row r="1013" spans="1:7" x14ac:dyDescent="0.2">
      <c r="A1013" s="4">
        <v>3112</v>
      </c>
      <c r="B1013" s="1" t="s">
        <v>1</v>
      </c>
      <c r="C1013">
        <v>900</v>
      </c>
      <c r="D1013">
        <v>1</v>
      </c>
      <c r="E1013" t="s">
        <v>10</v>
      </c>
      <c r="F1013" s="6"/>
      <c r="G1013" s="7"/>
    </row>
    <row r="1014" spans="1:7" x14ac:dyDescent="0.2">
      <c r="A1014" s="4">
        <v>3179</v>
      </c>
      <c r="B1014" s="1" t="s">
        <v>1</v>
      </c>
      <c r="C1014">
        <v>900</v>
      </c>
      <c r="D1014">
        <v>1</v>
      </c>
      <c r="E1014" t="s">
        <v>11</v>
      </c>
      <c r="F1014" s="6"/>
      <c r="G1014" s="7"/>
    </row>
    <row r="1015" spans="1:7" x14ac:dyDescent="0.2">
      <c r="A1015" s="4">
        <v>5103</v>
      </c>
      <c r="B1015" s="1" t="s">
        <v>4</v>
      </c>
      <c r="C1015">
        <v>900</v>
      </c>
      <c r="D1015">
        <v>1</v>
      </c>
      <c r="E1015" t="s">
        <v>10</v>
      </c>
      <c r="F1015" s="6"/>
      <c r="G1015" s="7"/>
    </row>
    <row r="1016" spans="1:7" x14ac:dyDescent="0.2">
      <c r="A1016" s="4">
        <v>6804</v>
      </c>
      <c r="B1016" s="1" t="s">
        <v>3</v>
      </c>
      <c r="C1016">
        <v>950</v>
      </c>
      <c r="D1016">
        <v>1</v>
      </c>
      <c r="E1016" t="s">
        <v>10</v>
      </c>
      <c r="F1016" s="6"/>
      <c r="G1016" s="7"/>
    </row>
    <row r="1017" spans="1:7" x14ac:dyDescent="0.2">
      <c r="A1017" s="4">
        <v>2893</v>
      </c>
      <c r="B1017" s="1" t="s">
        <v>1</v>
      </c>
      <c r="C1017">
        <v>995</v>
      </c>
      <c r="D1017">
        <v>1</v>
      </c>
      <c r="E1017" t="s">
        <v>11</v>
      </c>
      <c r="F1017" s="6"/>
      <c r="G1017" s="7"/>
    </row>
    <row r="1018" spans="1:7" x14ac:dyDescent="0.2">
      <c r="A1018" s="4">
        <v>2428</v>
      </c>
      <c r="B1018" s="1" t="s">
        <v>0</v>
      </c>
      <c r="C1018" s="1">
        <v>1000</v>
      </c>
      <c r="D1018">
        <v>1</v>
      </c>
      <c r="E1018" t="s">
        <v>10</v>
      </c>
      <c r="F1018" s="6"/>
      <c r="G1018" s="7"/>
    </row>
    <row r="1019" spans="1:7" x14ac:dyDescent="0.2">
      <c r="A1019" s="4">
        <v>2643</v>
      </c>
      <c r="B1019" s="1" t="s">
        <v>2</v>
      </c>
      <c r="C1019" s="1">
        <v>1000</v>
      </c>
      <c r="D1019">
        <v>1</v>
      </c>
      <c r="E1019" t="s">
        <v>11</v>
      </c>
      <c r="F1019" s="6"/>
      <c r="G1019" s="7"/>
    </row>
    <row r="1020" spans="1:7" x14ac:dyDescent="0.2">
      <c r="A1020" s="4">
        <v>2246</v>
      </c>
      <c r="B1020" s="1" t="s">
        <v>3</v>
      </c>
      <c r="C1020" s="1">
        <v>1000</v>
      </c>
      <c r="D1020">
        <v>1</v>
      </c>
      <c r="E1020" t="s">
        <v>11</v>
      </c>
      <c r="F1020" s="6"/>
      <c r="G1020" s="7"/>
    </row>
    <row r="1021" spans="1:7" x14ac:dyDescent="0.2">
      <c r="A1021" s="4">
        <v>1874</v>
      </c>
      <c r="B1021" s="1" t="s">
        <v>3</v>
      </c>
      <c r="C1021" s="1">
        <v>1000</v>
      </c>
      <c r="D1021">
        <v>1</v>
      </c>
      <c r="E1021" t="s">
        <v>10</v>
      </c>
      <c r="F1021" s="6"/>
      <c r="G1021" s="7"/>
    </row>
    <row r="1022" spans="1:7" x14ac:dyDescent="0.2">
      <c r="A1022" s="4">
        <v>2342</v>
      </c>
      <c r="B1022" s="1" t="s">
        <v>0</v>
      </c>
      <c r="C1022" s="1">
        <v>1000</v>
      </c>
      <c r="D1022">
        <v>1</v>
      </c>
      <c r="E1022" t="s">
        <v>11</v>
      </c>
      <c r="F1022" s="6"/>
      <c r="G1022" s="7"/>
    </row>
    <row r="1023" spans="1:7" x14ac:dyDescent="0.2">
      <c r="A1023" s="4">
        <v>5013</v>
      </c>
      <c r="B1023" s="1" t="s">
        <v>4</v>
      </c>
      <c r="C1023" s="1">
        <v>1000</v>
      </c>
      <c r="D1023">
        <v>1</v>
      </c>
      <c r="E1023" t="s">
        <v>11</v>
      </c>
      <c r="F1023" s="6"/>
      <c r="G1023" s="7"/>
    </row>
    <row r="1024" spans="1:7" x14ac:dyDescent="0.2">
      <c r="A1024" s="4">
        <v>1746</v>
      </c>
      <c r="B1024" t="s">
        <v>3</v>
      </c>
      <c r="C1024" s="1">
        <v>1000</v>
      </c>
      <c r="D1024">
        <v>1</v>
      </c>
      <c r="E1024" t="s">
        <v>11</v>
      </c>
      <c r="F1024" s="6"/>
      <c r="G1024" s="7"/>
    </row>
    <row r="1025" spans="1:7" x14ac:dyDescent="0.2">
      <c r="A1025" s="4">
        <v>1882</v>
      </c>
      <c r="B1025" t="s">
        <v>3</v>
      </c>
      <c r="C1025" s="1">
        <v>1000</v>
      </c>
      <c r="D1025">
        <v>1</v>
      </c>
      <c r="E1025" t="s">
        <v>10</v>
      </c>
      <c r="F1025" s="6"/>
      <c r="G1025" s="7"/>
    </row>
    <row r="1026" spans="1:7" x14ac:dyDescent="0.2">
      <c r="A1026" s="4">
        <v>1994</v>
      </c>
      <c r="B1026" t="s">
        <v>3</v>
      </c>
      <c r="C1026" s="1">
        <v>1000</v>
      </c>
      <c r="D1026">
        <v>1</v>
      </c>
      <c r="E1026" t="s">
        <v>11</v>
      </c>
      <c r="F1026" s="6"/>
      <c r="G1026" s="7"/>
    </row>
    <row r="1027" spans="1:7" x14ac:dyDescent="0.2">
      <c r="A1027" s="4">
        <v>2573</v>
      </c>
      <c r="B1027" t="s">
        <v>0</v>
      </c>
      <c r="C1027" s="1">
        <v>1000</v>
      </c>
      <c r="D1027">
        <v>1</v>
      </c>
      <c r="E1027" t="s">
        <v>10</v>
      </c>
      <c r="F1027" s="6"/>
      <c r="G1027" s="7"/>
    </row>
    <row r="1028" spans="1:7" x14ac:dyDescent="0.2">
      <c r="A1028" s="4">
        <v>2707</v>
      </c>
      <c r="B1028" t="s">
        <v>2</v>
      </c>
      <c r="C1028" s="1">
        <v>1000</v>
      </c>
      <c r="D1028">
        <v>1</v>
      </c>
      <c r="E1028" t="s">
        <v>10</v>
      </c>
      <c r="F1028" s="6"/>
      <c r="G1028" s="7"/>
    </row>
    <row r="1029" spans="1:7" x14ac:dyDescent="0.2">
      <c r="A1029" s="4">
        <v>2840</v>
      </c>
      <c r="B1029" t="s">
        <v>2</v>
      </c>
      <c r="C1029" s="1">
        <v>1000</v>
      </c>
      <c r="D1029">
        <v>1</v>
      </c>
      <c r="E1029" t="s">
        <v>10</v>
      </c>
      <c r="F1029" s="6"/>
      <c r="G1029" s="7"/>
    </row>
    <row r="1030" spans="1:7" x14ac:dyDescent="0.2">
      <c r="A1030" s="4">
        <v>2880</v>
      </c>
      <c r="B1030" t="s">
        <v>2</v>
      </c>
      <c r="C1030" s="1">
        <v>1000</v>
      </c>
      <c r="D1030">
        <v>1</v>
      </c>
      <c r="E1030" t="s">
        <v>11</v>
      </c>
      <c r="F1030" s="6"/>
      <c r="G1030" s="7"/>
    </row>
    <row r="1031" spans="1:7" x14ac:dyDescent="0.2">
      <c r="A1031" s="4">
        <v>3168</v>
      </c>
      <c r="B1031" t="s">
        <v>1</v>
      </c>
      <c r="C1031" s="1">
        <v>1000</v>
      </c>
      <c r="D1031">
        <v>1</v>
      </c>
      <c r="E1031" t="s">
        <v>11</v>
      </c>
      <c r="F1031" s="6"/>
      <c r="G1031" s="7"/>
    </row>
    <row r="1032" spans="1:7" x14ac:dyDescent="0.2">
      <c r="A1032" s="4">
        <v>3255</v>
      </c>
      <c r="B1032" t="s">
        <v>1</v>
      </c>
      <c r="C1032" s="1">
        <v>1000</v>
      </c>
      <c r="D1032">
        <v>1</v>
      </c>
      <c r="E1032" t="s">
        <v>10</v>
      </c>
      <c r="F1032" s="6"/>
      <c r="G1032" s="7"/>
    </row>
    <row r="1033" spans="1:7" x14ac:dyDescent="0.2">
      <c r="A1033" s="4">
        <v>3261</v>
      </c>
      <c r="B1033" t="s">
        <v>1</v>
      </c>
      <c r="C1033" s="1">
        <v>1000</v>
      </c>
      <c r="D1033">
        <v>1</v>
      </c>
      <c r="E1033" t="s">
        <v>10</v>
      </c>
      <c r="F1033" s="6"/>
      <c r="G1033" s="7"/>
    </row>
    <row r="1034" spans="1:7" x14ac:dyDescent="0.2">
      <c r="A1034" s="4">
        <v>5101</v>
      </c>
      <c r="B1034" t="s">
        <v>4</v>
      </c>
      <c r="C1034" s="1">
        <v>1000</v>
      </c>
      <c r="D1034">
        <v>1</v>
      </c>
      <c r="E1034" t="s">
        <v>10</v>
      </c>
      <c r="F1034" s="6"/>
      <c r="G1034" s="7"/>
    </row>
    <row r="1035" spans="1:7" x14ac:dyDescent="0.2">
      <c r="A1035" s="4">
        <v>5123</v>
      </c>
      <c r="B1035" t="s">
        <v>4</v>
      </c>
      <c r="C1035" s="1">
        <v>1000</v>
      </c>
      <c r="D1035">
        <v>1</v>
      </c>
      <c r="E1035" t="s">
        <v>11</v>
      </c>
      <c r="F1035" s="6"/>
      <c r="G1035" s="7"/>
    </row>
    <row r="1036" spans="1:7" x14ac:dyDescent="0.2">
      <c r="A1036" s="4">
        <v>5145</v>
      </c>
      <c r="B1036" t="s">
        <v>4</v>
      </c>
      <c r="C1036" s="1">
        <v>1000</v>
      </c>
      <c r="D1036">
        <v>1</v>
      </c>
      <c r="E1036" t="s">
        <v>11</v>
      </c>
      <c r="F1036" s="6"/>
      <c r="G1036" s="7"/>
    </row>
    <row r="1037" spans="1:7" x14ac:dyDescent="0.2">
      <c r="A1037" s="4">
        <v>5942</v>
      </c>
      <c r="B1037" t="s">
        <v>2</v>
      </c>
      <c r="C1037" s="1">
        <v>1000</v>
      </c>
      <c r="D1037">
        <v>1</v>
      </c>
      <c r="E1037" t="s">
        <v>10</v>
      </c>
      <c r="F1037" s="6"/>
      <c r="G1037" s="7"/>
    </row>
    <row r="1038" spans="1:7" x14ac:dyDescent="0.2">
      <c r="A1038" s="4">
        <v>5948</v>
      </c>
      <c r="B1038" t="s">
        <v>2</v>
      </c>
      <c r="C1038" s="1">
        <v>1000</v>
      </c>
      <c r="D1038">
        <v>1</v>
      </c>
      <c r="E1038" t="s">
        <v>11</v>
      </c>
      <c r="F1038" s="6"/>
      <c r="G1038" s="7"/>
    </row>
    <row r="1039" spans="1:7" x14ac:dyDescent="0.2">
      <c r="A1039" s="4">
        <v>6125</v>
      </c>
      <c r="B1039" t="s">
        <v>1</v>
      </c>
      <c r="C1039" s="1">
        <v>1000</v>
      </c>
      <c r="D1039">
        <v>1</v>
      </c>
      <c r="E1039" t="s">
        <v>11</v>
      </c>
      <c r="F1039" s="6"/>
      <c r="G1039" s="7"/>
    </row>
    <row r="1040" spans="1:7" x14ac:dyDescent="0.2">
      <c r="A1040" s="4">
        <v>6288</v>
      </c>
      <c r="B1040" t="s">
        <v>1</v>
      </c>
      <c r="C1040" s="1">
        <v>1000</v>
      </c>
      <c r="D1040">
        <v>1</v>
      </c>
      <c r="E1040" t="s">
        <v>10</v>
      </c>
      <c r="F1040" s="6"/>
      <c r="G1040" s="7"/>
    </row>
    <row r="1041" spans="1:7" x14ac:dyDescent="0.2">
      <c r="A1041" s="4">
        <v>6591</v>
      </c>
      <c r="B1041" t="s">
        <v>3</v>
      </c>
      <c r="C1041" s="1">
        <v>1000</v>
      </c>
      <c r="D1041">
        <v>1</v>
      </c>
      <c r="E1041" t="s">
        <v>11</v>
      </c>
      <c r="F1041" s="6"/>
      <c r="G1041" s="7"/>
    </row>
    <row r="1042" spans="1:7" x14ac:dyDescent="0.2">
      <c r="A1042" s="4">
        <v>2722</v>
      </c>
      <c r="B1042" t="s">
        <v>2</v>
      </c>
      <c r="C1042" s="1">
        <v>1100</v>
      </c>
      <c r="D1042">
        <v>1</v>
      </c>
      <c r="E1042" t="s">
        <v>11</v>
      </c>
      <c r="F1042" s="6"/>
      <c r="G1042" s="7"/>
    </row>
    <row r="1043" spans="1:7" x14ac:dyDescent="0.2">
      <c r="A1043" s="4">
        <v>5861</v>
      </c>
      <c r="B1043" t="s">
        <v>2</v>
      </c>
      <c r="C1043" s="1">
        <v>1170</v>
      </c>
      <c r="D1043">
        <v>1</v>
      </c>
      <c r="E1043" t="s">
        <v>10</v>
      </c>
      <c r="F1043" s="6"/>
      <c r="G1043" s="7"/>
    </row>
    <row r="1044" spans="1:7" x14ac:dyDescent="0.2">
      <c r="A1044" s="4">
        <v>3267</v>
      </c>
      <c r="B1044" t="s">
        <v>1</v>
      </c>
      <c r="C1044" s="1">
        <v>1180</v>
      </c>
      <c r="D1044">
        <v>1</v>
      </c>
      <c r="E1044" t="s">
        <v>10</v>
      </c>
      <c r="F1044" s="6"/>
      <c r="G1044" s="7"/>
    </row>
    <row r="1045" spans="1:7" x14ac:dyDescent="0.2">
      <c r="A1045" s="4">
        <v>6622</v>
      </c>
      <c r="B1045" t="s">
        <v>3</v>
      </c>
      <c r="C1045" s="1">
        <v>1200</v>
      </c>
      <c r="D1045">
        <v>1</v>
      </c>
      <c r="E1045" t="s">
        <v>11</v>
      </c>
      <c r="F1045" s="6"/>
      <c r="G1045" s="7"/>
    </row>
    <row r="1046" spans="1:7" x14ac:dyDescent="0.2">
      <c r="A1046" s="4">
        <v>1750</v>
      </c>
      <c r="B1046" t="s">
        <v>3</v>
      </c>
      <c r="C1046" s="1">
        <v>1200</v>
      </c>
      <c r="D1046">
        <v>1</v>
      </c>
      <c r="E1046" t="s">
        <v>11</v>
      </c>
      <c r="F1046" s="6"/>
      <c r="G1046" s="7"/>
    </row>
    <row r="1047" spans="1:7" x14ac:dyDescent="0.2">
      <c r="A1047" s="4">
        <v>812</v>
      </c>
      <c r="B1047" t="s">
        <v>4</v>
      </c>
      <c r="C1047" s="1">
        <v>1200</v>
      </c>
      <c r="D1047">
        <v>1</v>
      </c>
      <c r="E1047" t="s">
        <v>11</v>
      </c>
      <c r="F1047" s="6"/>
      <c r="G1047" s="7"/>
    </row>
    <row r="1048" spans="1:7" x14ac:dyDescent="0.2">
      <c r="A1048" s="4">
        <v>923</v>
      </c>
      <c r="B1048" t="s">
        <v>4</v>
      </c>
      <c r="C1048" s="1">
        <v>1200</v>
      </c>
      <c r="D1048">
        <v>1</v>
      </c>
      <c r="E1048" t="s">
        <v>11</v>
      </c>
      <c r="F1048" s="6"/>
      <c r="G1048" s="7"/>
    </row>
    <row r="1049" spans="1:7" x14ac:dyDescent="0.2">
      <c r="A1049" s="4">
        <v>2296</v>
      </c>
      <c r="B1049" t="s">
        <v>3</v>
      </c>
      <c r="C1049" s="1">
        <v>1200</v>
      </c>
      <c r="D1049">
        <v>1</v>
      </c>
      <c r="E1049" t="s">
        <v>11</v>
      </c>
      <c r="F1049" s="6"/>
      <c r="G1049" s="7"/>
    </row>
    <row r="1050" spans="1:7" x14ac:dyDescent="0.2">
      <c r="A1050" s="4">
        <v>3178</v>
      </c>
      <c r="B1050" t="s">
        <v>1</v>
      </c>
      <c r="C1050" s="1">
        <v>1200</v>
      </c>
      <c r="D1050">
        <v>1</v>
      </c>
      <c r="E1050" t="s">
        <v>10</v>
      </c>
      <c r="F1050" s="6"/>
      <c r="G1050" s="7"/>
    </row>
    <row r="1051" spans="1:7" x14ac:dyDescent="0.2">
      <c r="A1051" s="4">
        <v>3027</v>
      </c>
      <c r="B1051" t="s">
        <v>1</v>
      </c>
      <c r="C1051" s="1">
        <v>1300</v>
      </c>
      <c r="D1051">
        <v>1</v>
      </c>
      <c r="E1051" t="s">
        <v>11</v>
      </c>
      <c r="F1051" s="6"/>
      <c r="G1051" s="7"/>
    </row>
    <row r="1052" spans="1:7" x14ac:dyDescent="0.2">
      <c r="A1052" s="4">
        <v>1997</v>
      </c>
      <c r="B1052" t="s">
        <v>3</v>
      </c>
      <c r="C1052" s="1">
        <v>1400</v>
      </c>
      <c r="D1052">
        <v>1</v>
      </c>
      <c r="E1052" t="s">
        <v>11</v>
      </c>
      <c r="F1052" s="6"/>
      <c r="G1052" s="7"/>
    </row>
    <row r="1053" spans="1:7" x14ac:dyDescent="0.2">
      <c r="A1053" s="4">
        <v>2112</v>
      </c>
      <c r="B1053" t="s">
        <v>3</v>
      </c>
      <c r="C1053" s="1">
        <v>1400</v>
      </c>
      <c r="D1053">
        <v>1</v>
      </c>
      <c r="E1053" t="s">
        <v>10</v>
      </c>
      <c r="F1053" s="6"/>
      <c r="G1053" s="7"/>
    </row>
    <row r="1054" spans="1:7" x14ac:dyDescent="0.2">
      <c r="A1054" s="4">
        <v>2841</v>
      </c>
      <c r="B1054" t="s">
        <v>2</v>
      </c>
      <c r="C1054" s="1">
        <v>1400</v>
      </c>
      <c r="D1054">
        <v>1</v>
      </c>
      <c r="E1054" t="s">
        <v>11</v>
      </c>
      <c r="F1054" s="6"/>
      <c r="G1054" s="7"/>
    </row>
    <row r="1055" spans="1:7" x14ac:dyDescent="0.2">
      <c r="A1055" s="4">
        <v>2867</v>
      </c>
      <c r="B1055" t="s">
        <v>2</v>
      </c>
      <c r="C1055" s="1">
        <v>1400</v>
      </c>
      <c r="D1055">
        <v>1</v>
      </c>
      <c r="E1055" t="s">
        <v>10</v>
      </c>
      <c r="F1055" s="6"/>
      <c r="G1055" s="7"/>
    </row>
    <row r="1056" spans="1:7" x14ac:dyDescent="0.2">
      <c r="A1056" s="4">
        <v>5152</v>
      </c>
      <c r="B1056" t="s">
        <v>4</v>
      </c>
      <c r="C1056" s="1">
        <v>1400</v>
      </c>
      <c r="D1056">
        <v>1</v>
      </c>
      <c r="E1056" t="s">
        <v>11</v>
      </c>
      <c r="F1056" s="6"/>
      <c r="G1056" s="7"/>
    </row>
    <row r="1057" spans="1:7" x14ac:dyDescent="0.2">
      <c r="A1057" s="4">
        <v>1729</v>
      </c>
      <c r="B1057" t="s">
        <v>3</v>
      </c>
      <c r="C1057" s="1">
        <v>1500</v>
      </c>
      <c r="D1057">
        <v>1</v>
      </c>
      <c r="E1057" t="s">
        <v>11</v>
      </c>
      <c r="F1057" s="6"/>
      <c r="G1057" s="7"/>
    </row>
    <row r="1058" spans="1:7" x14ac:dyDescent="0.2">
      <c r="A1058" s="4">
        <v>1743</v>
      </c>
      <c r="B1058" t="s">
        <v>3</v>
      </c>
      <c r="C1058" s="1">
        <v>1500</v>
      </c>
      <c r="D1058">
        <v>1</v>
      </c>
      <c r="E1058" t="s">
        <v>10</v>
      </c>
      <c r="F1058" s="6"/>
      <c r="G1058" s="7"/>
    </row>
    <row r="1059" spans="1:7" x14ac:dyDescent="0.2">
      <c r="A1059" s="4">
        <v>3113</v>
      </c>
      <c r="B1059" t="s">
        <v>1</v>
      </c>
      <c r="C1059" s="1">
        <v>1500</v>
      </c>
      <c r="D1059">
        <v>1</v>
      </c>
      <c r="E1059" t="s">
        <v>11</v>
      </c>
      <c r="F1059" s="6"/>
      <c r="G1059" s="7"/>
    </row>
    <row r="1060" spans="1:7" x14ac:dyDescent="0.2">
      <c r="A1060" s="4">
        <v>2432</v>
      </c>
      <c r="B1060" t="s">
        <v>0</v>
      </c>
      <c r="C1060" s="1">
        <v>1500</v>
      </c>
      <c r="D1060">
        <v>1</v>
      </c>
      <c r="E1060" t="s">
        <v>10</v>
      </c>
      <c r="F1060" s="6"/>
      <c r="G1060" s="7"/>
    </row>
    <row r="1061" spans="1:7" x14ac:dyDescent="0.2">
      <c r="A1061" s="4">
        <v>6441</v>
      </c>
      <c r="B1061" t="s">
        <v>3</v>
      </c>
      <c r="C1061" s="1">
        <v>1500</v>
      </c>
      <c r="D1061">
        <v>1</v>
      </c>
      <c r="E1061" t="s">
        <v>10</v>
      </c>
      <c r="F1061" s="6"/>
      <c r="G1061" s="7"/>
    </row>
    <row r="1062" spans="1:7" x14ac:dyDescent="0.2">
      <c r="A1062" s="4">
        <v>1964</v>
      </c>
      <c r="B1062" t="s">
        <v>3</v>
      </c>
      <c r="C1062" s="1">
        <v>1500</v>
      </c>
      <c r="D1062">
        <v>1</v>
      </c>
      <c r="E1062" t="s">
        <v>10</v>
      </c>
      <c r="F1062" s="6"/>
      <c r="G1062" s="7"/>
    </row>
    <row r="1063" spans="1:7" x14ac:dyDescent="0.2">
      <c r="A1063" s="4">
        <v>2116</v>
      </c>
      <c r="B1063" t="s">
        <v>3</v>
      </c>
      <c r="C1063" s="1">
        <v>1500</v>
      </c>
      <c r="D1063">
        <v>1</v>
      </c>
      <c r="E1063" t="s">
        <v>10</v>
      </c>
      <c r="F1063" s="6"/>
      <c r="G1063" s="7"/>
    </row>
    <row r="1064" spans="1:7" x14ac:dyDescent="0.2">
      <c r="A1064" s="4">
        <v>2289</v>
      </c>
      <c r="B1064" t="s">
        <v>3</v>
      </c>
      <c r="C1064" s="1">
        <v>1500</v>
      </c>
      <c r="D1064">
        <v>1</v>
      </c>
      <c r="E1064" t="s">
        <v>11</v>
      </c>
      <c r="F1064" s="6"/>
      <c r="G1064" s="7"/>
    </row>
    <row r="1065" spans="1:7" x14ac:dyDescent="0.2">
      <c r="A1065" s="4">
        <v>2297</v>
      </c>
      <c r="B1065" t="s">
        <v>3</v>
      </c>
      <c r="C1065" s="1">
        <v>1500</v>
      </c>
      <c r="D1065">
        <v>1</v>
      </c>
      <c r="E1065" t="s">
        <v>11</v>
      </c>
      <c r="F1065" s="6"/>
      <c r="G1065" s="7"/>
    </row>
    <row r="1066" spans="1:7" x14ac:dyDescent="0.2">
      <c r="A1066" s="4">
        <v>2346</v>
      </c>
      <c r="B1066" t="s">
        <v>0</v>
      </c>
      <c r="C1066" s="1">
        <v>1500</v>
      </c>
      <c r="D1066">
        <v>1</v>
      </c>
      <c r="E1066" t="s">
        <v>11</v>
      </c>
      <c r="F1066" s="6"/>
      <c r="G1066" s="7"/>
    </row>
    <row r="1067" spans="1:7" x14ac:dyDescent="0.2">
      <c r="A1067" s="4">
        <v>2418</v>
      </c>
      <c r="B1067" t="s">
        <v>0</v>
      </c>
      <c r="C1067" s="1">
        <v>1500</v>
      </c>
      <c r="D1067">
        <v>1</v>
      </c>
      <c r="E1067" t="s">
        <v>11</v>
      </c>
      <c r="F1067" s="6"/>
      <c r="G1067" s="7"/>
    </row>
    <row r="1068" spans="1:7" x14ac:dyDescent="0.2">
      <c r="A1068" s="4">
        <v>2439</v>
      </c>
      <c r="B1068" t="s">
        <v>0</v>
      </c>
      <c r="C1068" s="1">
        <v>1500</v>
      </c>
      <c r="D1068">
        <v>1</v>
      </c>
      <c r="E1068" t="s">
        <v>10</v>
      </c>
      <c r="F1068" s="6"/>
      <c r="G1068" s="7"/>
    </row>
    <row r="1069" spans="1:7" x14ac:dyDescent="0.2">
      <c r="A1069" s="4">
        <v>2685</v>
      </c>
      <c r="B1069" t="s">
        <v>2</v>
      </c>
      <c r="C1069" s="1">
        <v>1500</v>
      </c>
      <c r="D1069">
        <v>1</v>
      </c>
      <c r="E1069" t="s">
        <v>11</v>
      </c>
      <c r="F1069" s="6"/>
      <c r="G1069" s="7"/>
    </row>
    <row r="1070" spans="1:7" x14ac:dyDescent="0.2">
      <c r="A1070" s="4">
        <v>3106</v>
      </c>
      <c r="B1070" t="s">
        <v>1</v>
      </c>
      <c r="C1070" s="1">
        <v>1500</v>
      </c>
      <c r="D1070">
        <v>1</v>
      </c>
      <c r="E1070" t="s">
        <v>11</v>
      </c>
      <c r="F1070" s="6"/>
      <c r="G1070" s="7"/>
    </row>
    <row r="1071" spans="1:7" x14ac:dyDescent="0.2">
      <c r="A1071" s="4">
        <v>3165</v>
      </c>
      <c r="B1071" t="s">
        <v>1</v>
      </c>
      <c r="C1071" s="1">
        <v>1500</v>
      </c>
      <c r="D1071">
        <v>1</v>
      </c>
      <c r="E1071" t="s">
        <v>10</v>
      </c>
      <c r="F1071" s="6"/>
      <c r="G1071" s="7"/>
    </row>
    <row r="1072" spans="1:7" x14ac:dyDescent="0.2">
      <c r="A1072" s="4">
        <v>3176</v>
      </c>
      <c r="B1072" t="s">
        <v>1</v>
      </c>
      <c r="C1072" s="1">
        <v>1500</v>
      </c>
      <c r="D1072">
        <v>1</v>
      </c>
      <c r="E1072" t="s">
        <v>10</v>
      </c>
      <c r="F1072" s="6"/>
      <c r="G1072" s="7"/>
    </row>
    <row r="1073" spans="1:7" x14ac:dyDescent="0.2">
      <c r="A1073" s="4">
        <v>5153</v>
      </c>
      <c r="B1073" t="s">
        <v>4</v>
      </c>
      <c r="C1073" s="1">
        <v>1500</v>
      </c>
      <c r="D1073">
        <v>1</v>
      </c>
      <c r="E1073" t="s">
        <v>11</v>
      </c>
      <c r="F1073" s="6"/>
      <c r="G1073" s="7"/>
    </row>
    <row r="1074" spans="1:7" x14ac:dyDescent="0.2">
      <c r="A1074" s="4">
        <v>5943</v>
      </c>
      <c r="B1074" t="s">
        <v>2</v>
      </c>
      <c r="C1074" s="1">
        <v>1500</v>
      </c>
      <c r="D1074">
        <v>1</v>
      </c>
      <c r="E1074" t="s">
        <v>10</v>
      </c>
      <c r="F1074" s="6"/>
      <c r="G1074" s="7"/>
    </row>
    <row r="1075" spans="1:7" x14ac:dyDescent="0.2">
      <c r="A1075" s="4">
        <v>5947</v>
      </c>
      <c r="B1075" t="s">
        <v>2</v>
      </c>
      <c r="C1075" s="1">
        <v>1500</v>
      </c>
      <c r="D1075">
        <v>1</v>
      </c>
      <c r="E1075" t="s">
        <v>11</v>
      </c>
      <c r="F1075" s="6"/>
      <c r="G1075" s="7"/>
    </row>
    <row r="1076" spans="1:7" x14ac:dyDescent="0.2">
      <c r="A1076" s="4">
        <v>5821</v>
      </c>
      <c r="B1076" t="s">
        <v>2</v>
      </c>
      <c r="C1076" s="1">
        <v>1680</v>
      </c>
      <c r="D1076">
        <v>1</v>
      </c>
      <c r="E1076" t="s">
        <v>10</v>
      </c>
      <c r="F1076" s="6"/>
      <c r="G1076" s="7"/>
    </row>
    <row r="1077" spans="1:7" x14ac:dyDescent="0.2">
      <c r="A1077" s="4">
        <v>3115</v>
      </c>
      <c r="B1077" t="s">
        <v>1</v>
      </c>
      <c r="C1077" s="1">
        <v>1800</v>
      </c>
      <c r="D1077">
        <v>1</v>
      </c>
      <c r="E1077" t="s">
        <v>10</v>
      </c>
      <c r="F1077" s="6"/>
      <c r="G1077" s="7"/>
    </row>
    <row r="1078" spans="1:7" x14ac:dyDescent="0.2">
      <c r="A1078" s="4">
        <v>5010</v>
      </c>
      <c r="B1078" t="s">
        <v>4</v>
      </c>
      <c r="C1078" s="1">
        <v>2000</v>
      </c>
      <c r="D1078">
        <v>1</v>
      </c>
      <c r="E1078" t="s">
        <v>10</v>
      </c>
      <c r="F1078" s="6"/>
      <c r="G1078" s="7"/>
    </row>
    <row r="1079" spans="1:7" x14ac:dyDescent="0.2">
      <c r="A1079" s="4">
        <v>970</v>
      </c>
      <c r="B1079" t="s">
        <v>4</v>
      </c>
      <c r="C1079" s="1">
        <v>2000</v>
      </c>
      <c r="D1079">
        <v>1</v>
      </c>
      <c r="E1079" t="s">
        <v>11</v>
      </c>
      <c r="F1079" s="6"/>
      <c r="G1079" s="7"/>
    </row>
    <row r="1080" spans="1:7" x14ac:dyDescent="0.2">
      <c r="A1080" s="4">
        <v>1678</v>
      </c>
      <c r="B1080" t="s">
        <v>5</v>
      </c>
      <c r="C1080" s="1">
        <v>2000</v>
      </c>
      <c r="D1080">
        <v>1</v>
      </c>
      <c r="E1080" t="s">
        <v>11</v>
      </c>
      <c r="F1080" s="6"/>
      <c r="G1080" s="7"/>
    </row>
    <row r="1081" spans="1:7" x14ac:dyDescent="0.2">
      <c r="A1081" s="4">
        <v>1996</v>
      </c>
      <c r="B1081" t="s">
        <v>3</v>
      </c>
      <c r="C1081" s="1">
        <v>2000</v>
      </c>
      <c r="D1081">
        <v>1</v>
      </c>
      <c r="E1081" t="s">
        <v>11</v>
      </c>
      <c r="F1081" s="6"/>
      <c r="G1081" s="7"/>
    </row>
    <row r="1082" spans="1:7" x14ac:dyDescent="0.2">
      <c r="A1082" s="4">
        <v>2042</v>
      </c>
      <c r="B1082" t="s">
        <v>3</v>
      </c>
      <c r="C1082" s="1">
        <v>2000</v>
      </c>
      <c r="D1082">
        <v>1</v>
      </c>
      <c r="E1082" t="s">
        <v>10</v>
      </c>
      <c r="F1082" s="6"/>
      <c r="G1082" s="7"/>
    </row>
    <row r="1083" spans="1:7" x14ac:dyDescent="0.2">
      <c r="A1083" s="4">
        <v>2175</v>
      </c>
      <c r="B1083" t="s">
        <v>3</v>
      </c>
      <c r="C1083" s="1">
        <v>2000</v>
      </c>
      <c r="D1083">
        <v>1</v>
      </c>
      <c r="E1083" t="s">
        <v>10</v>
      </c>
      <c r="F1083" s="6"/>
      <c r="G1083" s="7"/>
    </row>
    <row r="1084" spans="1:7" x14ac:dyDescent="0.2">
      <c r="A1084" s="4">
        <v>2548</v>
      </c>
      <c r="B1084" t="s">
        <v>0</v>
      </c>
      <c r="C1084" s="1">
        <v>2000</v>
      </c>
      <c r="D1084">
        <v>1</v>
      </c>
      <c r="E1084" t="s">
        <v>10</v>
      </c>
      <c r="F1084" s="6"/>
      <c r="G1084" s="7"/>
    </row>
    <row r="1085" spans="1:7" x14ac:dyDescent="0.2">
      <c r="A1085" s="4">
        <v>2656</v>
      </c>
      <c r="B1085" t="s">
        <v>2</v>
      </c>
      <c r="C1085" s="1">
        <v>2000</v>
      </c>
      <c r="D1085">
        <v>1</v>
      </c>
      <c r="E1085" t="s">
        <v>11</v>
      </c>
      <c r="F1085" s="6"/>
      <c r="G1085" s="7"/>
    </row>
    <row r="1086" spans="1:7" x14ac:dyDescent="0.2">
      <c r="A1086" s="4">
        <v>2855</v>
      </c>
      <c r="B1086" t="s">
        <v>2</v>
      </c>
      <c r="C1086" s="1">
        <v>2000</v>
      </c>
      <c r="D1086">
        <v>1</v>
      </c>
      <c r="E1086" t="s">
        <v>10</v>
      </c>
      <c r="F1086" s="6"/>
      <c r="G1086" s="7"/>
    </row>
    <row r="1087" spans="1:7" x14ac:dyDescent="0.2">
      <c r="A1087" s="4">
        <v>3047</v>
      </c>
      <c r="B1087" t="s">
        <v>1</v>
      </c>
      <c r="C1087" s="1">
        <v>2000</v>
      </c>
      <c r="D1087">
        <v>1</v>
      </c>
      <c r="E1087" t="s">
        <v>10</v>
      </c>
      <c r="F1087" s="6"/>
      <c r="G1087" s="7"/>
    </row>
    <row r="1088" spans="1:7" x14ac:dyDescent="0.2">
      <c r="A1088" s="4">
        <v>5009</v>
      </c>
      <c r="B1088" t="s">
        <v>4</v>
      </c>
      <c r="C1088" s="1">
        <v>2000</v>
      </c>
      <c r="D1088">
        <v>1</v>
      </c>
      <c r="E1088" t="s">
        <v>11</v>
      </c>
      <c r="F1088" s="6"/>
      <c r="G1088" s="7"/>
    </row>
    <row r="1089" spans="1:7" x14ac:dyDescent="0.2">
      <c r="A1089" s="4">
        <v>5064</v>
      </c>
      <c r="B1089" t="s">
        <v>4</v>
      </c>
      <c r="C1089" s="1">
        <v>2000</v>
      </c>
      <c r="D1089">
        <v>1</v>
      </c>
      <c r="E1089" t="s">
        <v>11</v>
      </c>
      <c r="F1089" s="6"/>
      <c r="G1089" s="7"/>
    </row>
    <row r="1090" spans="1:7" x14ac:dyDescent="0.2">
      <c r="A1090" s="4">
        <v>6341</v>
      </c>
      <c r="B1090" t="s">
        <v>1</v>
      </c>
      <c r="C1090" s="1">
        <v>2000</v>
      </c>
      <c r="D1090">
        <v>1</v>
      </c>
      <c r="E1090" t="s">
        <v>11</v>
      </c>
      <c r="F1090" s="6"/>
      <c r="G1090" s="7"/>
    </row>
    <row r="1091" spans="1:7" x14ac:dyDescent="0.2">
      <c r="A1091" s="4">
        <v>6702</v>
      </c>
      <c r="B1091" t="s">
        <v>3</v>
      </c>
      <c r="C1091" s="1">
        <v>2000</v>
      </c>
      <c r="D1091">
        <v>1</v>
      </c>
      <c r="E1091" t="s">
        <v>10</v>
      </c>
      <c r="F1091" s="6"/>
      <c r="G1091" s="7"/>
    </row>
    <row r="1092" spans="1:7" x14ac:dyDescent="0.2">
      <c r="A1092" s="4">
        <v>2041</v>
      </c>
      <c r="B1092" t="s">
        <v>3</v>
      </c>
      <c r="C1092" s="1">
        <v>2100</v>
      </c>
      <c r="D1092">
        <v>1</v>
      </c>
      <c r="E1092" t="s">
        <v>10</v>
      </c>
      <c r="F1092" s="6"/>
      <c r="G1092" s="7"/>
    </row>
    <row r="1093" spans="1:7" x14ac:dyDescent="0.2">
      <c r="A1093" s="4">
        <v>1773</v>
      </c>
      <c r="B1093" t="s">
        <v>3</v>
      </c>
      <c r="C1093" s="1">
        <v>2250</v>
      </c>
      <c r="D1093">
        <v>1</v>
      </c>
      <c r="E1093" t="s">
        <v>11</v>
      </c>
      <c r="F1093" s="6"/>
      <c r="G1093" s="7"/>
    </row>
    <row r="1094" spans="1:7" x14ac:dyDescent="0.2">
      <c r="A1094" s="4">
        <v>2498</v>
      </c>
      <c r="B1094" t="s">
        <v>0</v>
      </c>
      <c r="C1094" s="1">
        <v>2400</v>
      </c>
      <c r="D1094">
        <v>1</v>
      </c>
      <c r="E1094" t="s">
        <v>11</v>
      </c>
      <c r="F1094" s="6"/>
      <c r="G1094" s="7"/>
    </row>
    <row r="1095" spans="1:7" x14ac:dyDescent="0.2">
      <c r="A1095" s="4">
        <v>1747</v>
      </c>
      <c r="B1095" t="s">
        <v>3</v>
      </c>
      <c r="C1095" s="1">
        <v>2500</v>
      </c>
      <c r="D1095">
        <v>1</v>
      </c>
      <c r="E1095" t="s">
        <v>10</v>
      </c>
      <c r="F1095" s="6"/>
      <c r="G1095" s="7"/>
    </row>
    <row r="1096" spans="1:7" x14ac:dyDescent="0.2">
      <c r="A1096" s="4">
        <v>1884</v>
      </c>
      <c r="B1096" t="s">
        <v>3</v>
      </c>
      <c r="C1096" s="1">
        <v>2500</v>
      </c>
      <c r="D1096">
        <v>1</v>
      </c>
      <c r="E1096" t="s">
        <v>11</v>
      </c>
      <c r="F1096" s="6"/>
      <c r="G1096" s="7"/>
    </row>
    <row r="1097" spans="1:7" x14ac:dyDescent="0.2">
      <c r="A1097" s="4">
        <v>2462</v>
      </c>
      <c r="B1097" t="s">
        <v>0</v>
      </c>
      <c r="C1097" s="1">
        <v>2500</v>
      </c>
      <c r="D1097">
        <v>1</v>
      </c>
      <c r="E1097" t="s">
        <v>11</v>
      </c>
      <c r="F1097" s="6"/>
      <c r="G1097" s="7"/>
    </row>
    <row r="1098" spans="1:7" x14ac:dyDescent="0.2">
      <c r="A1098" s="4">
        <v>2752</v>
      </c>
      <c r="B1098" t="s">
        <v>2</v>
      </c>
      <c r="C1098" s="1">
        <v>2500</v>
      </c>
      <c r="D1098">
        <v>1</v>
      </c>
      <c r="E1098" t="s">
        <v>11</v>
      </c>
      <c r="F1098" s="6"/>
      <c r="G1098" s="7"/>
    </row>
    <row r="1099" spans="1:7" x14ac:dyDescent="0.2">
      <c r="A1099" s="4">
        <v>2800</v>
      </c>
      <c r="B1099" t="s">
        <v>2</v>
      </c>
      <c r="C1099" s="1">
        <v>2700</v>
      </c>
      <c r="D1099">
        <v>1</v>
      </c>
      <c r="E1099" t="s">
        <v>11</v>
      </c>
      <c r="F1099" s="6"/>
      <c r="G1099" s="7"/>
    </row>
    <row r="1100" spans="1:7" x14ac:dyDescent="0.2">
      <c r="A1100" s="4">
        <v>2125</v>
      </c>
      <c r="B1100" t="s">
        <v>3</v>
      </c>
      <c r="C1100" s="1">
        <v>2800</v>
      </c>
      <c r="D1100">
        <v>1</v>
      </c>
      <c r="E1100" t="s">
        <v>10</v>
      </c>
      <c r="F1100" s="6"/>
      <c r="G1100" s="7"/>
    </row>
    <row r="1101" spans="1:7" x14ac:dyDescent="0.2">
      <c r="A1101" s="4">
        <v>2682</v>
      </c>
      <c r="B1101" t="s">
        <v>2</v>
      </c>
      <c r="C1101" s="1">
        <v>2800</v>
      </c>
      <c r="D1101">
        <v>1</v>
      </c>
      <c r="E1101" t="s">
        <v>10</v>
      </c>
      <c r="F1101" s="6"/>
      <c r="G1101" s="7"/>
    </row>
    <row r="1102" spans="1:7" x14ac:dyDescent="0.2">
      <c r="A1102" s="4">
        <v>2237</v>
      </c>
      <c r="B1102" t="s">
        <v>3</v>
      </c>
      <c r="C1102" s="1">
        <v>2900</v>
      </c>
      <c r="D1102">
        <v>1</v>
      </c>
      <c r="E1102" t="s">
        <v>10</v>
      </c>
      <c r="F1102" s="6"/>
      <c r="G1102" s="7"/>
    </row>
    <row r="1103" spans="1:7" x14ac:dyDescent="0.2">
      <c r="A1103" s="4">
        <v>2165</v>
      </c>
      <c r="B1103" t="s">
        <v>3</v>
      </c>
      <c r="C1103" s="1">
        <v>3000</v>
      </c>
      <c r="D1103">
        <v>1</v>
      </c>
      <c r="E1103" t="s">
        <v>11</v>
      </c>
      <c r="F1103" s="6"/>
      <c r="G1103" s="7"/>
    </row>
    <row r="1104" spans="1:7" x14ac:dyDescent="0.2">
      <c r="A1104" s="4">
        <v>2107</v>
      </c>
      <c r="B1104" t="s">
        <v>3</v>
      </c>
      <c r="C1104" s="1">
        <v>3000</v>
      </c>
      <c r="D1104">
        <v>1</v>
      </c>
      <c r="E1104" t="s">
        <v>11</v>
      </c>
      <c r="F1104" s="6"/>
      <c r="G1104" s="7"/>
    </row>
    <row r="1105" spans="1:7" x14ac:dyDescent="0.2">
      <c r="A1105" s="4">
        <v>1523</v>
      </c>
      <c r="B1105" t="s">
        <v>5</v>
      </c>
      <c r="C1105" s="1">
        <v>3000</v>
      </c>
      <c r="D1105">
        <v>1</v>
      </c>
      <c r="E1105" t="s">
        <v>10</v>
      </c>
      <c r="F1105" s="6"/>
      <c r="G1105" s="7"/>
    </row>
    <row r="1106" spans="1:7" x14ac:dyDescent="0.2">
      <c r="A1106" s="4">
        <v>2083</v>
      </c>
      <c r="B1106" t="s">
        <v>3</v>
      </c>
      <c r="C1106" s="1">
        <v>3000</v>
      </c>
      <c r="D1106">
        <v>1</v>
      </c>
      <c r="E1106" t="s">
        <v>11</v>
      </c>
      <c r="F1106" s="6"/>
      <c r="G1106" s="7"/>
    </row>
    <row r="1107" spans="1:7" x14ac:dyDescent="0.2">
      <c r="A1107" s="4">
        <v>2105</v>
      </c>
      <c r="B1107" t="s">
        <v>3</v>
      </c>
      <c r="C1107" s="1">
        <v>3000</v>
      </c>
      <c r="D1107">
        <v>1</v>
      </c>
      <c r="E1107" t="s">
        <v>10</v>
      </c>
      <c r="F1107" s="6"/>
      <c r="G1107" s="7"/>
    </row>
    <row r="1108" spans="1:7" x14ac:dyDescent="0.2">
      <c r="A1108" s="4">
        <v>2467</v>
      </c>
      <c r="B1108" t="s">
        <v>0</v>
      </c>
      <c r="C1108" s="1">
        <v>3000</v>
      </c>
      <c r="D1108">
        <v>1</v>
      </c>
      <c r="E1108" t="s">
        <v>10</v>
      </c>
      <c r="F1108" s="6"/>
      <c r="G1108" s="7"/>
    </row>
    <row r="1109" spans="1:7" x14ac:dyDescent="0.2">
      <c r="A1109" s="4">
        <v>2491</v>
      </c>
      <c r="B1109" t="s">
        <v>0</v>
      </c>
      <c r="C1109" s="1">
        <v>3000</v>
      </c>
      <c r="D1109">
        <v>1</v>
      </c>
      <c r="E1109" t="s">
        <v>10</v>
      </c>
      <c r="F1109" s="6"/>
      <c r="G1109" s="7"/>
    </row>
    <row r="1110" spans="1:7" x14ac:dyDescent="0.2">
      <c r="A1110" s="4">
        <v>2657</v>
      </c>
      <c r="B1110" t="s">
        <v>2</v>
      </c>
      <c r="C1110" s="1">
        <v>3000</v>
      </c>
      <c r="D1110">
        <v>1</v>
      </c>
      <c r="E1110" t="s">
        <v>11</v>
      </c>
      <c r="F1110" s="6"/>
      <c r="G1110" s="7"/>
    </row>
    <row r="1111" spans="1:7" x14ac:dyDescent="0.2">
      <c r="A1111" s="4">
        <v>2948</v>
      </c>
      <c r="B1111" t="s">
        <v>1</v>
      </c>
      <c r="C1111" s="1">
        <v>3000</v>
      </c>
      <c r="D1111">
        <v>1</v>
      </c>
      <c r="E1111" t="s">
        <v>10</v>
      </c>
      <c r="F1111" s="6"/>
      <c r="G1111" s="7"/>
    </row>
    <row r="1112" spans="1:7" x14ac:dyDescent="0.2">
      <c r="A1112" s="4">
        <v>3188</v>
      </c>
      <c r="B1112" t="s">
        <v>1</v>
      </c>
      <c r="C1112" s="1">
        <v>3000</v>
      </c>
      <c r="D1112">
        <v>1</v>
      </c>
      <c r="E1112" t="s">
        <v>10</v>
      </c>
      <c r="F1112" s="6"/>
      <c r="G1112" s="7"/>
    </row>
    <row r="1113" spans="1:7" x14ac:dyDescent="0.2">
      <c r="A1113" s="4">
        <v>2557</v>
      </c>
      <c r="B1113" t="s">
        <v>0</v>
      </c>
      <c r="C1113" s="1">
        <v>3600</v>
      </c>
      <c r="D1113">
        <v>1</v>
      </c>
      <c r="E1113" t="s">
        <v>11</v>
      </c>
      <c r="F1113" s="6"/>
      <c r="G1113" s="7"/>
    </row>
    <row r="1114" spans="1:7" x14ac:dyDescent="0.2">
      <c r="A1114" s="4">
        <v>1731</v>
      </c>
      <c r="B1114" t="s">
        <v>3</v>
      </c>
      <c r="C1114" s="1">
        <v>4000</v>
      </c>
      <c r="D1114">
        <v>1</v>
      </c>
      <c r="E1114" t="s">
        <v>11</v>
      </c>
      <c r="F1114" s="6"/>
      <c r="G1114" s="7"/>
    </row>
    <row r="1115" spans="1:7" x14ac:dyDescent="0.2">
      <c r="A1115" s="4">
        <v>6142</v>
      </c>
      <c r="B1115" t="s">
        <v>1</v>
      </c>
      <c r="C1115" s="1">
        <v>4000</v>
      </c>
      <c r="D1115">
        <v>1</v>
      </c>
      <c r="E1115" t="s">
        <v>10</v>
      </c>
      <c r="F1115" s="6"/>
      <c r="G1115" s="7"/>
    </row>
    <row r="1116" spans="1:7" x14ac:dyDescent="0.2">
      <c r="A1116" s="4">
        <v>2255</v>
      </c>
      <c r="B1116" t="s">
        <v>3</v>
      </c>
      <c r="C1116" s="1">
        <v>4000</v>
      </c>
      <c r="D1116">
        <v>1</v>
      </c>
      <c r="E1116" t="s">
        <v>10</v>
      </c>
      <c r="F1116" s="6"/>
      <c r="G1116" s="7"/>
    </row>
    <row r="1117" spans="1:7" x14ac:dyDescent="0.2">
      <c r="A1117" s="4">
        <v>2871</v>
      </c>
      <c r="B1117" t="s">
        <v>2</v>
      </c>
      <c r="C1117" s="1">
        <v>4000</v>
      </c>
      <c r="D1117">
        <v>1</v>
      </c>
      <c r="E1117" t="s">
        <v>11</v>
      </c>
      <c r="F1117" s="6"/>
      <c r="G1117" s="7"/>
    </row>
    <row r="1118" spans="1:7" x14ac:dyDescent="0.2">
      <c r="A1118" s="4">
        <v>1398</v>
      </c>
      <c r="B1118" t="s">
        <v>4</v>
      </c>
      <c r="C1118" s="1">
        <v>4500</v>
      </c>
      <c r="D1118">
        <v>1</v>
      </c>
      <c r="E1118" t="s">
        <v>10</v>
      </c>
      <c r="F1118" s="6"/>
      <c r="G1118" s="7"/>
    </row>
    <row r="1119" spans="1:7" x14ac:dyDescent="0.2">
      <c r="A1119" s="4">
        <v>2552</v>
      </c>
      <c r="B1119" t="s">
        <v>0</v>
      </c>
      <c r="C1119" s="1">
        <v>4500</v>
      </c>
      <c r="D1119">
        <v>1</v>
      </c>
      <c r="E1119" t="s">
        <v>10</v>
      </c>
      <c r="F1119" s="6"/>
      <c r="G1119" s="7"/>
    </row>
    <row r="1120" spans="1:7" x14ac:dyDescent="0.2">
      <c r="A1120" s="4">
        <v>3025</v>
      </c>
      <c r="B1120" t="s">
        <v>1</v>
      </c>
      <c r="C1120" s="1">
        <v>5000</v>
      </c>
      <c r="D1120">
        <v>1</v>
      </c>
      <c r="E1120" t="s">
        <v>11</v>
      </c>
      <c r="F1120" s="6"/>
      <c r="G1120" s="7"/>
    </row>
    <row r="1121" spans="1:7" x14ac:dyDescent="0.2">
      <c r="A1121" s="4">
        <v>2199</v>
      </c>
      <c r="B1121" t="s">
        <v>3</v>
      </c>
      <c r="C1121" s="1">
        <v>5600</v>
      </c>
      <c r="D1121">
        <v>1</v>
      </c>
      <c r="E1121" t="s">
        <v>10</v>
      </c>
      <c r="F1121" s="6"/>
      <c r="G1121" s="7"/>
    </row>
    <row r="1122" spans="1:7" x14ac:dyDescent="0.2">
      <c r="A1122" s="4">
        <v>2267</v>
      </c>
      <c r="B1122" t="s">
        <v>3</v>
      </c>
      <c r="C1122" s="1">
        <v>7200</v>
      </c>
      <c r="D1122">
        <v>1</v>
      </c>
      <c r="E1122" t="s">
        <v>11</v>
      </c>
      <c r="F1122" s="6"/>
      <c r="G1122" s="7"/>
    </row>
    <row r="1123" spans="1:7" x14ac:dyDescent="0.2">
      <c r="A1123" s="4">
        <v>2078</v>
      </c>
      <c r="B1123" t="s">
        <v>3</v>
      </c>
      <c r="C1123" s="1">
        <v>7500</v>
      </c>
      <c r="D1123">
        <v>1</v>
      </c>
      <c r="E1123" t="s">
        <v>11</v>
      </c>
      <c r="F1123" s="6"/>
      <c r="G1123" s="7"/>
    </row>
    <row r="1124" spans="1:7" x14ac:dyDescent="0.2">
      <c r="A1124" s="4">
        <v>6462</v>
      </c>
      <c r="B1124" t="s">
        <v>3</v>
      </c>
      <c r="C1124" s="1">
        <v>7500</v>
      </c>
      <c r="D1124">
        <v>1</v>
      </c>
      <c r="E1124" t="s">
        <v>11</v>
      </c>
      <c r="F1124" s="6"/>
      <c r="G1124" s="7"/>
    </row>
    <row r="1125" spans="1:7" x14ac:dyDescent="0.2">
      <c r="A1125"/>
    </row>
    <row r="1126" spans="1:7" x14ac:dyDescent="0.2">
      <c r="A1126"/>
    </row>
    <row r="1127" spans="1:7" x14ac:dyDescent="0.2">
      <c r="A1127"/>
    </row>
    <row r="1128" spans="1:7" x14ac:dyDescent="0.2">
      <c r="A1128"/>
    </row>
    <row r="1129" spans="1:7" x14ac:dyDescent="0.2">
      <c r="A1129"/>
    </row>
    <row r="1130" spans="1:7" x14ac:dyDescent="0.2">
      <c r="A1130"/>
    </row>
    <row r="1131" spans="1:7" x14ac:dyDescent="0.2">
      <c r="A1131"/>
    </row>
    <row r="1132" spans="1:7" x14ac:dyDescent="0.2">
      <c r="A1132"/>
    </row>
    <row r="1133" spans="1:7" x14ac:dyDescent="0.2">
      <c r="A1133"/>
    </row>
    <row r="1134" spans="1:7" x14ac:dyDescent="0.2">
      <c r="A1134"/>
    </row>
    <row r="1135" spans="1:7" x14ac:dyDescent="0.2">
      <c r="A1135"/>
    </row>
    <row r="1136" spans="1:7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</sheetData>
  <sheetProtection password="CE28" sheet="1" objects="1" scenarios="1"/>
  <conditionalFormatting sqref="A2">
    <cfRule type="duplicateValues" dxfId="21" priority="2"/>
  </conditionalFormatting>
  <conditionalFormatting sqref="A1:A1124 A1868:A1048576">
    <cfRule type="duplicateValues" dxfId="2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selection activeCell="D36" sqref="D36"/>
    </sheetView>
  </sheetViews>
  <sheetFormatPr baseColWidth="10" defaultRowHeight="15" x14ac:dyDescent="0.2"/>
  <cols>
    <col min="1" max="1" width="12" bestFit="1" customWidth="1"/>
    <col min="2" max="2" width="6.6640625" bestFit="1" customWidth="1"/>
    <col min="3" max="3" width="18.1640625" bestFit="1" customWidth="1"/>
    <col min="4" max="4" width="20.33203125" bestFit="1" customWidth="1"/>
    <col min="5" max="5" width="17.33203125" bestFit="1" customWidth="1"/>
    <col min="10" max="10" width="10.1640625" bestFit="1" customWidth="1"/>
  </cols>
  <sheetData>
    <row r="1" spans="1:14" x14ac:dyDescent="0.2">
      <c r="A1" s="3" t="s">
        <v>6</v>
      </c>
      <c r="B1" s="2" t="s">
        <v>7</v>
      </c>
      <c r="C1" s="2" t="s">
        <v>12</v>
      </c>
      <c r="D1" s="2" t="s">
        <v>8</v>
      </c>
      <c r="E1" s="2" t="s">
        <v>9</v>
      </c>
      <c r="M1" s="2" t="s">
        <v>7</v>
      </c>
      <c r="N1" s="2" t="s">
        <v>9</v>
      </c>
    </row>
    <row r="2" spans="1:14" x14ac:dyDescent="0.2">
      <c r="M2" t="s">
        <v>1</v>
      </c>
      <c r="N2" t="s">
        <v>13</v>
      </c>
    </row>
    <row r="3" spans="1:14" x14ac:dyDescent="0.2">
      <c r="M3" t="s">
        <v>0</v>
      </c>
      <c r="N3" t="s">
        <v>14</v>
      </c>
    </row>
    <row r="4" spans="1:14" x14ac:dyDescent="0.2">
      <c r="M4" t="s">
        <v>2</v>
      </c>
    </row>
    <row r="5" spans="1:14" x14ac:dyDescent="0.2">
      <c r="M5" t="s">
        <v>3</v>
      </c>
    </row>
    <row r="6" spans="1:14" x14ac:dyDescent="0.2">
      <c r="M6" s="1" t="s">
        <v>4</v>
      </c>
    </row>
    <row r="7" spans="1:14" x14ac:dyDescent="0.2">
      <c r="M7" t="s">
        <v>5</v>
      </c>
    </row>
  </sheetData>
  <conditionalFormatting sqref="A1">
    <cfRule type="duplicateValues" dxfId="19" priority="1"/>
  </conditionalFormatting>
  <dataValidations count="3">
    <dataValidation type="list" allowBlank="1" showInputMessage="1" showErrorMessage="1" sqref="B2:B1048576" xr:uid="{00000000-0002-0000-0100-000000000000}">
      <formula1>$M$2:$M$7</formula1>
    </dataValidation>
    <dataValidation type="decimal" allowBlank="1" showInputMessage="1" showErrorMessage="1" errorTitle="Out of range" promptTitle="Allowed Range " prompt="min: 100; max: 50000" sqref="C2:C1048576" xr:uid="{00000000-0002-0000-0100-000001000000}">
      <formula1>100</formula1>
      <formula2>50000</formula2>
    </dataValidation>
    <dataValidation type="list" allowBlank="1" showInputMessage="1" showErrorMessage="1" sqref="E2:E1048576" xr:uid="{00000000-0002-0000-0100-000002000000}">
      <formula1>$N$2:$N$3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867"/>
  <sheetViews>
    <sheetView zoomScale="150" workbookViewId="0">
      <selection activeCell="N4" sqref="N4"/>
    </sheetView>
  </sheetViews>
  <sheetFormatPr baseColWidth="10" defaultColWidth="8.83203125" defaultRowHeight="15" x14ac:dyDescent="0.2"/>
  <cols>
    <col min="1" max="1" width="12" style="4" bestFit="1" customWidth="1"/>
    <col min="2" max="2" width="10.1640625" bestFit="1" customWidth="1"/>
    <col min="3" max="3" width="18.1640625" bestFit="1" customWidth="1"/>
    <col min="4" max="4" width="20.33203125" bestFit="1" customWidth="1"/>
    <col min="5" max="5" width="17.33203125" bestFit="1" customWidth="1"/>
    <col min="6" max="6" width="16" style="5" bestFit="1" customWidth="1"/>
    <col min="7" max="7" width="20.6640625" style="5" bestFit="1" customWidth="1"/>
    <col min="8" max="8" width="16.33203125" style="7" bestFit="1" customWidth="1"/>
    <col min="9" max="9" width="15.1640625" style="5" bestFit="1" customWidth="1"/>
    <col min="10" max="10" width="23.1640625" bestFit="1" customWidth="1"/>
    <col min="12" max="12" width="12.6640625" bestFit="1" customWidth="1"/>
    <col min="13" max="13" width="25.5" bestFit="1" customWidth="1"/>
  </cols>
  <sheetData>
    <row r="1" spans="1:19" x14ac:dyDescent="0.2">
      <c r="A1" s="12" t="s">
        <v>6</v>
      </c>
      <c r="B1" s="2" t="s">
        <v>7</v>
      </c>
      <c r="C1" s="2" t="s">
        <v>12</v>
      </c>
      <c r="D1" s="2" t="s">
        <v>8</v>
      </c>
      <c r="E1" s="2" t="s">
        <v>9</v>
      </c>
      <c r="F1" s="5" t="s">
        <v>16</v>
      </c>
      <c r="G1" s="5" t="s">
        <v>16</v>
      </c>
      <c r="H1" s="7" t="s">
        <v>17</v>
      </c>
      <c r="I1" s="10" t="s">
        <v>18</v>
      </c>
      <c r="J1" t="s">
        <v>30</v>
      </c>
      <c r="R1" t="s">
        <v>15</v>
      </c>
      <c r="S1">
        <v>11.3</v>
      </c>
    </row>
    <row r="2" spans="1:19" ht="20" x14ac:dyDescent="0.2">
      <c r="A2" s="4">
        <v>2931</v>
      </c>
      <c r="B2" t="s">
        <v>1</v>
      </c>
      <c r="C2">
        <v>1190</v>
      </c>
      <c r="D2">
        <v>19</v>
      </c>
      <c r="E2" t="s">
        <v>11</v>
      </c>
      <c r="F2" s="6">
        <f t="shared" ref="F2:F65" si="0">C2/D2</f>
        <v>62.631578947368418</v>
      </c>
      <c r="G2" s="7">
        <f t="shared" ref="G2:G65" si="1">(C2/D2)/rate</f>
        <v>5.5426176059618069</v>
      </c>
      <c r="H2" s="7">
        <f t="shared" ref="H2:H65" si="2">((C2/D2)/30)/rate</f>
        <v>0.18475392019872688</v>
      </c>
      <c r="I2" s="5" t="str">
        <f t="shared" ref="I2:I65" si="3">IF(H2&lt;0.89, "крайняя бедность", IF(AND(H2&gt;0.89, H2&lt;1.33), "бедность", IF(AND(H2&gt;1.33,H2&lt;2.5),"ниже среднего", IF(AND(H2&gt;2.5,H2&lt;4), "средний", IF(H2&gt;4,"в достатке",0)))))</f>
        <v>крайняя бедность</v>
      </c>
      <c r="J2" t="str">
        <f>IF(AND(I11="крайняя бедность",E11="Нет"), "нуждается в помощи", "не нуждается в помощи")</f>
        <v>нуждается в помощи</v>
      </c>
      <c r="L2" s="9"/>
      <c r="M2" s="8"/>
    </row>
    <row r="3" spans="1:19" ht="20" x14ac:dyDescent="0.2">
      <c r="A3" s="4">
        <v>3225</v>
      </c>
      <c r="B3" t="s">
        <v>1</v>
      </c>
      <c r="C3" s="1">
        <v>5700</v>
      </c>
      <c r="D3">
        <v>19</v>
      </c>
      <c r="E3" t="s">
        <v>11</v>
      </c>
      <c r="F3" s="6">
        <f t="shared" si="0"/>
        <v>300</v>
      </c>
      <c r="G3" s="7">
        <f t="shared" si="1"/>
        <v>26.548672566371678</v>
      </c>
      <c r="H3" s="7">
        <f t="shared" si="2"/>
        <v>0.88495575221238931</v>
      </c>
      <c r="I3" s="5" t="str">
        <f t="shared" si="3"/>
        <v>крайняя бедность</v>
      </c>
      <c r="J3" t="str">
        <f t="shared" ref="J3:J66" si="4">IF(AND(I12="крайняя бедность",E12="Нет"), "нуждается в помощи", "не нуждается в помощи")</f>
        <v>не нуждается в помощи</v>
      </c>
      <c r="L3" s="9"/>
      <c r="M3" s="8"/>
    </row>
    <row r="4" spans="1:19" ht="20" x14ac:dyDescent="0.2">
      <c r="A4" s="4">
        <v>2551</v>
      </c>
      <c r="B4" t="s">
        <v>0</v>
      </c>
      <c r="C4" s="1">
        <v>4200</v>
      </c>
      <c r="D4">
        <v>18</v>
      </c>
      <c r="E4" t="s">
        <v>11</v>
      </c>
      <c r="F4" s="6">
        <f t="shared" si="0"/>
        <v>233.33333333333334</v>
      </c>
      <c r="G4" s="7">
        <f t="shared" si="1"/>
        <v>20.64896755162242</v>
      </c>
      <c r="H4" s="7">
        <f t="shared" si="2"/>
        <v>0.68829891838741386</v>
      </c>
      <c r="I4" s="5" t="str">
        <f t="shared" si="3"/>
        <v>крайняя бедность</v>
      </c>
      <c r="J4" t="str">
        <f t="shared" si="4"/>
        <v>не нуждается в помощи</v>
      </c>
      <c r="L4" s="9"/>
      <c r="M4" s="8"/>
      <c r="N4" s="11"/>
    </row>
    <row r="5" spans="1:19" ht="20" x14ac:dyDescent="0.2">
      <c r="A5" s="4">
        <v>3160</v>
      </c>
      <c r="B5" t="s">
        <v>1</v>
      </c>
      <c r="C5" s="1">
        <v>5280</v>
      </c>
      <c r="D5">
        <v>18</v>
      </c>
      <c r="E5" t="s">
        <v>11</v>
      </c>
      <c r="F5" s="6">
        <f t="shared" si="0"/>
        <v>293.33333333333331</v>
      </c>
      <c r="G5" s="7">
        <f t="shared" si="1"/>
        <v>25.958702064896752</v>
      </c>
      <c r="H5" s="7">
        <f t="shared" si="2"/>
        <v>0.86529006882989168</v>
      </c>
      <c r="I5" s="5" t="str">
        <f t="shared" si="3"/>
        <v>крайняя бедность</v>
      </c>
      <c r="J5" t="str">
        <f t="shared" si="4"/>
        <v>нуждается в помощи</v>
      </c>
      <c r="L5" s="9"/>
      <c r="M5" s="8"/>
    </row>
    <row r="6" spans="1:19" ht="20" x14ac:dyDescent="0.2">
      <c r="A6" s="4">
        <v>2637</v>
      </c>
      <c r="B6" t="s">
        <v>0</v>
      </c>
      <c r="C6">
        <v>2100</v>
      </c>
      <c r="D6">
        <v>17</v>
      </c>
      <c r="E6" t="s">
        <v>11</v>
      </c>
      <c r="F6" s="6">
        <f t="shared" si="0"/>
        <v>123.52941176470588</v>
      </c>
      <c r="G6" s="7">
        <f t="shared" si="1"/>
        <v>10.931806350858928</v>
      </c>
      <c r="H6" s="7">
        <f t="shared" si="2"/>
        <v>0.36439354502863092</v>
      </c>
      <c r="I6" s="5" t="str">
        <f t="shared" si="3"/>
        <v>крайняя бедность</v>
      </c>
      <c r="J6" t="str">
        <f t="shared" si="4"/>
        <v>не нуждается в помощи</v>
      </c>
      <c r="L6" s="9"/>
      <c r="M6" s="8"/>
    </row>
    <row r="7" spans="1:19" x14ac:dyDescent="0.2">
      <c r="A7" s="4">
        <v>2472</v>
      </c>
      <c r="B7" t="s">
        <v>0</v>
      </c>
      <c r="C7" s="1">
        <v>9000</v>
      </c>
      <c r="D7">
        <v>17</v>
      </c>
      <c r="E7" t="s">
        <v>11</v>
      </c>
      <c r="F7" s="6">
        <f t="shared" si="0"/>
        <v>529.41176470588232</v>
      </c>
      <c r="G7" s="7">
        <f t="shared" si="1"/>
        <v>46.850598646538252</v>
      </c>
      <c r="H7" s="7">
        <f t="shared" si="2"/>
        <v>1.561686621551275</v>
      </c>
      <c r="I7" s="5" t="str">
        <f t="shared" si="3"/>
        <v>ниже среднего</v>
      </c>
      <c r="J7" t="str">
        <f t="shared" si="4"/>
        <v>нуждается в помощи</v>
      </c>
    </row>
    <row r="8" spans="1:19" x14ac:dyDescent="0.2">
      <c r="A8" s="4">
        <v>2922</v>
      </c>
      <c r="B8" t="s">
        <v>1</v>
      </c>
      <c r="C8" s="1">
        <v>3000</v>
      </c>
      <c r="D8">
        <v>17</v>
      </c>
      <c r="E8" t="s">
        <v>11</v>
      </c>
      <c r="F8" s="6">
        <f t="shared" si="0"/>
        <v>176.47058823529412</v>
      </c>
      <c r="G8" s="7">
        <f t="shared" si="1"/>
        <v>15.616866215512752</v>
      </c>
      <c r="H8" s="7">
        <f t="shared" si="2"/>
        <v>0.52056220718375834</v>
      </c>
      <c r="I8" s="5" t="str">
        <f t="shared" si="3"/>
        <v>крайняя бедность</v>
      </c>
      <c r="J8" t="str">
        <f t="shared" si="4"/>
        <v>не нуждается в помощи</v>
      </c>
    </row>
    <row r="9" spans="1:19" x14ac:dyDescent="0.2">
      <c r="A9" s="4">
        <v>2660</v>
      </c>
      <c r="B9" t="s">
        <v>2</v>
      </c>
      <c r="C9" s="1">
        <v>6000</v>
      </c>
      <c r="D9">
        <v>16</v>
      </c>
      <c r="E9" t="s">
        <v>11</v>
      </c>
      <c r="F9" s="6">
        <f t="shared" si="0"/>
        <v>375</v>
      </c>
      <c r="G9" s="7">
        <f t="shared" si="1"/>
        <v>33.185840707964601</v>
      </c>
      <c r="H9" s="7">
        <f t="shared" si="2"/>
        <v>1.1061946902654867</v>
      </c>
      <c r="I9" s="5" t="str">
        <f t="shared" si="3"/>
        <v>бедность</v>
      </c>
      <c r="J9" t="str">
        <f t="shared" si="4"/>
        <v>не нуждается в помощи</v>
      </c>
    </row>
    <row r="10" spans="1:19" x14ac:dyDescent="0.2">
      <c r="A10" s="4">
        <v>2541</v>
      </c>
      <c r="B10" t="s">
        <v>0</v>
      </c>
      <c r="C10" s="1">
        <v>6500</v>
      </c>
      <c r="D10">
        <v>15</v>
      </c>
      <c r="E10" t="s">
        <v>10</v>
      </c>
      <c r="F10" s="6">
        <f t="shared" si="0"/>
        <v>433.33333333333331</v>
      </c>
      <c r="G10" s="7">
        <f t="shared" si="1"/>
        <v>38.348082595870203</v>
      </c>
      <c r="H10" s="7">
        <f t="shared" si="2"/>
        <v>1.2782694198623401</v>
      </c>
      <c r="I10" s="5" t="str">
        <f t="shared" si="3"/>
        <v>бедность</v>
      </c>
      <c r="J10" t="str">
        <f t="shared" si="4"/>
        <v>не нуждается в помощи</v>
      </c>
    </row>
    <row r="11" spans="1:19" x14ac:dyDescent="0.2">
      <c r="A11" s="4">
        <v>2361</v>
      </c>
      <c r="B11" t="s">
        <v>0</v>
      </c>
      <c r="C11" s="1">
        <v>2000</v>
      </c>
      <c r="D11">
        <v>14</v>
      </c>
      <c r="E11" t="s">
        <v>10</v>
      </c>
      <c r="F11" s="6">
        <f t="shared" si="0"/>
        <v>142.85714285714286</v>
      </c>
      <c r="G11" s="7">
        <f t="shared" si="1"/>
        <v>12.642225031605562</v>
      </c>
      <c r="H11" s="7">
        <f t="shared" si="2"/>
        <v>0.42140750105351871</v>
      </c>
      <c r="I11" s="5" t="str">
        <f t="shared" si="3"/>
        <v>крайняя бедность</v>
      </c>
      <c r="J11" t="str">
        <f t="shared" si="4"/>
        <v>не нуждается в помощи</v>
      </c>
    </row>
    <row r="12" spans="1:19" x14ac:dyDescent="0.2">
      <c r="A12" s="4">
        <v>2329</v>
      </c>
      <c r="B12" t="s">
        <v>0</v>
      </c>
      <c r="C12">
        <v>3852</v>
      </c>
      <c r="D12">
        <v>13</v>
      </c>
      <c r="E12" t="s">
        <v>11</v>
      </c>
      <c r="F12" s="6">
        <f t="shared" si="0"/>
        <v>296.30769230769232</v>
      </c>
      <c r="G12" s="7">
        <f t="shared" si="1"/>
        <v>26.221919673247108</v>
      </c>
      <c r="H12" s="7">
        <f t="shared" si="2"/>
        <v>0.87406398910823691</v>
      </c>
      <c r="I12" s="5" t="str">
        <f t="shared" si="3"/>
        <v>крайняя бедность</v>
      </c>
      <c r="J12" t="str">
        <f t="shared" si="4"/>
        <v>не нуждается в помощи</v>
      </c>
    </row>
    <row r="13" spans="1:19" x14ac:dyDescent="0.2">
      <c r="A13" s="4">
        <v>2930</v>
      </c>
      <c r="B13" t="s">
        <v>1</v>
      </c>
      <c r="C13">
        <v>790</v>
      </c>
      <c r="D13">
        <v>13</v>
      </c>
      <c r="E13" t="s">
        <v>11</v>
      </c>
      <c r="F13" s="6">
        <f t="shared" si="0"/>
        <v>60.769230769230766</v>
      </c>
      <c r="G13" s="7">
        <f t="shared" si="1"/>
        <v>5.3778080326752891</v>
      </c>
      <c r="H13" s="7">
        <f t="shared" si="2"/>
        <v>0.17926026775584294</v>
      </c>
      <c r="I13" s="5" t="str">
        <f t="shared" si="3"/>
        <v>крайняя бедность</v>
      </c>
      <c r="J13" t="str">
        <f t="shared" si="4"/>
        <v>не нуждается в помощи</v>
      </c>
    </row>
    <row r="14" spans="1:19" x14ac:dyDescent="0.2">
      <c r="A14" s="4">
        <v>1975</v>
      </c>
      <c r="B14" t="s">
        <v>3</v>
      </c>
      <c r="C14">
        <v>650</v>
      </c>
      <c r="D14">
        <v>13</v>
      </c>
      <c r="E14" t="s">
        <v>10</v>
      </c>
      <c r="F14" s="6">
        <f t="shared" si="0"/>
        <v>50</v>
      </c>
      <c r="G14" s="7">
        <f t="shared" si="1"/>
        <v>4.4247787610619467</v>
      </c>
      <c r="H14" s="7">
        <f t="shared" si="2"/>
        <v>0.14749262536873156</v>
      </c>
      <c r="I14" s="5" t="str">
        <f t="shared" si="3"/>
        <v>крайняя бедность</v>
      </c>
      <c r="J14" t="str">
        <f t="shared" si="4"/>
        <v>нуждается в помощи</v>
      </c>
    </row>
    <row r="15" spans="1:19" x14ac:dyDescent="0.2">
      <c r="A15" s="4">
        <v>2523</v>
      </c>
      <c r="B15" s="1" t="s">
        <v>0</v>
      </c>
      <c r="C15">
        <v>2775</v>
      </c>
      <c r="D15">
        <v>13</v>
      </c>
      <c r="E15" t="s">
        <v>11</v>
      </c>
      <c r="F15" s="6">
        <f t="shared" si="0"/>
        <v>213.46153846153845</v>
      </c>
      <c r="G15" s="7">
        <f t="shared" si="1"/>
        <v>18.890401633764462</v>
      </c>
      <c r="H15" s="7">
        <f t="shared" si="2"/>
        <v>0.62968005445881547</v>
      </c>
      <c r="I15" s="5" t="str">
        <f t="shared" si="3"/>
        <v>крайняя бедность</v>
      </c>
      <c r="J15" t="str">
        <f t="shared" si="4"/>
        <v>не нуждается в помощи</v>
      </c>
    </row>
    <row r="16" spans="1:19" x14ac:dyDescent="0.2">
      <c r="A16" s="4">
        <v>1867</v>
      </c>
      <c r="B16" s="1" t="s">
        <v>3</v>
      </c>
      <c r="C16">
        <v>840</v>
      </c>
      <c r="D16">
        <v>13</v>
      </c>
      <c r="E16" t="s">
        <v>10</v>
      </c>
      <c r="F16" s="6">
        <f t="shared" si="0"/>
        <v>64.615384615384613</v>
      </c>
      <c r="G16" s="7">
        <f t="shared" si="1"/>
        <v>5.7181756296800543</v>
      </c>
      <c r="H16" s="7">
        <f t="shared" si="2"/>
        <v>0.19060585432266847</v>
      </c>
      <c r="I16" s="5" t="str">
        <f t="shared" si="3"/>
        <v>крайняя бедность</v>
      </c>
      <c r="J16" t="str">
        <f t="shared" si="4"/>
        <v>не нуждается в помощи</v>
      </c>
    </row>
    <row r="17" spans="1:10" x14ac:dyDescent="0.2">
      <c r="A17" s="4">
        <v>1999</v>
      </c>
      <c r="B17" t="s">
        <v>3</v>
      </c>
      <c r="C17" s="1">
        <v>3000</v>
      </c>
      <c r="D17">
        <v>13</v>
      </c>
      <c r="E17" t="s">
        <v>11</v>
      </c>
      <c r="F17" s="6">
        <f t="shared" si="0"/>
        <v>230.76923076923077</v>
      </c>
      <c r="G17" s="7">
        <f t="shared" si="1"/>
        <v>20.422055820285909</v>
      </c>
      <c r="H17" s="7">
        <f t="shared" si="2"/>
        <v>0.68073519400953031</v>
      </c>
      <c r="I17" s="5" t="str">
        <f t="shared" si="3"/>
        <v>крайняя бедность</v>
      </c>
      <c r="J17" t="str">
        <f t="shared" si="4"/>
        <v>не нуждается в помощи</v>
      </c>
    </row>
    <row r="18" spans="1:10" x14ac:dyDescent="0.2">
      <c r="A18" s="4">
        <v>2794</v>
      </c>
      <c r="B18" t="s">
        <v>2</v>
      </c>
      <c r="C18">
        <v>7550</v>
      </c>
      <c r="D18">
        <v>12</v>
      </c>
      <c r="E18" t="s">
        <v>11</v>
      </c>
      <c r="F18" s="6">
        <f t="shared" si="0"/>
        <v>629.16666666666663</v>
      </c>
      <c r="G18" s="7">
        <f t="shared" si="1"/>
        <v>55.678466076696161</v>
      </c>
      <c r="H18" s="7">
        <f t="shared" si="2"/>
        <v>1.8559488692232053</v>
      </c>
      <c r="I18" s="5" t="str">
        <f t="shared" si="3"/>
        <v>ниже среднего</v>
      </c>
      <c r="J18" t="str">
        <f t="shared" si="4"/>
        <v>не нуждается в помощи</v>
      </c>
    </row>
    <row r="19" spans="1:10" x14ac:dyDescent="0.2">
      <c r="A19" s="4">
        <v>3048</v>
      </c>
      <c r="B19" t="s">
        <v>1</v>
      </c>
      <c r="C19">
        <v>1550</v>
      </c>
      <c r="D19">
        <v>12</v>
      </c>
      <c r="E19" t="s">
        <v>11</v>
      </c>
      <c r="F19" s="6">
        <f t="shared" si="0"/>
        <v>129.16666666666666</v>
      </c>
      <c r="G19" s="7">
        <f t="shared" si="1"/>
        <v>11.430678466076694</v>
      </c>
      <c r="H19" s="7">
        <f t="shared" si="2"/>
        <v>0.38102261553588984</v>
      </c>
      <c r="I19" s="5" t="str">
        <f t="shared" si="3"/>
        <v>крайняя бедность</v>
      </c>
      <c r="J19" t="str">
        <f t="shared" si="4"/>
        <v>не нуждается в помощи</v>
      </c>
    </row>
    <row r="20" spans="1:10" x14ac:dyDescent="0.2">
      <c r="A20" s="4">
        <v>3114</v>
      </c>
      <c r="B20" t="s">
        <v>1</v>
      </c>
      <c r="C20" s="1">
        <v>6000</v>
      </c>
      <c r="D20">
        <v>12</v>
      </c>
      <c r="E20" t="s">
        <v>11</v>
      </c>
      <c r="F20" s="6">
        <f t="shared" si="0"/>
        <v>500</v>
      </c>
      <c r="G20" s="7">
        <f t="shared" si="1"/>
        <v>44.247787610619469</v>
      </c>
      <c r="H20" s="7">
        <f t="shared" si="2"/>
        <v>1.4749262536873156</v>
      </c>
      <c r="I20" s="5" t="str">
        <f t="shared" si="3"/>
        <v>ниже среднего</v>
      </c>
      <c r="J20" t="str">
        <f t="shared" si="4"/>
        <v>не нуждается в помощи</v>
      </c>
    </row>
    <row r="21" spans="1:10" x14ac:dyDescent="0.2">
      <c r="A21" s="4">
        <v>2202</v>
      </c>
      <c r="B21" t="s">
        <v>3</v>
      </c>
      <c r="C21">
        <v>180</v>
      </c>
      <c r="D21">
        <v>11</v>
      </c>
      <c r="E21" t="s">
        <v>11</v>
      </c>
      <c r="F21" s="6">
        <f t="shared" si="0"/>
        <v>16.363636363636363</v>
      </c>
      <c r="G21" s="7">
        <f t="shared" si="1"/>
        <v>1.4481094127111824</v>
      </c>
      <c r="H21" s="7">
        <f t="shared" si="2"/>
        <v>4.8270313757039413E-2</v>
      </c>
      <c r="I21" s="5" t="str">
        <f t="shared" si="3"/>
        <v>крайняя бедность</v>
      </c>
      <c r="J21" t="str">
        <f t="shared" si="4"/>
        <v>не нуждается в помощи</v>
      </c>
    </row>
    <row r="22" spans="1:10" x14ac:dyDescent="0.2">
      <c r="A22" s="4">
        <v>3272</v>
      </c>
      <c r="B22" s="1" t="s">
        <v>1</v>
      </c>
      <c r="C22">
        <v>600</v>
      </c>
      <c r="D22">
        <v>11</v>
      </c>
      <c r="E22" t="s">
        <v>11</v>
      </c>
      <c r="F22" s="6">
        <f t="shared" si="0"/>
        <v>54.545454545454547</v>
      </c>
      <c r="G22" s="7">
        <f t="shared" si="1"/>
        <v>4.8270313757039416</v>
      </c>
      <c r="H22" s="7">
        <f t="shared" si="2"/>
        <v>0.16090104585679804</v>
      </c>
      <c r="I22" s="5" t="str">
        <f t="shared" si="3"/>
        <v>крайняя бедность</v>
      </c>
      <c r="J22" t="str">
        <f t="shared" si="4"/>
        <v>не нуждается в помощи</v>
      </c>
    </row>
    <row r="23" spans="1:10" x14ac:dyDescent="0.2">
      <c r="A23" s="4">
        <v>2363</v>
      </c>
      <c r="B23" t="s">
        <v>0</v>
      </c>
      <c r="C23" s="1">
        <v>1500</v>
      </c>
      <c r="D23">
        <v>11</v>
      </c>
      <c r="E23" t="s">
        <v>10</v>
      </c>
      <c r="F23" s="6">
        <f t="shared" si="0"/>
        <v>136.36363636363637</v>
      </c>
      <c r="G23" s="7">
        <f t="shared" si="1"/>
        <v>12.067578439259856</v>
      </c>
      <c r="H23" s="7">
        <f t="shared" si="2"/>
        <v>0.40225261464199519</v>
      </c>
      <c r="I23" s="5" t="str">
        <f t="shared" si="3"/>
        <v>крайняя бедность</v>
      </c>
      <c r="J23" t="str">
        <f t="shared" si="4"/>
        <v>не нуждается в помощи</v>
      </c>
    </row>
    <row r="24" spans="1:10" x14ac:dyDescent="0.2">
      <c r="A24" s="4">
        <v>2778</v>
      </c>
      <c r="B24" t="s">
        <v>2</v>
      </c>
      <c r="C24" s="1">
        <v>4500</v>
      </c>
      <c r="D24">
        <v>11</v>
      </c>
      <c r="E24" t="s">
        <v>10</v>
      </c>
      <c r="F24" s="6">
        <f t="shared" si="0"/>
        <v>409.09090909090907</v>
      </c>
      <c r="G24" s="7">
        <f t="shared" si="1"/>
        <v>36.202735317779563</v>
      </c>
      <c r="H24" s="7">
        <f t="shared" si="2"/>
        <v>1.2067578439259854</v>
      </c>
      <c r="I24" s="5" t="str">
        <f t="shared" si="3"/>
        <v>бедность</v>
      </c>
      <c r="J24" t="str">
        <f t="shared" si="4"/>
        <v>не нуждается в помощи</v>
      </c>
    </row>
    <row r="25" spans="1:10" x14ac:dyDescent="0.2">
      <c r="A25" s="4">
        <v>2479</v>
      </c>
      <c r="B25" t="s">
        <v>0</v>
      </c>
      <c r="C25" s="1">
        <v>2000</v>
      </c>
      <c r="D25">
        <v>11</v>
      </c>
      <c r="E25" t="s">
        <v>11</v>
      </c>
      <c r="F25" s="6">
        <f t="shared" si="0"/>
        <v>181.81818181818181</v>
      </c>
      <c r="G25" s="7">
        <f t="shared" si="1"/>
        <v>16.090104585679807</v>
      </c>
      <c r="H25" s="7">
        <f t="shared" si="2"/>
        <v>0.53633681952266021</v>
      </c>
      <c r="I25" s="5" t="str">
        <f t="shared" si="3"/>
        <v>крайняя бедность</v>
      </c>
      <c r="J25" t="str">
        <f t="shared" si="4"/>
        <v>не нуждается в помощи</v>
      </c>
    </row>
    <row r="26" spans="1:10" x14ac:dyDescent="0.2">
      <c r="A26" s="4">
        <v>2407</v>
      </c>
      <c r="B26" t="s">
        <v>0</v>
      </c>
      <c r="C26" s="1">
        <v>4800</v>
      </c>
      <c r="D26">
        <v>11</v>
      </c>
      <c r="E26" t="s">
        <v>10</v>
      </c>
      <c r="F26" s="6">
        <f t="shared" si="0"/>
        <v>436.36363636363637</v>
      </c>
      <c r="G26" s="7">
        <f t="shared" si="1"/>
        <v>38.616251005631533</v>
      </c>
      <c r="H26" s="7">
        <f t="shared" si="2"/>
        <v>1.2872083668543843</v>
      </c>
      <c r="I26" s="5" t="str">
        <f t="shared" si="3"/>
        <v>бедность</v>
      </c>
      <c r="J26" t="str">
        <f t="shared" si="4"/>
        <v>нуждается в помощи</v>
      </c>
    </row>
    <row r="27" spans="1:10" x14ac:dyDescent="0.2">
      <c r="A27" s="4">
        <v>3119</v>
      </c>
      <c r="B27" t="s">
        <v>1</v>
      </c>
      <c r="C27" s="1">
        <v>6000</v>
      </c>
      <c r="D27">
        <v>11</v>
      </c>
      <c r="E27" t="s">
        <v>11</v>
      </c>
      <c r="F27" s="6">
        <f t="shared" si="0"/>
        <v>545.4545454545455</v>
      </c>
      <c r="G27" s="7">
        <f t="shared" si="1"/>
        <v>48.270313757039425</v>
      </c>
      <c r="H27" s="7">
        <f t="shared" si="2"/>
        <v>1.6090104585679808</v>
      </c>
      <c r="I27" s="5" t="str">
        <f t="shared" si="3"/>
        <v>ниже среднего</v>
      </c>
      <c r="J27" t="str">
        <f t="shared" si="4"/>
        <v>нуждается в помощи</v>
      </c>
    </row>
    <row r="28" spans="1:10" x14ac:dyDescent="0.2">
      <c r="A28" s="4">
        <v>3237</v>
      </c>
      <c r="B28" t="s">
        <v>1</v>
      </c>
      <c r="C28" s="1">
        <v>10300</v>
      </c>
      <c r="D28">
        <v>11</v>
      </c>
      <c r="E28" t="s">
        <v>10</v>
      </c>
      <c r="F28" s="6">
        <f t="shared" si="0"/>
        <v>936.36363636363637</v>
      </c>
      <c r="G28" s="7">
        <f t="shared" si="1"/>
        <v>82.864038616251008</v>
      </c>
      <c r="H28" s="7">
        <f t="shared" si="2"/>
        <v>2.7621346205416999</v>
      </c>
      <c r="I28" s="5" t="str">
        <f t="shared" si="3"/>
        <v>средний</v>
      </c>
      <c r="J28" t="str">
        <f t="shared" si="4"/>
        <v>не нуждается в помощи</v>
      </c>
    </row>
    <row r="29" spans="1:10" x14ac:dyDescent="0.2">
      <c r="A29" s="4">
        <v>2654</v>
      </c>
      <c r="B29" t="s">
        <v>2</v>
      </c>
      <c r="C29" s="1">
        <v>12500</v>
      </c>
      <c r="D29">
        <v>11</v>
      </c>
      <c r="E29" t="s">
        <v>11</v>
      </c>
      <c r="F29" s="6">
        <f t="shared" si="0"/>
        <v>1136.3636363636363</v>
      </c>
      <c r="G29" s="7">
        <f t="shared" si="1"/>
        <v>100.56315366049878</v>
      </c>
      <c r="H29" s="7">
        <f t="shared" si="2"/>
        <v>3.352105122016626</v>
      </c>
      <c r="I29" s="5" t="str">
        <f t="shared" si="3"/>
        <v>средний</v>
      </c>
      <c r="J29" t="str">
        <f t="shared" si="4"/>
        <v>не нуждается в помощи</v>
      </c>
    </row>
    <row r="30" spans="1:10" x14ac:dyDescent="0.2">
      <c r="A30" s="4">
        <v>2433</v>
      </c>
      <c r="B30" t="s">
        <v>0</v>
      </c>
      <c r="C30">
        <v>820</v>
      </c>
      <c r="D30">
        <v>10</v>
      </c>
      <c r="E30" t="s">
        <v>11</v>
      </c>
      <c r="F30" s="6">
        <f t="shared" si="0"/>
        <v>82</v>
      </c>
      <c r="G30" s="7">
        <f t="shared" si="1"/>
        <v>7.2566371681415927</v>
      </c>
      <c r="H30" s="7">
        <f t="shared" si="2"/>
        <v>0.24188790560471976</v>
      </c>
      <c r="I30" s="5" t="str">
        <f t="shared" si="3"/>
        <v>крайняя бедность</v>
      </c>
      <c r="J30" t="str">
        <f t="shared" si="4"/>
        <v>нуждается в помощи</v>
      </c>
    </row>
    <row r="31" spans="1:10" x14ac:dyDescent="0.2">
      <c r="A31" s="4">
        <v>2328</v>
      </c>
      <c r="B31" t="s">
        <v>0</v>
      </c>
      <c r="C31">
        <v>1850</v>
      </c>
      <c r="D31">
        <v>10</v>
      </c>
      <c r="E31" t="s">
        <v>11</v>
      </c>
      <c r="F31" s="6">
        <f t="shared" si="0"/>
        <v>185</v>
      </c>
      <c r="G31" s="7">
        <f t="shared" si="1"/>
        <v>16.371681415929203</v>
      </c>
      <c r="H31" s="7">
        <f t="shared" si="2"/>
        <v>0.54572271386430682</v>
      </c>
      <c r="I31" s="5" t="str">
        <f t="shared" si="3"/>
        <v>крайняя бедность</v>
      </c>
      <c r="J31" t="str">
        <f t="shared" si="4"/>
        <v>не нуждается в помощи</v>
      </c>
    </row>
    <row r="32" spans="1:10" x14ac:dyDescent="0.2">
      <c r="A32" s="4">
        <v>2351</v>
      </c>
      <c r="B32" t="s">
        <v>0</v>
      </c>
      <c r="C32">
        <v>100</v>
      </c>
      <c r="D32">
        <v>10</v>
      </c>
      <c r="E32" t="s">
        <v>11</v>
      </c>
      <c r="F32" s="6">
        <f t="shared" si="0"/>
        <v>10</v>
      </c>
      <c r="G32" s="7">
        <f t="shared" si="1"/>
        <v>0.88495575221238931</v>
      </c>
      <c r="H32" s="7">
        <f t="shared" si="2"/>
        <v>2.9498525073746309E-2</v>
      </c>
      <c r="I32" s="5" t="str">
        <f t="shared" si="3"/>
        <v>крайняя бедность</v>
      </c>
      <c r="J32" t="str">
        <f t="shared" si="4"/>
        <v>не нуждается в помощи</v>
      </c>
    </row>
    <row r="33" spans="1:10" x14ac:dyDescent="0.2">
      <c r="A33" s="4">
        <v>2978</v>
      </c>
      <c r="B33" t="s">
        <v>1</v>
      </c>
      <c r="C33">
        <v>1900</v>
      </c>
      <c r="D33">
        <v>10</v>
      </c>
      <c r="E33" t="s">
        <v>11</v>
      </c>
      <c r="F33" s="6">
        <f t="shared" si="0"/>
        <v>190</v>
      </c>
      <c r="G33" s="7">
        <f t="shared" si="1"/>
        <v>16.814159292035399</v>
      </c>
      <c r="H33" s="7">
        <f t="shared" si="2"/>
        <v>0.56047197640117985</v>
      </c>
      <c r="I33" s="5" t="str">
        <f t="shared" si="3"/>
        <v>крайняя бедность</v>
      </c>
      <c r="J33" t="str">
        <f t="shared" si="4"/>
        <v>не нуждается в помощи</v>
      </c>
    </row>
    <row r="34" spans="1:10" x14ac:dyDescent="0.2">
      <c r="A34" s="4">
        <v>2827</v>
      </c>
      <c r="B34" t="s">
        <v>2</v>
      </c>
      <c r="C34">
        <v>3840</v>
      </c>
      <c r="D34">
        <v>10</v>
      </c>
      <c r="E34" t="s">
        <v>11</v>
      </c>
      <c r="F34" s="6">
        <f t="shared" si="0"/>
        <v>384</v>
      </c>
      <c r="G34" s="7">
        <f t="shared" si="1"/>
        <v>33.982300884955748</v>
      </c>
      <c r="H34" s="7">
        <f t="shared" si="2"/>
        <v>1.1327433628318584</v>
      </c>
      <c r="I34" s="5" t="str">
        <f t="shared" si="3"/>
        <v>бедность</v>
      </c>
      <c r="J34" t="str">
        <f t="shared" si="4"/>
        <v>не нуждается в помощи</v>
      </c>
    </row>
    <row r="35" spans="1:10" x14ac:dyDescent="0.2">
      <c r="A35" s="4">
        <v>5664</v>
      </c>
      <c r="B35" s="1" t="s">
        <v>0</v>
      </c>
      <c r="C35">
        <v>2150</v>
      </c>
      <c r="D35">
        <v>10</v>
      </c>
      <c r="E35" t="s">
        <v>10</v>
      </c>
      <c r="F35" s="6">
        <f t="shared" si="0"/>
        <v>215</v>
      </c>
      <c r="G35" s="7">
        <f t="shared" si="1"/>
        <v>19.026548672566371</v>
      </c>
      <c r="H35" s="7">
        <f t="shared" si="2"/>
        <v>0.63421828908554567</v>
      </c>
      <c r="I35" s="5" t="str">
        <f t="shared" si="3"/>
        <v>крайняя бедность</v>
      </c>
      <c r="J35" t="str">
        <f t="shared" si="4"/>
        <v>не нуждается в помощи</v>
      </c>
    </row>
    <row r="36" spans="1:10" x14ac:dyDescent="0.2">
      <c r="A36" s="4">
        <v>2384</v>
      </c>
      <c r="B36" t="s">
        <v>0</v>
      </c>
      <c r="C36" s="1">
        <v>1000</v>
      </c>
      <c r="D36">
        <v>10</v>
      </c>
      <c r="E36" t="s">
        <v>10</v>
      </c>
      <c r="F36" s="6">
        <f t="shared" si="0"/>
        <v>100</v>
      </c>
      <c r="G36" s="7">
        <f t="shared" si="1"/>
        <v>8.8495575221238933</v>
      </c>
      <c r="H36" s="7">
        <f t="shared" si="2"/>
        <v>0.29498525073746312</v>
      </c>
      <c r="I36" s="5" t="str">
        <f t="shared" si="3"/>
        <v>крайняя бедность</v>
      </c>
      <c r="J36" t="str">
        <f t="shared" si="4"/>
        <v>нуждается в помощи</v>
      </c>
    </row>
    <row r="37" spans="1:10" x14ac:dyDescent="0.2">
      <c r="A37" s="4">
        <v>6222</v>
      </c>
      <c r="B37" t="s">
        <v>1</v>
      </c>
      <c r="C37" s="1">
        <v>6000</v>
      </c>
      <c r="D37">
        <v>10</v>
      </c>
      <c r="E37" t="s">
        <v>10</v>
      </c>
      <c r="F37" s="6">
        <f t="shared" si="0"/>
        <v>600</v>
      </c>
      <c r="G37" s="7">
        <f t="shared" si="1"/>
        <v>53.097345132743357</v>
      </c>
      <c r="H37" s="7">
        <f t="shared" si="2"/>
        <v>1.7699115044247786</v>
      </c>
      <c r="I37" s="5" t="str">
        <f t="shared" si="3"/>
        <v>ниже среднего</v>
      </c>
      <c r="J37" t="str">
        <f t="shared" si="4"/>
        <v>не нуждается в помощи</v>
      </c>
    </row>
    <row r="38" spans="1:10" x14ac:dyDescent="0.2">
      <c r="A38" s="4">
        <v>2518</v>
      </c>
      <c r="B38" t="s">
        <v>0</v>
      </c>
      <c r="C38" s="1">
        <v>2700</v>
      </c>
      <c r="D38">
        <v>10</v>
      </c>
      <c r="E38" t="s">
        <v>11</v>
      </c>
      <c r="F38" s="6">
        <f t="shared" si="0"/>
        <v>270</v>
      </c>
      <c r="G38" s="7">
        <f t="shared" si="1"/>
        <v>23.89380530973451</v>
      </c>
      <c r="H38" s="7">
        <f t="shared" si="2"/>
        <v>0.79646017699115035</v>
      </c>
      <c r="I38" s="5" t="str">
        <f t="shared" si="3"/>
        <v>крайняя бедность</v>
      </c>
      <c r="J38" t="str">
        <f t="shared" si="4"/>
        <v>не нуждается в помощи</v>
      </c>
    </row>
    <row r="39" spans="1:10" x14ac:dyDescent="0.2">
      <c r="A39" s="4">
        <v>2767</v>
      </c>
      <c r="B39" t="s">
        <v>2</v>
      </c>
      <c r="C39" s="1">
        <v>1500</v>
      </c>
      <c r="D39">
        <v>10</v>
      </c>
      <c r="E39" t="s">
        <v>10</v>
      </c>
      <c r="F39" s="6">
        <f t="shared" si="0"/>
        <v>150</v>
      </c>
      <c r="G39" s="7">
        <f t="shared" si="1"/>
        <v>13.274336283185839</v>
      </c>
      <c r="H39" s="7">
        <f t="shared" si="2"/>
        <v>0.44247787610619466</v>
      </c>
      <c r="I39" s="5" t="str">
        <f t="shared" si="3"/>
        <v>крайняя бедность</v>
      </c>
      <c r="J39" t="str">
        <f t="shared" si="4"/>
        <v>не нуждается в помощи</v>
      </c>
    </row>
    <row r="40" spans="1:10" x14ac:dyDescent="0.2">
      <c r="A40" s="4">
        <v>2619</v>
      </c>
      <c r="B40" t="s">
        <v>0</v>
      </c>
      <c r="C40" s="1">
        <v>2700</v>
      </c>
      <c r="D40">
        <v>10</v>
      </c>
      <c r="E40" t="s">
        <v>11</v>
      </c>
      <c r="F40" s="6">
        <f t="shared" si="0"/>
        <v>270</v>
      </c>
      <c r="G40" s="7">
        <f t="shared" si="1"/>
        <v>23.89380530973451</v>
      </c>
      <c r="H40" s="7">
        <f t="shared" si="2"/>
        <v>0.79646017699115035</v>
      </c>
      <c r="I40" s="5" t="str">
        <f t="shared" si="3"/>
        <v>крайняя бедность</v>
      </c>
      <c r="J40" t="str">
        <f t="shared" si="4"/>
        <v>нуждается в помощи</v>
      </c>
    </row>
    <row r="41" spans="1:10" x14ac:dyDescent="0.2">
      <c r="A41" s="4">
        <v>2539</v>
      </c>
      <c r="B41" t="s">
        <v>0</v>
      </c>
      <c r="C41" s="1">
        <v>6000</v>
      </c>
      <c r="D41">
        <v>10</v>
      </c>
      <c r="E41" t="s">
        <v>11</v>
      </c>
      <c r="F41" s="6">
        <f t="shared" si="0"/>
        <v>600</v>
      </c>
      <c r="G41" s="7">
        <f t="shared" si="1"/>
        <v>53.097345132743357</v>
      </c>
      <c r="H41" s="7">
        <f t="shared" si="2"/>
        <v>1.7699115044247786</v>
      </c>
      <c r="I41" s="5" t="str">
        <f t="shared" si="3"/>
        <v>ниже среднего</v>
      </c>
      <c r="J41" t="str">
        <f t="shared" si="4"/>
        <v>нуждается в помощи</v>
      </c>
    </row>
    <row r="42" spans="1:10" x14ac:dyDescent="0.2">
      <c r="A42" s="4">
        <v>3010</v>
      </c>
      <c r="B42" t="s">
        <v>1</v>
      </c>
      <c r="C42" s="1">
        <v>6000</v>
      </c>
      <c r="D42">
        <v>10</v>
      </c>
      <c r="E42" t="s">
        <v>10</v>
      </c>
      <c r="F42" s="6">
        <f t="shared" si="0"/>
        <v>600</v>
      </c>
      <c r="G42" s="7">
        <f t="shared" si="1"/>
        <v>53.097345132743357</v>
      </c>
      <c r="H42" s="7">
        <f t="shared" si="2"/>
        <v>1.7699115044247786</v>
      </c>
      <c r="I42" s="5" t="str">
        <f t="shared" si="3"/>
        <v>ниже среднего</v>
      </c>
      <c r="J42" t="str">
        <f t="shared" si="4"/>
        <v>не нуждается в помощи</v>
      </c>
    </row>
    <row r="43" spans="1:10" x14ac:dyDescent="0.2">
      <c r="A43" s="4">
        <v>2645</v>
      </c>
      <c r="B43" t="s">
        <v>2</v>
      </c>
      <c r="C43" s="1">
        <v>49500</v>
      </c>
      <c r="D43">
        <v>10</v>
      </c>
      <c r="E43" t="s">
        <v>11</v>
      </c>
      <c r="F43" s="6">
        <f t="shared" si="0"/>
        <v>4950</v>
      </c>
      <c r="G43" s="7">
        <f t="shared" si="1"/>
        <v>438.0530973451327</v>
      </c>
      <c r="H43" s="7">
        <f t="shared" si="2"/>
        <v>14.601769911504423</v>
      </c>
      <c r="I43" s="5" t="str">
        <f t="shared" si="3"/>
        <v>в достатке</v>
      </c>
      <c r="J43" t="str">
        <f t="shared" si="4"/>
        <v>нуждается в помощи</v>
      </c>
    </row>
    <row r="44" spans="1:10" x14ac:dyDescent="0.2">
      <c r="A44" s="4">
        <v>2659</v>
      </c>
      <c r="B44" t="s">
        <v>2</v>
      </c>
      <c r="C44" s="1">
        <v>21000</v>
      </c>
      <c r="D44">
        <v>10</v>
      </c>
      <c r="E44" t="s">
        <v>11</v>
      </c>
      <c r="F44" s="6">
        <f t="shared" si="0"/>
        <v>2100</v>
      </c>
      <c r="G44" s="7">
        <f t="shared" si="1"/>
        <v>185.84070796460176</v>
      </c>
      <c r="H44" s="7">
        <f t="shared" si="2"/>
        <v>6.1946902654867255</v>
      </c>
      <c r="I44" s="5" t="str">
        <f t="shared" si="3"/>
        <v>в достатке</v>
      </c>
      <c r="J44" t="str">
        <f t="shared" si="4"/>
        <v>нуждается в помощи</v>
      </c>
    </row>
    <row r="45" spans="1:10" x14ac:dyDescent="0.2">
      <c r="A45" s="4">
        <v>2354</v>
      </c>
      <c r="B45" t="s">
        <v>0</v>
      </c>
      <c r="C45">
        <v>800</v>
      </c>
      <c r="D45">
        <v>9</v>
      </c>
      <c r="E45" t="s">
        <v>10</v>
      </c>
      <c r="F45" s="6">
        <f t="shared" si="0"/>
        <v>88.888888888888886</v>
      </c>
      <c r="G45" s="7">
        <f t="shared" si="1"/>
        <v>7.8662733529990163</v>
      </c>
      <c r="H45" s="7">
        <f t="shared" si="2"/>
        <v>0.26220911176663386</v>
      </c>
      <c r="I45" s="5" t="str">
        <f t="shared" si="3"/>
        <v>крайняя бедность</v>
      </c>
      <c r="J45" t="str">
        <f t="shared" si="4"/>
        <v>не нуждается в помощи</v>
      </c>
    </row>
    <row r="46" spans="1:10" x14ac:dyDescent="0.2">
      <c r="A46" s="4">
        <v>2327</v>
      </c>
      <c r="B46" t="s">
        <v>0</v>
      </c>
      <c r="C46">
        <v>5350</v>
      </c>
      <c r="D46">
        <v>9</v>
      </c>
      <c r="E46" t="s">
        <v>11</v>
      </c>
      <c r="F46" s="6">
        <f t="shared" si="0"/>
        <v>594.44444444444446</v>
      </c>
      <c r="G46" s="7">
        <f t="shared" si="1"/>
        <v>52.605703048180921</v>
      </c>
      <c r="H46" s="7">
        <f t="shared" si="2"/>
        <v>1.7535234349393642</v>
      </c>
      <c r="I46" s="5" t="str">
        <f t="shared" si="3"/>
        <v>ниже среднего</v>
      </c>
      <c r="J46" t="str">
        <f t="shared" si="4"/>
        <v>не нуждается в помощи</v>
      </c>
    </row>
    <row r="47" spans="1:10" x14ac:dyDescent="0.2">
      <c r="A47" s="4">
        <v>2410</v>
      </c>
      <c r="B47" t="s">
        <v>0</v>
      </c>
      <c r="C47">
        <v>4080</v>
      </c>
      <c r="D47">
        <v>9</v>
      </c>
      <c r="E47" t="s">
        <v>11</v>
      </c>
      <c r="F47" s="6">
        <f t="shared" si="0"/>
        <v>453.33333333333331</v>
      </c>
      <c r="G47" s="7">
        <f t="shared" si="1"/>
        <v>40.117994100294979</v>
      </c>
      <c r="H47" s="7">
        <f t="shared" si="2"/>
        <v>1.3372664700098327</v>
      </c>
      <c r="I47" s="5" t="str">
        <f t="shared" si="3"/>
        <v>ниже среднего</v>
      </c>
      <c r="J47" t="str">
        <f t="shared" si="4"/>
        <v>не нуждается в помощи</v>
      </c>
    </row>
    <row r="48" spans="1:10" x14ac:dyDescent="0.2">
      <c r="A48" s="4">
        <v>3236</v>
      </c>
      <c r="B48" t="s">
        <v>1</v>
      </c>
      <c r="C48">
        <v>405</v>
      </c>
      <c r="D48">
        <v>9</v>
      </c>
      <c r="E48" t="s">
        <v>11</v>
      </c>
      <c r="F48" s="6">
        <f t="shared" si="0"/>
        <v>45</v>
      </c>
      <c r="G48" s="7">
        <f t="shared" si="1"/>
        <v>3.9823008849557517</v>
      </c>
      <c r="H48" s="7">
        <f t="shared" si="2"/>
        <v>0.13274336283185839</v>
      </c>
      <c r="I48" s="5" t="str">
        <f t="shared" si="3"/>
        <v>крайняя бедность</v>
      </c>
      <c r="J48" t="str">
        <f t="shared" si="4"/>
        <v>не нуждается в помощи</v>
      </c>
    </row>
    <row r="49" spans="1:10" x14ac:dyDescent="0.2">
      <c r="A49" s="4">
        <v>1966</v>
      </c>
      <c r="B49" t="s">
        <v>3</v>
      </c>
      <c r="C49">
        <v>450</v>
      </c>
      <c r="D49">
        <v>9</v>
      </c>
      <c r="E49" t="s">
        <v>10</v>
      </c>
      <c r="F49" s="6">
        <f t="shared" si="0"/>
        <v>50</v>
      </c>
      <c r="G49" s="7">
        <f t="shared" si="1"/>
        <v>4.4247787610619467</v>
      </c>
      <c r="H49" s="7">
        <f t="shared" si="2"/>
        <v>0.14749262536873156</v>
      </c>
      <c r="I49" s="5" t="str">
        <f t="shared" si="3"/>
        <v>крайняя бедность</v>
      </c>
      <c r="J49" t="str">
        <f t="shared" si="4"/>
        <v>не нуждается в помощи</v>
      </c>
    </row>
    <row r="50" spans="1:10" x14ac:dyDescent="0.2">
      <c r="A50" s="4">
        <v>2394</v>
      </c>
      <c r="B50" s="1" t="s">
        <v>0</v>
      </c>
      <c r="C50">
        <v>1400</v>
      </c>
      <c r="D50">
        <v>9</v>
      </c>
      <c r="E50" t="s">
        <v>10</v>
      </c>
      <c r="F50" s="6">
        <f t="shared" si="0"/>
        <v>155.55555555555554</v>
      </c>
      <c r="G50" s="7">
        <f t="shared" si="1"/>
        <v>13.765978367748277</v>
      </c>
      <c r="H50" s="7">
        <f t="shared" si="2"/>
        <v>0.45886594559160926</v>
      </c>
      <c r="I50" s="5" t="str">
        <f t="shared" si="3"/>
        <v>крайняя бедность</v>
      </c>
      <c r="J50" t="str">
        <f t="shared" si="4"/>
        <v>не нуждается в помощи</v>
      </c>
    </row>
    <row r="51" spans="1:10" x14ac:dyDescent="0.2">
      <c r="A51" s="4">
        <v>569</v>
      </c>
      <c r="B51" s="1" t="s">
        <v>4</v>
      </c>
      <c r="C51">
        <v>685</v>
      </c>
      <c r="D51">
        <v>9</v>
      </c>
      <c r="E51" t="s">
        <v>11</v>
      </c>
      <c r="F51" s="6">
        <f t="shared" si="0"/>
        <v>76.111111111111114</v>
      </c>
      <c r="G51" s="7">
        <f t="shared" si="1"/>
        <v>6.7354965585054076</v>
      </c>
      <c r="H51" s="7">
        <f t="shared" si="2"/>
        <v>0.22451655195018028</v>
      </c>
      <c r="I51" s="5" t="str">
        <f t="shared" si="3"/>
        <v>крайняя бедность</v>
      </c>
      <c r="J51" t="str">
        <f t="shared" si="4"/>
        <v>не нуждается в помощи</v>
      </c>
    </row>
    <row r="52" spans="1:10" x14ac:dyDescent="0.2">
      <c r="A52" s="4">
        <v>2038</v>
      </c>
      <c r="B52" s="1" t="s">
        <v>3</v>
      </c>
      <c r="C52">
        <v>2300</v>
      </c>
      <c r="D52">
        <v>9</v>
      </c>
      <c r="E52" t="s">
        <v>10</v>
      </c>
      <c r="F52" s="6">
        <f t="shared" si="0"/>
        <v>255.55555555555554</v>
      </c>
      <c r="G52" s="7">
        <f t="shared" si="1"/>
        <v>22.61553588987217</v>
      </c>
      <c r="H52" s="7">
        <f t="shared" si="2"/>
        <v>0.75385119632907227</v>
      </c>
      <c r="I52" s="5" t="str">
        <f t="shared" si="3"/>
        <v>крайняя бедность</v>
      </c>
      <c r="J52" t="str">
        <f t="shared" si="4"/>
        <v>не нуждается в помощи</v>
      </c>
    </row>
    <row r="53" spans="1:10" x14ac:dyDescent="0.2">
      <c r="A53" s="4">
        <v>3264</v>
      </c>
      <c r="B53" s="1" t="s">
        <v>1</v>
      </c>
      <c r="C53">
        <v>1400</v>
      </c>
      <c r="D53">
        <v>9</v>
      </c>
      <c r="E53" t="s">
        <v>10</v>
      </c>
      <c r="F53" s="6">
        <f t="shared" si="0"/>
        <v>155.55555555555554</v>
      </c>
      <c r="G53" s="7">
        <f t="shared" si="1"/>
        <v>13.765978367748277</v>
      </c>
      <c r="H53" s="7">
        <f t="shared" si="2"/>
        <v>0.45886594559160926</v>
      </c>
      <c r="I53" s="5" t="str">
        <f t="shared" si="3"/>
        <v>крайняя бедность</v>
      </c>
      <c r="J53" t="str">
        <f t="shared" si="4"/>
        <v>не нуждается в помощи</v>
      </c>
    </row>
    <row r="54" spans="1:10" x14ac:dyDescent="0.2">
      <c r="A54" s="4">
        <v>2768</v>
      </c>
      <c r="B54" t="s">
        <v>2</v>
      </c>
      <c r="C54" s="1">
        <v>4000</v>
      </c>
      <c r="D54">
        <v>9</v>
      </c>
      <c r="E54" t="s">
        <v>10</v>
      </c>
      <c r="F54" s="6">
        <f t="shared" si="0"/>
        <v>444.44444444444446</v>
      </c>
      <c r="G54" s="7">
        <f t="shared" si="1"/>
        <v>39.331366764995082</v>
      </c>
      <c r="H54" s="7">
        <f t="shared" si="2"/>
        <v>1.3110455588331693</v>
      </c>
      <c r="I54" s="5" t="str">
        <f t="shared" si="3"/>
        <v>бедность</v>
      </c>
      <c r="J54" t="str">
        <f t="shared" si="4"/>
        <v>не нуждается в помощи</v>
      </c>
    </row>
    <row r="55" spans="1:10" x14ac:dyDescent="0.2">
      <c r="A55" s="4">
        <v>1585</v>
      </c>
      <c r="B55" t="s">
        <v>5</v>
      </c>
      <c r="C55" s="1">
        <v>5600</v>
      </c>
      <c r="D55">
        <v>9</v>
      </c>
      <c r="E55" t="s">
        <v>10</v>
      </c>
      <c r="F55" s="6">
        <f t="shared" si="0"/>
        <v>622.22222222222217</v>
      </c>
      <c r="G55" s="7">
        <f t="shared" si="1"/>
        <v>55.063913470993107</v>
      </c>
      <c r="H55" s="7">
        <f t="shared" si="2"/>
        <v>1.835463782366437</v>
      </c>
      <c r="I55" s="5" t="str">
        <f t="shared" si="3"/>
        <v>ниже среднего</v>
      </c>
      <c r="J55" t="str">
        <f t="shared" si="4"/>
        <v>не нуждается в помощи</v>
      </c>
    </row>
    <row r="56" spans="1:10" x14ac:dyDescent="0.2">
      <c r="A56" s="4">
        <v>2516</v>
      </c>
      <c r="B56" t="s">
        <v>0</v>
      </c>
      <c r="C56" s="1">
        <v>4250</v>
      </c>
      <c r="D56">
        <v>9</v>
      </c>
      <c r="E56" t="s">
        <v>11</v>
      </c>
      <c r="F56" s="6">
        <f t="shared" si="0"/>
        <v>472.22222222222223</v>
      </c>
      <c r="G56" s="7">
        <f t="shared" si="1"/>
        <v>41.789577187807275</v>
      </c>
      <c r="H56" s="7">
        <f t="shared" si="2"/>
        <v>1.3929859062602423</v>
      </c>
      <c r="I56" s="5" t="str">
        <f t="shared" si="3"/>
        <v>ниже среднего</v>
      </c>
      <c r="J56" t="str">
        <f t="shared" si="4"/>
        <v>нуждается в помощи</v>
      </c>
    </row>
    <row r="57" spans="1:10" x14ac:dyDescent="0.2">
      <c r="A57" s="4">
        <v>2658</v>
      </c>
      <c r="B57" t="s">
        <v>2</v>
      </c>
      <c r="C57" s="1">
        <v>4500</v>
      </c>
      <c r="D57">
        <v>9</v>
      </c>
      <c r="E57" t="s">
        <v>11</v>
      </c>
      <c r="F57" s="6">
        <f t="shared" si="0"/>
        <v>500</v>
      </c>
      <c r="G57" s="7">
        <f t="shared" si="1"/>
        <v>44.247787610619469</v>
      </c>
      <c r="H57" s="7">
        <f t="shared" si="2"/>
        <v>1.4749262536873156</v>
      </c>
      <c r="I57" s="5" t="str">
        <f t="shared" si="3"/>
        <v>ниже среднего</v>
      </c>
      <c r="J57" t="str">
        <f t="shared" si="4"/>
        <v>нуждается в помощи</v>
      </c>
    </row>
    <row r="58" spans="1:10" x14ac:dyDescent="0.2">
      <c r="A58" s="4">
        <v>2928</v>
      </c>
      <c r="B58" t="s">
        <v>1</v>
      </c>
      <c r="C58" s="1">
        <v>2900</v>
      </c>
      <c r="D58">
        <v>9</v>
      </c>
      <c r="E58" t="s">
        <v>10</v>
      </c>
      <c r="F58" s="6">
        <f t="shared" si="0"/>
        <v>322.22222222222223</v>
      </c>
      <c r="G58" s="7">
        <f t="shared" si="1"/>
        <v>28.515240904621436</v>
      </c>
      <c r="H58" s="7">
        <f t="shared" si="2"/>
        <v>0.95050803015404772</v>
      </c>
      <c r="I58" s="5" t="str">
        <f t="shared" si="3"/>
        <v>бедность</v>
      </c>
      <c r="J58" t="str">
        <f t="shared" si="4"/>
        <v>не нуждается в помощи</v>
      </c>
    </row>
    <row r="59" spans="1:10" x14ac:dyDescent="0.2">
      <c r="A59" s="4">
        <v>2538</v>
      </c>
      <c r="B59" t="s">
        <v>0</v>
      </c>
      <c r="C59" s="1">
        <v>5500</v>
      </c>
      <c r="D59">
        <v>9</v>
      </c>
      <c r="E59" t="s">
        <v>11</v>
      </c>
      <c r="F59" s="6">
        <f t="shared" si="0"/>
        <v>611.11111111111109</v>
      </c>
      <c r="G59" s="7">
        <f t="shared" si="1"/>
        <v>54.080629301868235</v>
      </c>
      <c r="H59" s="7">
        <f t="shared" si="2"/>
        <v>1.8026876433956078</v>
      </c>
      <c r="I59" s="5" t="str">
        <f t="shared" si="3"/>
        <v>ниже среднего</v>
      </c>
      <c r="J59" t="str">
        <f t="shared" si="4"/>
        <v>не нуждается в помощи</v>
      </c>
    </row>
    <row r="60" spans="1:10" x14ac:dyDescent="0.2">
      <c r="A60" s="4">
        <v>3223</v>
      </c>
      <c r="B60" t="s">
        <v>1</v>
      </c>
      <c r="C60" s="1">
        <v>3500</v>
      </c>
      <c r="D60">
        <v>9</v>
      </c>
      <c r="E60" t="s">
        <v>11</v>
      </c>
      <c r="F60" s="6">
        <f t="shared" si="0"/>
        <v>388.88888888888891</v>
      </c>
      <c r="G60" s="7">
        <f t="shared" si="1"/>
        <v>34.414945919370702</v>
      </c>
      <c r="H60" s="7">
        <f t="shared" si="2"/>
        <v>1.1471648639790233</v>
      </c>
      <c r="I60" s="5" t="str">
        <f t="shared" si="3"/>
        <v>бедность</v>
      </c>
      <c r="J60" t="str">
        <f t="shared" si="4"/>
        <v>не нуждается в помощи</v>
      </c>
    </row>
    <row r="61" spans="1:10" x14ac:dyDescent="0.2">
      <c r="A61" s="4">
        <v>2532</v>
      </c>
      <c r="B61" t="s">
        <v>0</v>
      </c>
      <c r="C61" s="1">
        <v>6000</v>
      </c>
      <c r="D61">
        <v>9</v>
      </c>
      <c r="E61" t="s">
        <v>10</v>
      </c>
      <c r="F61" s="6">
        <f t="shared" si="0"/>
        <v>666.66666666666663</v>
      </c>
      <c r="G61" s="7">
        <f t="shared" si="1"/>
        <v>58.997050147492615</v>
      </c>
      <c r="H61" s="7">
        <f t="shared" si="2"/>
        <v>1.9665683382497541</v>
      </c>
      <c r="I61" s="5" t="str">
        <f t="shared" si="3"/>
        <v>ниже среднего</v>
      </c>
      <c r="J61" t="str">
        <f t="shared" si="4"/>
        <v>не нуждается в помощи</v>
      </c>
    </row>
    <row r="62" spans="1:10" x14ac:dyDescent="0.2">
      <c r="A62" s="4">
        <v>3089</v>
      </c>
      <c r="B62" t="s">
        <v>1</v>
      </c>
      <c r="C62" s="1">
        <v>3000</v>
      </c>
      <c r="D62">
        <v>9</v>
      </c>
      <c r="E62" t="s">
        <v>11</v>
      </c>
      <c r="F62" s="6">
        <f t="shared" si="0"/>
        <v>333.33333333333331</v>
      </c>
      <c r="G62" s="7">
        <f t="shared" si="1"/>
        <v>29.498525073746308</v>
      </c>
      <c r="H62" s="7">
        <f t="shared" si="2"/>
        <v>0.98328416912487704</v>
      </c>
      <c r="I62" s="5" t="str">
        <f t="shared" si="3"/>
        <v>бедность</v>
      </c>
      <c r="J62" t="str">
        <f t="shared" si="4"/>
        <v>не нуждается в помощи</v>
      </c>
    </row>
    <row r="63" spans="1:10" x14ac:dyDescent="0.2">
      <c r="A63" s="4">
        <v>2547</v>
      </c>
      <c r="B63" t="s">
        <v>0</v>
      </c>
      <c r="C63" s="1">
        <v>3600</v>
      </c>
      <c r="D63">
        <v>9</v>
      </c>
      <c r="E63" t="s">
        <v>10</v>
      </c>
      <c r="F63" s="6">
        <f t="shared" si="0"/>
        <v>400</v>
      </c>
      <c r="G63" s="7">
        <f t="shared" si="1"/>
        <v>35.398230088495573</v>
      </c>
      <c r="H63" s="7">
        <f t="shared" si="2"/>
        <v>1.1799410029498525</v>
      </c>
      <c r="I63" s="5" t="str">
        <f t="shared" si="3"/>
        <v>бедность</v>
      </c>
      <c r="J63" t="str">
        <f t="shared" si="4"/>
        <v>не нуждается в помощи</v>
      </c>
    </row>
    <row r="64" spans="1:10" x14ac:dyDescent="0.2">
      <c r="A64" s="4">
        <v>2326</v>
      </c>
      <c r="B64" t="s">
        <v>0</v>
      </c>
      <c r="C64">
        <v>300</v>
      </c>
      <c r="D64">
        <v>8</v>
      </c>
      <c r="E64" t="s">
        <v>11</v>
      </c>
      <c r="F64" s="6">
        <f t="shared" si="0"/>
        <v>37.5</v>
      </c>
      <c r="G64" s="7">
        <f t="shared" si="1"/>
        <v>3.3185840707964598</v>
      </c>
      <c r="H64" s="7">
        <f t="shared" si="2"/>
        <v>0.11061946902654866</v>
      </c>
      <c r="I64" s="5" t="str">
        <f t="shared" si="3"/>
        <v>крайняя бедность</v>
      </c>
      <c r="J64" t="str">
        <f t="shared" si="4"/>
        <v>не нуждается в помощи</v>
      </c>
    </row>
    <row r="65" spans="1:10" x14ac:dyDescent="0.2">
      <c r="A65" s="4">
        <v>2716</v>
      </c>
      <c r="B65" t="s">
        <v>2</v>
      </c>
      <c r="C65">
        <v>360</v>
      </c>
      <c r="D65">
        <v>8</v>
      </c>
      <c r="E65" t="s">
        <v>10</v>
      </c>
      <c r="F65" s="6">
        <f t="shared" si="0"/>
        <v>45</v>
      </c>
      <c r="G65" s="7">
        <f t="shared" si="1"/>
        <v>3.9823008849557517</v>
      </c>
      <c r="H65" s="7">
        <f t="shared" si="2"/>
        <v>0.13274336283185839</v>
      </c>
      <c r="I65" s="5" t="str">
        <f t="shared" si="3"/>
        <v>крайняя бедность</v>
      </c>
      <c r="J65" t="str">
        <f t="shared" si="4"/>
        <v>нуждается в помощи</v>
      </c>
    </row>
    <row r="66" spans="1:10" x14ac:dyDescent="0.2">
      <c r="A66" s="4">
        <v>2357</v>
      </c>
      <c r="B66" t="s">
        <v>0</v>
      </c>
      <c r="C66">
        <v>200</v>
      </c>
      <c r="D66">
        <v>8</v>
      </c>
      <c r="E66" t="s">
        <v>10</v>
      </c>
      <c r="F66" s="6">
        <f t="shared" ref="F66:F129" si="5">C66/D66</f>
        <v>25</v>
      </c>
      <c r="G66" s="7">
        <f t="shared" ref="G66:G129" si="6">(C66/D66)/rate</f>
        <v>2.2123893805309733</v>
      </c>
      <c r="H66" s="7">
        <f t="shared" ref="H66:H129" si="7">((C66/D66)/30)/rate</f>
        <v>7.3746312684365781E-2</v>
      </c>
      <c r="I66" s="5" t="str">
        <f t="shared" ref="I66:I129" si="8">IF(H66&lt;0.89, "крайняя бедность", IF(AND(H66&gt;0.89, H66&lt;1.33), "бедность", IF(AND(H66&gt;1.33,H66&lt;2.5),"ниже среднего", IF(AND(H66&gt;2.5,H66&lt;4), "средний", IF(H66&gt;4,"в достатке",0)))))</f>
        <v>крайняя бедность</v>
      </c>
      <c r="J66" t="str">
        <f t="shared" si="4"/>
        <v>не нуждается в помощи</v>
      </c>
    </row>
    <row r="67" spans="1:10" x14ac:dyDescent="0.2">
      <c r="A67" s="4">
        <v>2641</v>
      </c>
      <c r="B67" t="s">
        <v>0</v>
      </c>
      <c r="C67">
        <v>8935</v>
      </c>
      <c r="D67">
        <v>8</v>
      </c>
      <c r="E67" t="s">
        <v>11</v>
      </c>
      <c r="F67" s="6">
        <f t="shared" si="5"/>
        <v>1116.875</v>
      </c>
      <c r="G67" s="7">
        <f t="shared" si="6"/>
        <v>98.838495575221231</v>
      </c>
      <c r="H67" s="7">
        <f t="shared" si="7"/>
        <v>3.2946165191740411</v>
      </c>
      <c r="I67" s="5" t="str">
        <f t="shared" si="8"/>
        <v>средний</v>
      </c>
      <c r="J67" t="str">
        <f t="shared" ref="J67:J130" si="9">IF(AND(I76="крайняя бедность",E76="Нет"), "нуждается в помощи", "не нуждается в помощи")</f>
        <v>не нуждается в помощи</v>
      </c>
    </row>
    <row r="68" spans="1:10" x14ac:dyDescent="0.2">
      <c r="A68" s="4">
        <v>2122</v>
      </c>
      <c r="B68" t="s">
        <v>3</v>
      </c>
      <c r="C68">
        <v>280</v>
      </c>
      <c r="D68">
        <v>8</v>
      </c>
      <c r="E68" t="s">
        <v>11</v>
      </c>
      <c r="F68" s="6">
        <f t="shared" si="5"/>
        <v>35</v>
      </c>
      <c r="G68" s="7">
        <f t="shared" si="6"/>
        <v>3.0973451327433628</v>
      </c>
      <c r="H68" s="7">
        <f t="shared" si="7"/>
        <v>0.10324483775811209</v>
      </c>
      <c r="I68" s="5" t="str">
        <f t="shared" si="8"/>
        <v>крайняя бедность</v>
      </c>
      <c r="J68" t="str">
        <f t="shared" si="9"/>
        <v>нуждается в помощи</v>
      </c>
    </row>
    <row r="69" spans="1:10" x14ac:dyDescent="0.2">
      <c r="A69" s="4">
        <v>1638</v>
      </c>
      <c r="B69" t="s">
        <v>5</v>
      </c>
      <c r="C69">
        <v>950</v>
      </c>
      <c r="D69">
        <v>8</v>
      </c>
      <c r="E69" t="s">
        <v>11</v>
      </c>
      <c r="F69" s="6">
        <f t="shared" si="5"/>
        <v>118.75</v>
      </c>
      <c r="G69" s="7">
        <f t="shared" si="6"/>
        <v>10.508849557522122</v>
      </c>
      <c r="H69" s="7">
        <f t="shared" si="7"/>
        <v>0.35029498525073743</v>
      </c>
      <c r="I69" s="5" t="str">
        <f t="shared" si="8"/>
        <v>крайняя бедность</v>
      </c>
      <c r="J69" t="str">
        <f t="shared" si="9"/>
        <v>не нуждается в помощи</v>
      </c>
    </row>
    <row r="70" spans="1:10" x14ac:dyDescent="0.2">
      <c r="A70" s="4">
        <v>5044</v>
      </c>
      <c r="B70" t="s">
        <v>4</v>
      </c>
      <c r="C70">
        <v>5600</v>
      </c>
      <c r="D70">
        <v>8</v>
      </c>
      <c r="E70" t="s">
        <v>11</v>
      </c>
      <c r="F70" s="6">
        <f t="shared" si="5"/>
        <v>700</v>
      </c>
      <c r="G70" s="7">
        <f t="shared" si="6"/>
        <v>61.946902654867252</v>
      </c>
      <c r="H70" s="7">
        <f t="shared" si="7"/>
        <v>2.0648967551622417</v>
      </c>
      <c r="I70" s="5" t="str">
        <f t="shared" si="8"/>
        <v>ниже среднего</v>
      </c>
      <c r="J70" t="str">
        <f t="shared" si="9"/>
        <v>нуждается в помощи</v>
      </c>
    </row>
    <row r="71" spans="1:10" x14ac:dyDescent="0.2">
      <c r="A71" s="4">
        <v>529</v>
      </c>
      <c r="B71" t="s">
        <v>4</v>
      </c>
      <c r="C71">
        <v>1700</v>
      </c>
      <c r="D71">
        <v>8</v>
      </c>
      <c r="E71" t="s">
        <v>11</v>
      </c>
      <c r="F71" s="6">
        <f t="shared" si="5"/>
        <v>212.5</v>
      </c>
      <c r="G71" s="7">
        <f t="shared" si="6"/>
        <v>18.805309734513273</v>
      </c>
      <c r="H71" s="7">
        <f t="shared" si="7"/>
        <v>0.62684365781710905</v>
      </c>
      <c r="I71" s="5" t="str">
        <f t="shared" si="8"/>
        <v>крайняя бедность</v>
      </c>
      <c r="J71" t="str">
        <f t="shared" si="9"/>
        <v>не нуждается в помощи</v>
      </c>
    </row>
    <row r="72" spans="1:10" x14ac:dyDescent="0.2">
      <c r="A72" s="4">
        <v>2300</v>
      </c>
      <c r="B72" t="s">
        <v>3</v>
      </c>
      <c r="C72">
        <v>5700</v>
      </c>
      <c r="D72">
        <v>8</v>
      </c>
      <c r="E72" t="s">
        <v>11</v>
      </c>
      <c r="F72" s="6">
        <f t="shared" si="5"/>
        <v>712.5</v>
      </c>
      <c r="G72" s="7">
        <f t="shared" si="6"/>
        <v>63.053097345132741</v>
      </c>
      <c r="H72" s="7">
        <f t="shared" si="7"/>
        <v>2.1017699115044248</v>
      </c>
      <c r="I72" s="5" t="str">
        <f t="shared" si="8"/>
        <v>ниже среднего</v>
      </c>
      <c r="J72" t="str">
        <f t="shared" si="9"/>
        <v>не нуждается в помощи</v>
      </c>
    </row>
    <row r="73" spans="1:10" x14ac:dyDescent="0.2">
      <c r="A73" s="4">
        <v>2323</v>
      </c>
      <c r="B73" s="1" t="s">
        <v>0</v>
      </c>
      <c r="C73">
        <v>600</v>
      </c>
      <c r="D73">
        <v>8</v>
      </c>
      <c r="E73" t="s">
        <v>11</v>
      </c>
      <c r="F73" s="6">
        <f t="shared" si="5"/>
        <v>75</v>
      </c>
      <c r="G73" s="7">
        <f t="shared" si="6"/>
        <v>6.6371681415929196</v>
      </c>
      <c r="H73" s="7">
        <f t="shared" si="7"/>
        <v>0.22123893805309733</v>
      </c>
      <c r="I73" s="5" t="str">
        <f t="shared" si="8"/>
        <v>крайняя бедность</v>
      </c>
      <c r="J73" t="str">
        <f t="shared" si="9"/>
        <v>не нуждается в помощи</v>
      </c>
    </row>
    <row r="74" spans="1:10" x14ac:dyDescent="0.2">
      <c r="A74" s="4">
        <v>3079</v>
      </c>
      <c r="B74" s="1" t="s">
        <v>1</v>
      </c>
      <c r="C74">
        <v>1400</v>
      </c>
      <c r="D74">
        <v>8</v>
      </c>
      <c r="E74" t="s">
        <v>10</v>
      </c>
      <c r="F74" s="6">
        <f t="shared" si="5"/>
        <v>175</v>
      </c>
      <c r="G74" s="7">
        <f t="shared" si="6"/>
        <v>15.486725663716813</v>
      </c>
      <c r="H74" s="7">
        <f t="shared" si="7"/>
        <v>0.51622418879056042</v>
      </c>
      <c r="I74" s="5" t="str">
        <f t="shared" si="8"/>
        <v>крайняя бедность</v>
      </c>
      <c r="J74" t="str">
        <f t="shared" si="9"/>
        <v>не нуждается в помощи</v>
      </c>
    </row>
    <row r="75" spans="1:10" x14ac:dyDescent="0.2">
      <c r="A75" s="4">
        <v>2727</v>
      </c>
      <c r="B75" s="1" t="s">
        <v>2</v>
      </c>
      <c r="C75">
        <v>700</v>
      </c>
      <c r="D75">
        <v>8</v>
      </c>
      <c r="E75" t="s">
        <v>11</v>
      </c>
      <c r="F75" s="6">
        <f t="shared" si="5"/>
        <v>87.5</v>
      </c>
      <c r="G75" s="7">
        <f t="shared" si="6"/>
        <v>7.7433628318584065</v>
      </c>
      <c r="H75" s="7">
        <f t="shared" si="7"/>
        <v>0.25811209439528021</v>
      </c>
      <c r="I75" s="5" t="str">
        <f t="shared" si="8"/>
        <v>крайняя бедность</v>
      </c>
      <c r="J75" t="str">
        <f t="shared" si="9"/>
        <v>не нуждается в помощи</v>
      </c>
    </row>
    <row r="76" spans="1:10" x14ac:dyDescent="0.2">
      <c r="A76" s="4">
        <v>2301</v>
      </c>
      <c r="B76" s="1" t="s">
        <v>0</v>
      </c>
      <c r="C76">
        <v>1750</v>
      </c>
      <c r="D76">
        <v>8</v>
      </c>
      <c r="E76" t="s">
        <v>11</v>
      </c>
      <c r="F76" s="6">
        <f t="shared" si="5"/>
        <v>218.75</v>
      </c>
      <c r="G76" s="7">
        <f t="shared" si="6"/>
        <v>19.358407079646017</v>
      </c>
      <c r="H76" s="7">
        <f t="shared" si="7"/>
        <v>0.64528023598820061</v>
      </c>
      <c r="I76" s="5" t="str">
        <f t="shared" si="8"/>
        <v>крайняя бедность</v>
      </c>
      <c r="J76" t="str">
        <f t="shared" si="9"/>
        <v>не нуждается в помощи</v>
      </c>
    </row>
    <row r="77" spans="1:10" x14ac:dyDescent="0.2">
      <c r="A77" s="4">
        <v>2986</v>
      </c>
      <c r="B77" s="1" t="s">
        <v>1</v>
      </c>
      <c r="C77">
        <v>1850</v>
      </c>
      <c r="D77">
        <v>8</v>
      </c>
      <c r="E77" t="s">
        <v>10</v>
      </c>
      <c r="F77" s="6">
        <f t="shared" si="5"/>
        <v>231.25</v>
      </c>
      <c r="G77" s="7">
        <f t="shared" si="6"/>
        <v>20.464601769911503</v>
      </c>
      <c r="H77" s="7">
        <f t="shared" si="7"/>
        <v>0.68215339233038341</v>
      </c>
      <c r="I77" s="5" t="str">
        <f t="shared" si="8"/>
        <v>крайняя бедность</v>
      </c>
      <c r="J77" t="str">
        <f t="shared" si="9"/>
        <v>не нуждается в помощи</v>
      </c>
    </row>
    <row r="78" spans="1:10" x14ac:dyDescent="0.2">
      <c r="A78" s="4">
        <v>2468</v>
      </c>
      <c r="B78" t="s">
        <v>0</v>
      </c>
      <c r="C78" s="1">
        <v>6700</v>
      </c>
      <c r="D78">
        <v>8</v>
      </c>
      <c r="E78" t="s">
        <v>11</v>
      </c>
      <c r="F78" s="6">
        <f t="shared" si="5"/>
        <v>837.5</v>
      </c>
      <c r="G78" s="7">
        <f t="shared" si="6"/>
        <v>74.115044247787608</v>
      </c>
      <c r="H78" s="7">
        <f t="shared" si="7"/>
        <v>2.4705014749262535</v>
      </c>
      <c r="I78" s="5" t="str">
        <f t="shared" si="8"/>
        <v>ниже среднего</v>
      </c>
      <c r="J78" t="str">
        <f t="shared" si="9"/>
        <v>не нуждается в помощи</v>
      </c>
    </row>
    <row r="79" spans="1:10" x14ac:dyDescent="0.2">
      <c r="A79" s="4">
        <v>2577</v>
      </c>
      <c r="B79" t="s">
        <v>0</v>
      </c>
      <c r="C79" s="1">
        <v>1200</v>
      </c>
      <c r="D79">
        <v>8</v>
      </c>
      <c r="E79" t="s">
        <v>10</v>
      </c>
      <c r="F79" s="6">
        <f t="shared" si="5"/>
        <v>150</v>
      </c>
      <c r="G79" s="7">
        <f t="shared" si="6"/>
        <v>13.274336283185839</v>
      </c>
      <c r="H79" s="7">
        <f t="shared" si="7"/>
        <v>0.44247787610619466</v>
      </c>
      <c r="I79" s="5" t="str">
        <f t="shared" si="8"/>
        <v>крайняя бедность</v>
      </c>
      <c r="J79" t="str">
        <f t="shared" si="9"/>
        <v>не нуждается в помощи</v>
      </c>
    </row>
    <row r="80" spans="1:10" x14ac:dyDescent="0.2">
      <c r="A80" s="4">
        <v>3013</v>
      </c>
      <c r="B80" t="s">
        <v>1</v>
      </c>
      <c r="C80" s="1">
        <v>4700</v>
      </c>
      <c r="D80">
        <v>8</v>
      </c>
      <c r="E80" t="s">
        <v>11</v>
      </c>
      <c r="F80" s="6">
        <f t="shared" si="5"/>
        <v>587.5</v>
      </c>
      <c r="G80" s="7">
        <f t="shared" si="6"/>
        <v>51.991150442477874</v>
      </c>
      <c r="H80" s="7">
        <f t="shared" si="7"/>
        <v>1.7330383480825957</v>
      </c>
      <c r="I80" s="5" t="str">
        <f t="shared" si="8"/>
        <v>ниже среднего</v>
      </c>
      <c r="J80" t="str">
        <f t="shared" si="9"/>
        <v>не нуждается в помощи</v>
      </c>
    </row>
    <row r="81" spans="1:10" x14ac:dyDescent="0.2">
      <c r="A81" s="4">
        <v>1818</v>
      </c>
      <c r="B81" t="s">
        <v>3</v>
      </c>
      <c r="C81" s="1">
        <v>2100</v>
      </c>
      <c r="D81">
        <v>8</v>
      </c>
      <c r="E81" t="s">
        <v>11</v>
      </c>
      <c r="F81" s="6">
        <f t="shared" si="5"/>
        <v>262.5</v>
      </c>
      <c r="G81" s="7">
        <f t="shared" si="6"/>
        <v>23.23008849557522</v>
      </c>
      <c r="H81" s="7">
        <f t="shared" si="7"/>
        <v>0.77433628318584069</v>
      </c>
      <c r="I81" s="5" t="str">
        <f t="shared" si="8"/>
        <v>крайняя бедность</v>
      </c>
      <c r="J81" t="str">
        <f t="shared" si="9"/>
        <v>не нуждается в помощи</v>
      </c>
    </row>
    <row r="82" spans="1:10" x14ac:dyDescent="0.2">
      <c r="A82" s="4">
        <v>3227</v>
      </c>
      <c r="B82" t="s">
        <v>1</v>
      </c>
      <c r="C82" s="1">
        <v>1620</v>
      </c>
      <c r="D82">
        <v>8</v>
      </c>
      <c r="E82" t="s">
        <v>11</v>
      </c>
      <c r="F82" s="6">
        <f t="shared" si="5"/>
        <v>202.5</v>
      </c>
      <c r="G82" s="7">
        <f t="shared" si="6"/>
        <v>17.920353982300885</v>
      </c>
      <c r="H82" s="7">
        <f t="shared" si="7"/>
        <v>0.59734513274336276</v>
      </c>
      <c r="I82" s="5" t="str">
        <f t="shared" si="8"/>
        <v>крайняя бедность</v>
      </c>
      <c r="J82" t="str">
        <f t="shared" si="9"/>
        <v>не нуждается в помощи</v>
      </c>
    </row>
    <row r="83" spans="1:10" x14ac:dyDescent="0.2">
      <c r="A83" s="4">
        <v>2448</v>
      </c>
      <c r="B83" t="s">
        <v>0</v>
      </c>
      <c r="C83" s="1">
        <v>6050</v>
      </c>
      <c r="D83">
        <v>8</v>
      </c>
      <c r="E83" t="s">
        <v>11</v>
      </c>
      <c r="F83" s="6">
        <f t="shared" si="5"/>
        <v>756.25</v>
      </c>
      <c r="G83" s="7">
        <f t="shared" si="6"/>
        <v>66.924778761061944</v>
      </c>
      <c r="H83" s="7">
        <f t="shared" si="7"/>
        <v>2.2308259587020647</v>
      </c>
      <c r="I83" s="5" t="str">
        <f t="shared" si="8"/>
        <v>ниже среднего</v>
      </c>
      <c r="J83" t="str">
        <f t="shared" si="9"/>
        <v>не нуждается в помощи</v>
      </c>
    </row>
    <row r="84" spans="1:10" x14ac:dyDescent="0.2">
      <c r="A84" s="4">
        <v>2544</v>
      </c>
      <c r="B84" t="s">
        <v>0</v>
      </c>
      <c r="C84" s="1">
        <v>3000</v>
      </c>
      <c r="D84">
        <v>8</v>
      </c>
      <c r="E84" t="s">
        <v>11</v>
      </c>
      <c r="F84" s="6">
        <f t="shared" si="5"/>
        <v>375</v>
      </c>
      <c r="G84" s="7">
        <f t="shared" si="6"/>
        <v>33.185840707964601</v>
      </c>
      <c r="H84" s="7">
        <f t="shared" si="7"/>
        <v>1.1061946902654867</v>
      </c>
      <c r="I84" s="5" t="str">
        <f t="shared" si="8"/>
        <v>бедность</v>
      </c>
      <c r="J84" t="str">
        <f t="shared" si="9"/>
        <v>не нуждается в помощи</v>
      </c>
    </row>
    <row r="85" spans="1:10" x14ac:dyDescent="0.2">
      <c r="A85" s="4">
        <v>2571</v>
      </c>
      <c r="B85" t="s">
        <v>0</v>
      </c>
      <c r="C85" s="1">
        <v>4500</v>
      </c>
      <c r="D85">
        <v>8</v>
      </c>
      <c r="E85" t="s">
        <v>11</v>
      </c>
      <c r="F85" s="6">
        <f t="shared" si="5"/>
        <v>562.5</v>
      </c>
      <c r="G85" s="7">
        <f t="shared" si="6"/>
        <v>49.778761061946902</v>
      </c>
      <c r="H85" s="7">
        <f t="shared" si="7"/>
        <v>1.6592920353982299</v>
      </c>
      <c r="I85" s="5" t="str">
        <f t="shared" si="8"/>
        <v>ниже среднего</v>
      </c>
      <c r="J85" t="str">
        <f t="shared" si="9"/>
        <v>не нуждается в помощи</v>
      </c>
    </row>
    <row r="86" spans="1:10" x14ac:dyDescent="0.2">
      <c r="A86" s="4">
        <v>2391</v>
      </c>
      <c r="B86" t="s">
        <v>0</v>
      </c>
      <c r="C86" s="1">
        <v>4160</v>
      </c>
      <c r="D86">
        <v>8</v>
      </c>
      <c r="E86" t="s">
        <v>10</v>
      </c>
      <c r="F86" s="6">
        <f t="shared" si="5"/>
        <v>520</v>
      </c>
      <c r="G86" s="7">
        <f t="shared" si="6"/>
        <v>46.017699115044245</v>
      </c>
      <c r="H86" s="7">
        <f t="shared" si="7"/>
        <v>1.5339233038348081</v>
      </c>
      <c r="I86" s="5" t="str">
        <f t="shared" si="8"/>
        <v>ниже среднего</v>
      </c>
      <c r="J86" t="str">
        <f t="shared" si="9"/>
        <v>не нуждается в помощи</v>
      </c>
    </row>
    <row r="87" spans="1:10" x14ac:dyDescent="0.2">
      <c r="A87" s="4">
        <v>2542</v>
      </c>
      <c r="B87" t="s">
        <v>0</v>
      </c>
      <c r="C87" s="1">
        <v>4300</v>
      </c>
      <c r="D87">
        <v>8</v>
      </c>
      <c r="E87" t="s">
        <v>11</v>
      </c>
      <c r="F87" s="6">
        <f t="shared" si="5"/>
        <v>537.5</v>
      </c>
      <c r="G87" s="7">
        <f t="shared" si="6"/>
        <v>47.566371681415923</v>
      </c>
      <c r="H87" s="7">
        <f t="shared" si="7"/>
        <v>1.5855457227138643</v>
      </c>
      <c r="I87" s="5" t="str">
        <f t="shared" si="8"/>
        <v>ниже среднего</v>
      </c>
      <c r="J87" t="str">
        <f t="shared" si="9"/>
        <v>не нуждается в помощи</v>
      </c>
    </row>
    <row r="88" spans="1:10" x14ac:dyDescent="0.2">
      <c r="A88" s="4">
        <v>2994</v>
      </c>
      <c r="B88" t="s">
        <v>1</v>
      </c>
      <c r="C88" s="1">
        <v>7000</v>
      </c>
      <c r="D88">
        <v>8</v>
      </c>
      <c r="E88" t="s">
        <v>11</v>
      </c>
      <c r="F88" s="6">
        <f t="shared" si="5"/>
        <v>875</v>
      </c>
      <c r="G88" s="7">
        <f t="shared" si="6"/>
        <v>77.43362831858407</v>
      </c>
      <c r="H88" s="7">
        <f t="shared" si="7"/>
        <v>2.5811209439528024</v>
      </c>
      <c r="I88" s="5" t="str">
        <f t="shared" si="8"/>
        <v>средний</v>
      </c>
      <c r="J88" t="str">
        <f t="shared" si="9"/>
        <v>не нуждается в помощи</v>
      </c>
    </row>
    <row r="89" spans="1:10" x14ac:dyDescent="0.2">
      <c r="A89" s="4">
        <v>3001</v>
      </c>
      <c r="B89" t="s">
        <v>1</v>
      </c>
      <c r="C89" s="1">
        <v>5500</v>
      </c>
      <c r="D89">
        <v>8</v>
      </c>
      <c r="E89" t="s">
        <v>11</v>
      </c>
      <c r="F89" s="6">
        <f t="shared" si="5"/>
        <v>687.5</v>
      </c>
      <c r="G89" s="7">
        <f t="shared" si="6"/>
        <v>60.840707964601769</v>
      </c>
      <c r="H89" s="7">
        <f t="shared" si="7"/>
        <v>2.028023598820059</v>
      </c>
      <c r="I89" s="5" t="str">
        <f t="shared" si="8"/>
        <v>ниже среднего</v>
      </c>
      <c r="J89" t="str">
        <f t="shared" si="9"/>
        <v>не нуждается в помощи</v>
      </c>
    </row>
    <row r="90" spans="1:10" x14ac:dyDescent="0.2">
      <c r="A90" s="4">
        <v>1768</v>
      </c>
      <c r="B90" t="s">
        <v>3</v>
      </c>
      <c r="C90" s="1">
        <v>8350</v>
      </c>
      <c r="D90">
        <v>8</v>
      </c>
      <c r="E90" t="s">
        <v>11</v>
      </c>
      <c r="F90" s="6">
        <f t="shared" si="5"/>
        <v>1043.75</v>
      </c>
      <c r="G90" s="7">
        <f t="shared" si="6"/>
        <v>92.36725663716814</v>
      </c>
      <c r="H90" s="7">
        <f t="shared" si="7"/>
        <v>3.078908554572271</v>
      </c>
      <c r="I90" s="5" t="str">
        <f t="shared" si="8"/>
        <v>средний</v>
      </c>
      <c r="J90" t="str">
        <f t="shared" si="9"/>
        <v>не нуждается в помощи</v>
      </c>
    </row>
    <row r="91" spans="1:10" x14ac:dyDescent="0.2">
      <c r="A91" s="4">
        <v>6821</v>
      </c>
      <c r="B91" t="s">
        <v>3</v>
      </c>
      <c r="C91" s="1">
        <v>2800</v>
      </c>
      <c r="D91">
        <v>8</v>
      </c>
      <c r="E91" t="s">
        <v>11</v>
      </c>
      <c r="F91" s="6">
        <f t="shared" si="5"/>
        <v>350</v>
      </c>
      <c r="G91" s="7">
        <f t="shared" si="6"/>
        <v>30.973451327433626</v>
      </c>
      <c r="H91" s="7">
        <f t="shared" si="7"/>
        <v>1.0324483775811208</v>
      </c>
      <c r="I91" s="5" t="str">
        <f t="shared" si="8"/>
        <v>бедность</v>
      </c>
      <c r="J91" t="str">
        <f t="shared" si="9"/>
        <v>не нуждается в помощи</v>
      </c>
    </row>
    <row r="92" spans="1:10" x14ac:dyDescent="0.2">
      <c r="A92" s="4">
        <v>1898</v>
      </c>
      <c r="B92" t="s">
        <v>3</v>
      </c>
      <c r="C92" s="1">
        <v>7400</v>
      </c>
      <c r="D92">
        <v>8</v>
      </c>
      <c r="E92" t="s">
        <v>11</v>
      </c>
      <c r="F92" s="6">
        <f t="shared" si="5"/>
        <v>925</v>
      </c>
      <c r="G92" s="7">
        <f t="shared" si="6"/>
        <v>81.858407079646014</v>
      </c>
      <c r="H92" s="7">
        <f t="shared" si="7"/>
        <v>2.7286135693215336</v>
      </c>
      <c r="I92" s="5" t="str">
        <f t="shared" si="8"/>
        <v>средний</v>
      </c>
      <c r="J92" t="str">
        <f t="shared" si="9"/>
        <v>нуждается в помощи</v>
      </c>
    </row>
    <row r="93" spans="1:10" x14ac:dyDescent="0.2">
      <c r="A93" s="4">
        <v>2525</v>
      </c>
      <c r="B93" t="s">
        <v>0</v>
      </c>
      <c r="C93" s="1">
        <v>6000</v>
      </c>
      <c r="D93">
        <v>8</v>
      </c>
      <c r="E93" t="s">
        <v>10</v>
      </c>
      <c r="F93" s="6">
        <f t="shared" si="5"/>
        <v>750</v>
      </c>
      <c r="G93" s="7">
        <f t="shared" si="6"/>
        <v>66.371681415929203</v>
      </c>
      <c r="H93" s="7">
        <f t="shared" si="7"/>
        <v>2.2123893805309733</v>
      </c>
      <c r="I93" s="5" t="str">
        <f t="shared" si="8"/>
        <v>ниже среднего</v>
      </c>
      <c r="J93" t="str">
        <f t="shared" si="9"/>
        <v>нуждается в помощи</v>
      </c>
    </row>
    <row r="94" spans="1:10" x14ac:dyDescent="0.2">
      <c r="A94" s="4">
        <v>3083</v>
      </c>
      <c r="B94" t="s">
        <v>1</v>
      </c>
      <c r="C94" s="1">
        <v>9200</v>
      </c>
      <c r="D94">
        <v>8</v>
      </c>
      <c r="E94" t="s">
        <v>10</v>
      </c>
      <c r="F94" s="6">
        <f t="shared" si="5"/>
        <v>1150</v>
      </c>
      <c r="G94" s="7">
        <f t="shared" si="6"/>
        <v>101.76991150442477</v>
      </c>
      <c r="H94" s="7">
        <f t="shared" si="7"/>
        <v>3.3923303834808261</v>
      </c>
      <c r="I94" s="5" t="str">
        <f t="shared" si="8"/>
        <v>средний</v>
      </c>
      <c r="J94" t="str">
        <f t="shared" si="9"/>
        <v>не нуждается в помощи</v>
      </c>
    </row>
    <row r="95" spans="1:10" x14ac:dyDescent="0.2">
      <c r="A95" s="4">
        <v>2522</v>
      </c>
      <c r="B95" t="s">
        <v>0</v>
      </c>
      <c r="C95" s="1">
        <v>6200</v>
      </c>
      <c r="D95">
        <v>8</v>
      </c>
      <c r="E95" t="s">
        <v>11</v>
      </c>
      <c r="F95" s="6">
        <f t="shared" si="5"/>
        <v>775</v>
      </c>
      <c r="G95" s="7">
        <f t="shared" si="6"/>
        <v>68.584070796460168</v>
      </c>
      <c r="H95" s="7">
        <f t="shared" si="7"/>
        <v>2.2861356932153392</v>
      </c>
      <c r="I95" s="5" t="str">
        <f t="shared" si="8"/>
        <v>ниже среднего</v>
      </c>
      <c r="J95" t="str">
        <f t="shared" si="9"/>
        <v>не нуждается в помощи</v>
      </c>
    </row>
    <row r="96" spans="1:10" x14ac:dyDescent="0.2">
      <c r="A96" s="4">
        <v>2537</v>
      </c>
      <c r="B96" t="s">
        <v>0</v>
      </c>
      <c r="C96" s="1">
        <v>3600</v>
      </c>
      <c r="D96">
        <v>8</v>
      </c>
      <c r="E96" t="s">
        <v>11</v>
      </c>
      <c r="F96" s="6">
        <f t="shared" si="5"/>
        <v>450</v>
      </c>
      <c r="G96" s="7">
        <f t="shared" si="6"/>
        <v>39.823008849557517</v>
      </c>
      <c r="H96" s="7">
        <f t="shared" si="7"/>
        <v>1.3274336283185839</v>
      </c>
      <c r="I96" s="5" t="str">
        <f t="shared" si="8"/>
        <v>бедность</v>
      </c>
      <c r="J96" t="str">
        <f t="shared" si="9"/>
        <v>нуждается в помощи</v>
      </c>
    </row>
    <row r="97" spans="1:10" x14ac:dyDescent="0.2">
      <c r="A97" s="4">
        <v>1942</v>
      </c>
      <c r="B97" t="s">
        <v>3</v>
      </c>
      <c r="C97" s="1">
        <v>11840</v>
      </c>
      <c r="D97">
        <v>8</v>
      </c>
      <c r="E97" t="s">
        <v>11</v>
      </c>
      <c r="F97" s="6">
        <f t="shared" si="5"/>
        <v>1480</v>
      </c>
      <c r="G97" s="7">
        <f t="shared" si="6"/>
        <v>130.97345132743362</v>
      </c>
      <c r="H97" s="7">
        <f t="shared" si="7"/>
        <v>4.3657817109144545</v>
      </c>
      <c r="I97" s="5" t="str">
        <f t="shared" si="8"/>
        <v>в достатке</v>
      </c>
      <c r="J97" t="str">
        <f t="shared" si="9"/>
        <v>нуждается в помощи</v>
      </c>
    </row>
    <row r="98" spans="1:10" x14ac:dyDescent="0.2">
      <c r="A98" s="4">
        <v>2524</v>
      </c>
      <c r="B98" t="s">
        <v>0</v>
      </c>
      <c r="C98" s="1">
        <v>8600</v>
      </c>
      <c r="D98">
        <v>8</v>
      </c>
      <c r="E98" t="s">
        <v>10</v>
      </c>
      <c r="F98" s="6">
        <f t="shared" si="5"/>
        <v>1075</v>
      </c>
      <c r="G98" s="7">
        <f t="shared" si="6"/>
        <v>95.132743362831846</v>
      </c>
      <c r="H98" s="7">
        <f t="shared" si="7"/>
        <v>3.1710914454277286</v>
      </c>
      <c r="I98" s="5" t="str">
        <f t="shared" si="8"/>
        <v>средний</v>
      </c>
      <c r="J98" t="str">
        <f t="shared" si="9"/>
        <v>не нуждается в помощи</v>
      </c>
    </row>
    <row r="99" spans="1:10" x14ac:dyDescent="0.2">
      <c r="A99" s="4">
        <v>2761</v>
      </c>
      <c r="B99" t="s">
        <v>2</v>
      </c>
      <c r="C99" s="1">
        <v>11260</v>
      </c>
      <c r="D99">
        <v>8</v>
      </c>
      <c r="E99" t="s">
        <v>11</v>
      </c>
      <c r="F99" s="6">
        <f t="shared" si="5"/>
        <v>1407.5</v>
      </c>
      <c r="G99" s="7">
        <f t="shared" si="6"/>
        <v>124.5575221238938</v>
      </c>
      <c r="H99" s="7">
        <f t="shared" si="7"/>
        <v>4.1519174041297928</v>
      </c>
      <c r="I99" s="5" t="str">
        <f t="shared" si="8"/>
        <v>в достатке</v>
      </c>
      <c r="J99" t="str">
        <f t="shared" si="9"/>
        <v>не нуждается в помощи</v>
      </c>
    </row>
    <row r="100" spans="1:10" x14ac:dyDescent="0.2">
      <c r="A100" s="4">
        <v>2601</v>
      </c>
      <c r="B100" t="s">
        <v>0</v>
      </c>
      <c r="C100">
        <v>100</v>
      </c>
      <c r="D100">
        <v>7</v>
      </c>
      <c r="E100" t="s">
        <v>11</v>
      </c>
      <c r="F100" s="6">
        <f t="shared" si="5"/>
        <v>14.285714285714286</v>
      </c>
      <c r="G100" s="7">
        <f t="shared" si="6"/>
        <v>1.2642225031605563</v>
      </c>
      <c r="H100" s="7">
        <f t="shared" si="7"/>
        <v>4.2140750105351878E-2</v>
      </c>
      <c r="I100" s="5" t="str">
        <f t="shared" si="8"/>
        <v>крайняя бедность</v>
      </c>
      <c r="J100" t="str">
        <f t="shared" si="9"/>
        <v>не нуждается в помощи</v>
      </c>
    </row>
    <row r="101" spans="1:10" x14ac:dyDescent="0.2">
      <c r="A101" s="4">
        <v>2332</v>
      </c>
      <c r="B101" t="s">
        <v>0</v>
      </c>
      <c r="C101">
        <v>600</v>
      </c>
      <c r="D101">
        <v>7</v>
      </c>
      <c r="E101" t="s">
        <v>10</v>
      </c>
      <c r="F101" s="6">
        <f t="shared" si="5"/>
        <v>85.714285714285708</v>
      </c>
      <c r="G101" s="7">
        <f t="shared" si="6"/>
        <v>7.5853350189633364</v>
      </c>
      <c r="H101" s="7">
        <f t="shared" si="7"/>
        <v>0.25284450063211122</v>
      </c>
      <c r="I101" s="5" t="str">
        <f t="shared" si="8"/>
        <v>крайняя бедность</v>
      </c>
      <c r="J101" t="str">
        <f t="shared" si="9"/>
        <v>нуждается в помощи</v>
      </c>
    </row>
    <row r="102" spans="1:10" x14ac:dyDescent="0.2">
      <c r="A102" s="4">
        <v>2340</v>
      </c>
      <c r="B102" t="s">
        <v>0</v>
      </c>
      <c r="C102">
        <v>450</v>
      </c>
      <c r="D102">
        <v>7</v>
      </c>
      <c r="E102" t="s">
        <v>10</v>
      </c>
      <c r="F102" s="6">
        <f t="shared" si="5"/>
        <v>64.285714285714292</v>
      </c>
      <c r="G102" s="7">
        <f t="shared" si="6"/>
        <v>5.6890012642225036</v>
      </c>
      <c r="H102" s="7">
        <f t="shared" si="7"/>
        <v>0.18963337547408346</v>
      </c>
      <c r="I102" s="5" t="str">
        <f t="shared" si="8"/>
        <v>крайняя бедность</v>
      </c>
      <c r="J102" t="str">
        <f t="shared" si="9"/>
        <v>не нуждается в помощи</v>
      </c>
    </row>
    <row r="103" spans="1:10" x14ac:dyDescent="0.2">
      <c r="A103" s="4">
        <v>2435</v>
      </c>
      <c r="B103" t="s">
        <v>0</v>
      </c>
      <c r="C103">
        <v>600</v>
      </c>
      <c r="D103">
        <v>7</v>
      </c>
      <c r="E103" t="s">
        <v>11</v>
      </c>
      <c r="F103" s="6">
        <f t="shared" si="5"/>
        <v>85.714285714285708</v>
      </c>
      <c r="G103" s="7">
        <f t="shared" si="6"/>
        <v>7.5853350189633364</v>
      </c>
      <c r="H103" s="7">
        <f t="shared" si="7"/>
        <v>0.25284450063211122</v>
      </c>
      <c r="I103" s="5" t="str">
        <f t="shared" si="8"/>
        <v>крайняя бедность</v>
      </c>
      <c r="J103" t="str">
        <f t="shared" si="9"/>
        <v>не нуждается в помощи</v>
      </c>
    </row>
    <row r="104" spans="1:10" x14ac:dyDescent="0.2">
      <c r="A104" s="4">
        <v>1406</v>
      </c>
      <c r="B104" t="s">
        <v>4</v>
      </c>
      <c r="C104">
        <v>2300</v>
      </c>
      <c r="D104">
        <v>7</v>
      </c>
      <c r="E104" t="s">
        <v>10</v>
      </c>
      <c r="F104" s="6">
        <f t="shared" si="5"/>
        <v>328.57142857142856</v>
      </c>
      <c r="G104" s="7">
        <f t="shared" si="6"/>
        <v>29.077117572692792</v>
      </c>
      <c r="H104" s="7">
        <f t="shared" si="7"/>
        <v>0.96923725242309311</v>
      </c>
      <c r="I104" s="5" t="str">
        <f t="shared" si="8"/>
        <v>бедность</v>
      </c>
      <c r="J104" t="str">
        <f t="shared" si="9"/>
        <v>нуждается в помощи</v>
      </c>
    </row>
    <row r="105" spans="1:10" x14ac:dyDescent="0.2">
      <c r="A105" s="4">
        <v>2149</v>
      </c>
      <c r="B105" t="s">
        <v>3</v>
      </c>
      <c r="C105">
        <v>350</v>
      </c>
      <c r="D105">
        <v>7</v>
      </c>
      <c r="E105" t="s">
        <v>10</v>
      </c>
      <c r="F105" s="6">
        <f t="shared" si="5"/>
        <v>50</v>
      </c>
      <c r="G105" s="7">
        <f t="shared" si="6"/>
        <v>4.4247787610619467</v>
      </c>
      <c r="H105" s="7">
        <f t="shared" si="7"/>
        <v>0.14749262536873156</v>
      </c>
      <c r="I105" s="5" t="str">
        <f t="shared" si="8"/>
        <v>крайняя бедность</v>
      </c>
      <c r="J105" t="str">
        <f t="shared" si="9"/>
        <v>не нуждается в помощи</v>
      </c>
    </row>
    <row r="106" spans="1:10" x14ac:dyDescent="0.2">
      <c r="A106" s="4">
        <v>2688</v>
      </c>
      <c r="B106" t="s">
        <v>2</v>
      </c>
      <c r="C106">
        <v>1090</v>
      </c>
      <c r="D106">
        <v>7</v>
      </c>
      <c r="E106" t="s">
        <v>10</v>
      </c>
      <c r="F106" s="6">
        <f t="shared" si="5"/>
        <v>155.71428571428572</v>
      </c>
      <c r="G106" s="7">
        <f t="shared" si="6"/>
        <v>13.780025284450064</v>
      </c>
      <c r="H106" s="7">
        <f t="shared" si="7"/>
        <v>0.45933417614833544</v>
      </c>
      <c r="I106" s="5" t="str">
        <f t="shared" si="8"/>
        <v>крайняя бедность</v>
      </c>
      <c r="J106" t="str">
        <f t="shared" si="9"/>
        <v>не нуждается в помощи</v>
      </c>
    </row>
    <row r="107" spans="1:10" x14ac:dyDescent="0.2">
      <c r="A107" s="4">
        <v>1974</v>
      </c>
      <c r="B107" t="s">
        <v>3</v>
      </c>
      <c r="C107">
        <v>1100</v>
      </c>
      <c r="D107">
        <v>7</v>
      </c>
      <c r="E107" t="s">
        <v>11</v>
      </c>
      <c r="F107" s="6">
        <f t="shared" si="5"/>
        <v>157.14285714285714</v>
      </c>
      <c r="G107" s="7">
        <f t="shared" si="6"/>
        <v>13.906447534766118</v>
      </c>
      <c r="H107" s="7">
        <f t="shared" si="7"/>
        <v>0.46354825115887061</v>
      </c>
      <c r="I107" s="5" t="str">
        <f t="shared" si="8"/>
        <v>крайняя бедность</v>
      </c>
      <c r="J107" t="str">
        <f t="shared" si="9"/>
        <v>не нуждается в помощи</v>
      </c>
    </row>
    <row r="108" spans="1:10" x14ac:dyDescent="0.2">
      <c r="A108" s="4">
        <v>1877</v>
      </c>
      <c r="B108" t="s">
        <v>3</v>
      </c>
      <c r="C108">
        <v>1400</v>
      </c>
      <c r="D108">
        <v>7</v>
      </c>
      <c r="E108" t="s">
        <v>11</v>
      </c>
      <c r="F108" s="6">
        <f t="shared" si="5"/>
        <v>200</v>
      </c>
      <c r="G108" s="7">
        <f t="shared" si="6"/>
        <v>17.699115044247787</v>
      </c>
      <c r="H108" s="7">
        <f t="shared" si="7"/>
        <v>0.58997050147492625</v>
      </c>
      <c r="I108" s="5" t="str">
        <f t="shared" si="8"/>
        <v>крайняя бедность</v>
      </c>
      <c r="J108" t="str">
        <f t="shared" si="9"/>
        <v>не нуждается в помощи</v>
      </c>
    </row>
    <row r="109" spans="1:10" x14ac:dyDescent="0.2">
      <c r="A109" s="4">
        <v>6461</v>
      </c>
      <c r="B109" t="s">
        <v>3</v>
      </c>
      <c r="C109">
        <v>11200</v>
      </c>
      <c r="D109">
        <v>7</v>
      </c>
      <c r="E109" t="s">
        <v>11</v>
      </c>
      <c r="F109" s="6">
        <f t="shared" si="5"/>
        <v>1600</v>
      </c>
      <c r="G109" s="7">
        <f t="shared" si="6"/>
        <v>141.59292035398229</v>
      </c>
      <c r="H109" s="7">
        <f t="shared" si="7"/>
        <v>4.71976401179941</v>
      </c>
      <c r="I109" s="5" t="str">
        <f t="shared" si="8"/>
        <v>в достатке</v>
      </c>
      <c r="J109" t="str">
        <f t="shared" si="9"/>
        <v>нуждается в помощи</v>
      </c>
    </row>
    <row r="110" spans="1:10" x14ac:dyDescent="0.2">
      <c r="A110" s="4">
        <v>1815</v>
      </c>
      <c r="B110" t="s">
        <v>3</v>
      </c>
      <c r="C110">
        <v>500</v>
      </c>
      <c r="D110">
        <v>7</v>
      </c>
      <c r="E110" t="s">
        <v>10</v>
      </c>
      <c r="F110" s="6">
        <f t="shared" si="5"/>
        <v>71.428571428571431</v>
      </c>
      <c r="G110" s="7">
        <f t="shared" si="6"/>
        <v>6.3211125158027812</v>
      </c>
      <c r="H110" s="7">
        <f t="shared" si="7"/>
        <v>0.21070375052675935</v>
      </c>
      <c r="I110" s="5" t="str">
        <f t="shared" si="8"/>
        <v>крайняя бедность</v>
      </c>
      <c r="J110" t="str">
        <f t="shared" si="9"/>
        <v>нуждается в помощи</v>
      </c>
    </row>
    <row r="111" spans="1:10" x14ac:dyDescent="0.2">
      <c r="A111" s="4">
        <v>3296</v>
      </c>
      <c r="B111" s="1" t="s">
        <v>1</v>
      </c>
      <c r="C111">
        <v>2500</v>
      </c>
      <c r="D111">
        <v>7</v>
      </c>
      <c r="E111" t="s">
        <v>11</v>
      </c>
      <c r="F111" s="6">
        <f t="shared" si="5"/>
        <v>357.14285714285717</v>
      </c>
      <c r="G111" s="7">
        <f t="shared" si="6"/>
        <v>31.605562579013906</v>
      </c>
      <c r="H111" s="7">
        <f t="shared" si="7"/>
        <v>1.0535187526337968</v>
      </c>
      <c r="I111" s="5" t="str">
        <f t="shared" si="8"/>
        <v>бедность</v>
      </c>
      <c r="J111" t="str">
        <f t="shared" si="9"/>
        <v>не нуждается в помощи</v>
      </c>
    </row>
    <row r="112" spans="1:10" x14ac:dyDescent="0.2">
      <c r="A112" s="4">
        <v>2770</v>
      </c>
      <c r="B112" s="1" t="s">
        <v>2</v>
      </c>
      <c r="C112">
        <v>2450</v>
      </c>
      <c r="D112">
        <v>7</v>
      </c>
      <c r="E112" t="s">
        <v>11</v>
      </c>
      <c r="F112" s="6">
        <f t="shared" si="5"/>
        <v>350</v>
      </c>
      <c r="G112" s="7">
        <f t="shared" si="6"/>
        <v>30.973451327433626</v>
      </c>
      <c r="H112" s="7">
        <f t="shared" si="7"/>
        <v>1.0324483775811208</v>
      </c>
      <c r="I112" s="5" t="str">
        <f t="shared" si="8"/>
        <v>бедность</v>
      </c>
      <c r="J112" t="str">
        <f t="shared" si="9"/>
        <v>не нуждается в помощи</v>
      </c>
    </row>
    <row r="113" spans="1:10" x14ac:dyDescent="0.2">
      <c r="A113" s="4">
        <v>2334</v>
      </c>
      <c r="B113" s="1" t="s">
        <v>0</v>
      </c>
      <c r="C113">
        <v>600</v>
      </c>
      <c r="D113">
        <v>7</v>
      </c>
      <c r="E113" t="s">
        <v>10</v>
      </c>
      <c r="F113" s="6">
        <f t="shared" si="5"/>
        <v>85.714285714285708</v>
      </c>
      <c r="G113" s="7">
        <f t="shared" si="6"/>
        <v>7.5853350189633364</v>
      </c>
      <c r="H113" s="7">
        <f t="shared" si="7"/>
        <v>0.25284450063211122</v>
      </c>
      <c r="I113" s="5" t="str">
        <f t="shared" si="8"/>
        <v>крайняя бедность</v>
      </c>
      <c r="J113" t="str">
        <f t="shared" si="9"/>
        <v>нуждается в помощи</v>
      </c>
    </row>
    <row r="114" spans="1:10" x14ac:dyDescent="0.2">
      <c r="A114" s="4">
        <v>3279</v>
      </c>
      <c r="B114" s="1" t="s">
        <v>1</v>
      </c>
      <c r="C114">
        <v>1200</v>
      </c>
      <c r="D114">
        <v>7</v>
      </c>
      <c r="E114" t="s">
        <v>11</v>
      </c>
      <c r="F114" s="6">
        <f t="shared" si="5"/>
        <v>171.42857142857142</v>
      </c>
      <c r="G114" s="7">
        <f t="shared" si="6"/>
        <v>15.170670037926673</v>
      </c>
      <c r="H114" s="7">
        <f t="shared" si="7"/>
        <v>0.50568900126422245</v>
      </c>
      <c r="I114" s="5" t="str">
        <f t="shared" si="8"/>
        <v>крайняя бедность</v>
      </c>
      <c r="J114" t="str">
        <f t="shared" si="9"/>
        <v>нуждается в помощи</v>
      </c>
    </row>
    <row r="115" spans="1:10" x14ac:dyDescent="0.2">
      <c r="A115" s="4">
        <v>6201</v>
      </c>
      <c r="B115" s="1" t="s">
        <v>1</v>
      </c>
      <c r="C115">
        <v>4305</v>
      </c>
      <c r="D115">
        <v>7</v>
      </c>
      <c r="E115" t="s">
        <v>10</v>
      </c>
      <c r="F115" s="6">
        <f t="shared" si="5"/>
        <v>615</v>
      </c>
      <c r="G115" s="7">
        <f t="shared" si="6"/>
        <v>54.424778761061944</v>
      </c>
      <c r="H115" s="7">
        <f t="shared" si="7"/>
        <v>1.8141592920353982</v>
      </c>
      <c r="I115" s="5" t="str">
        <f t="shared" si="8"/>
        <v>ниже среднего</v>
      </c>
      <c r="J115" t="str">
        <f t="shared" si="9"/>
        <v>не нуждается в помощи</v>
      </c>
    </row>
    <row r="116" spans="1:10" x14ac:dyDescent="0.2">
      <c r="A116" s="4">
        <v>1781</v>
      </c>
      <c r="B116" s="1" t="s">
        <v>3</v>
      </c>
      <c r="C116">
        <v>700</v>
      </c>
      <c r="D116">
        <v>7</v>
      </c>
      <c r="E116" t="s">
        <v>11</v>
      </c>
      <c r="F116" s="6">
        <f t="shared" si="5"/>
        <v>100</v>
      </c>
      <c r="G116" s="7">
        <f t="shared" si="6"/>
        <v>8.8495575221238933</v>
      </c>
      <c r="H116" s="7">
        <f t="shared" si="7"/>
        <v>0.29498525073746312</v>
      </c>
      <c r="I116" s="5" t="str">
        <f t="shared" si="8"/>
        <v>крайняя бедность</v>
      </c>
      <c r="J116" t="str">
        <f t="shared" si="9"/>
        <v>не нуждается в помощи</v>
      </c>
    </row>
    <row r="117" spans="1:10" x14ac:dyDescent="0.2">
      <c r="A117" s="4">
        <v>6344</v>
      </c>
      <c r="B117" s="1" t="s">
        <v>1</v>
      </c>
      <c r="C117">
        <v>4700</v>
      </c>
      <c r="D117">
        <v>7</v>
      </c>
      <c r="E117" t="s">
        <v>11</v>
      </c>
      <c r="F117" s="6">
        <f t="shared" si="5"/>
        <v>671.42857142857144</v>
      </c>
      <c r="G117" s="7">
        <f t="shared" si="6"/>
        <v>59.418457648546145</v>
      </c>
      <c r="H117" s="7">
        <f t="shared" si="7"/>
        <v>1.9806152549515381</v>
      </c>
      <c r="I117" s="5" t="str">
        <f t="shared" si="8"/>
        <v>ниже среднего</v>
      </c>
      <c r="J117" t="str">
        <f t="shared" si="9"/>
        <v>не нуждается в помощи</v>
      </c>
    </row>
    <row r="118" spans="1:10" x14ac:dyDescent="0.2">
      <c r="A118" s="4">
        <v>1418</v>
      </c>
      <c r="B118" s="1" t="s">
        <v>4</v>
      </c>
      <c r="C118">
        <v>700</v>
      </c>
      <c r="D118">
        <v>7</v>
      </c>
      <c r="E118" t="s">
        <v>10</v>
      </c>
      <c r="F118" s="6">
        <f t="shared" si="5"/>
        <v>100</v>
      </c>
      <c r="G118" s="7">
        <f t="shared" si="6"/>
        <v>8.8495575221238933</v>
      </c>
      <c r="H118" s="7">
        <f t="shared" si="7"/>
        <v>0.29498525073746312</v>
      </c>
      <c r="I118" s="5" t="str">
        <f t="shared" si="8"/>
        <v>крайняя бедность</v>
      </c>
      <c r="J118" t="str">
        <f t="shared" si="9"/>
        <v>не нуждается в помощи</v>
      </c>
    </row>
    <row r="119" spans="1:10" x14ac:dyDescent="0.2">
      <c r="A119" s="4">
        <v>1704</v>
      </c>
      <c r="B119" s="1" t="s">
        <v>3</v>
      </c>
      <c r="C119">
        <v>1500</v>
      </c>
      <c r="D119">
        <v>7</v>
      </c>
      <c r="E119" t="s">
        <v>10</v>
      </c>
      <c r="F119" s="6">
        <f t="shared" si="5"/>
        <v>214.28571428571428</v>
      </c>
      <c r="G119" s="7">
        <f t="shared" si="6"/>
        <v>18.963337547408344</v>
      </c>
      <c r="H119" s="7">
        <f t="shared" si="7"/>
        <v>0.63211125158027803</v>
      </c>
      <c r="I119" s="5" t="str">
        <f t="shared" si="8"/>
        <v>крайняя бедность</v>
      </c>
      <c r="J119" t="str">
        <f t="shared" si="9"/>
        <v>нуждается в помощи</v>
      </c>
    </row>
    <row r="120" spans="1:10" x14ac:dyDescent="0.2">
      <c r="A120" s="4">
        <v>1991</v>
      </c>
      <c r="B120" s="1" t="s">
        <v>3</v>
      </c>
      <c r="C120">
        <v>2400</v>
      </c>
      <c r="D120">
        <v>7</v>
      </c>
      <c r="E120" t="s">
        <v>11</v>
      </c>
      <c r="F120" s="6">
        <f t="shared" si="5"/>
        <v>342.85714285714283</v>
      </c>
      <c r="G120" s="7">
        <f t="shared" si="6"/>
        <v>30.341340075853346</v>
      </c>
      <c r="H120" s="7">
        <f t="shared" si="7"/>
        <v>1.0113780025284449</v>
      </c>
      <c r="I120" s="5" t="str">
        <f t="shared" si="8"/>
        <v>бедность</v>
      </c>
      <c r="J120" t="str">
        <f t="shared" si="9"/>
        <v>не нуждается в помощи</v>
      </c>
    </row>
    <row r="121" spans="1:10" x14ac:dyDescent="0.2">
      <c r="A121" s="4">
        <v>2596</v>
      </c>
      <c r="B121" s="1" t="s">
        <v>0</v>
      </c>
      <c r="C121">
        <v>1500</v>
      </c>
      <c r="D121">
        <v>7</v>
      </c>
      <c r="E121" t="s">
        <v>11</v>
      </c>
      <c r="F121" s="6">
        <f t="shared" si="5"/>
        <v>214.28571428571428</v>
      </c>
      <c r="G121" s="7">
        <f t="shared" si="6"/>
        <v>18.963337547408344</v>
      </c>
      <c r="H121" s="7">
        <f t="shared" si="7"/>
        <v>0.63211125158027803</v>
      </c>
      <c r="I121" s="5" t="str">
        <f t="shared" si="8"/>
        <v>крайняя бедность</v>
      </c>
      <c r="J121" t="str">
        <f t="shared" si="9"/>
        <v>не нуждается в помощи</v>
      </c>
    </row>
    <row r="122" spans="1:10" x14ac:dyDescent="0.2">
      <c r="A122" s="4">
        <v>3228</v>
      </c>
      <c r="B122" s="1" t="s">
        <v>1</v>
      </c>
      <c r="C122">
        <v>750</v>
      </c>
      <c r="D122">
        <v>7</v>
      </c>
      <c r="E122" t="s">
        <v>10</v>
      </c>
      <c r="F122" s="6">
        <f t="shared" si="5"/>
        <v>107.14285714285714</v>
      </c>
      <c r="G122" s="7">
        <f t="shared" si="6"/>
        <v>9.4816687737041718</v>
      </c>
      <c r="H122" s="7">
        <f t="shared" si="7"/>
        <v>0.31605562579013902</v>
      </c>
      <c r="I122" s="5" t="str">
        <f t="shared" si="8"/>
        <v>крайняя бедность</v>
      </c>
      <c r="J122" t="str">
        <f t="shared" si="9"/>
        <v>не нуждается в помощи</v>
      </c>
    </row>
    <row r="123" spans="1:10" x14ac:dyDescent="0.2">
      <c r="A123" s="4">
        <v>2219</v>
      </c>
      <c r="B123" s="1" t="s">
        <v>3</v>
      </c>
      <c r="C123">
        <v>1500</v>
      </c>
      <c r="D123">
        <v>7</v>
      </c>
      <c r="E123" t="s">
        <v>10</v>
      </c>
      <c r="F123" s="6">
        <f t="shared" si="5"/>
        <v>214.28571428571428</v>
      </c>
      <c r="G123" s="7">
        <f t="shared" si="6"/>
        <v>18.963337547408344</v>
      </c>
      <c r="H123" s="7">
        <f t="shared" si="7"/>
        <v>0.63211125158027803</v>
      </c>
      <c r="I123" s="5" t="str">
        <f t="shared" si="8"/>
        <v>крайняя бедность</v>
      </c>
      <c r="J123" t="str">
        <f t="shared" si="9"/>
        <v>не нуждается в помощи</v>
      </c>
    </row>
    <row r="124" spans="1:10" x14ac:dyDescent="0.2">
      <c r="A124" s="4">
        <v>759</v>
      </c>
      <c r="B124" t="s">
        <v>4</v>
      </c>
      <c r="C124" s="1">
        <v>1000</v>
      </c>
      <c r="D124">
        <v>7</v>
      </c>
      <c r="E124" t="s">
        <v>11</v>
      </c>
      <c r="F124" s="6">
        <f t="shared" si="5"/>
        <v>142.85714285714286</v>
      </c>
      <c r="G124" s="7">
        <f t="shared" si="6"/>
        <v>12.642225031605562</v>
      </c>
      <c r="H124" s="7">
        <f t="shared" si="7"/>
        <v>0.42140750105351871</v>
      </c>
      <c r="I124" s="5" t="str">
        <f t="shared" si="8"/>
        <v>крайняя бедность</v>
      </c>
      <c r="J124" t="str">
        <f t="shared" si="9"/>
        <v>не нуждается в помощи</v>
      </c>
    </row>
    <row r="125" spans="1:10" x14ac:dyDescent="0.2">
      <c r="A125" s="4">
        <v>1783</v>
      </c>
      <c r="B125" t="s">
        <v>3</v>
      </c>
      <c r="C125" s="1">
        <v>2550</v>
      </c>
      <c r="D125">
        <v>7</v>
      </c>
      <c r="E125" t="s">
        <v>11</v>
      </c>
      <c r="F125" s="6">
        <f t="shared" si="5"/>
        <v>364.28571428571428</v>
      </c>
      <c r="G125" s="7">
        <f t="shared" si="6"/>
        <v>32.237673830594183</v>
      </c>
      <c r="H125" s="7">
        <f t="shared" si="7"/>
        <v>1.0745891276864727</v>
      </c>
      <c r="I125" s="5" t="str">
        <f t="shared" si="8"/>
        <v>бедность</v>
      </c>
      <c r="J125" t="str">
        <f t="shared" si="9"/>
        <v>не нуждается в помощи</v>
      </c>
    </row>
    <row r="126" spans="1:10" x14ac:dyDescent="0.2">
      <c r="A126" s="4">
        <v>5032</v>
      </c>
      <c r="B126" t="s">
        <v>4</v>
      </c>
      <c r="C126" s="1">
        <v>1400</v>
      </c>
      <c r="D126">
        <v>7</v>
      </c>
      <c r="E126" t="s">
        <v>11</v>
      </c>
      <c r="F126" s="6">
        <f t="shared" si="5"/>
        <v>200</v>
      </c>
      <c r="G126" s="7">
        <f t="shared" si="6"/>
        <v>17.699115044247787</v>
      </c>
      <c r="H126" s="7">
        <f t="shared" si="7"/>
        <v>0.58997050147492625</v>
      </c>
      <c r="I126" s="5" t="str">
        <f t="shared" si="8"/>
        <v>крайняя бедность</v>
      </c>
      <c r="J126" t="str">
        <f t="shared" si="9"/>
        <v>не нуждается в помощи</v>
      </c>
    </row>
    <row r="127" spans="1:10" x14ac:dyDescent="0.2">
      <c r="A127" s="4">
        <v>2314</v>
      </c>
      <c r="B127" t="s">
        <v>0</v>
      </c>
      <c r="C127" s="1">
        <v>3500</v>
      </c>
      <c r="D127">
        <v>7</v>
      </c>
      <c r="E127" t="s">
        <v>10</v>
      </c>
      <c r="F127" s="6">
        <f t="shared" si="5"/>
        <v>500</v>
      </c>
      <c r="G127" s="7">
        <f t="shared" si="6"/>
        <v>44.247787610619469</v>
      </c>
      <c r="H127" s="7">
        <f t="shared" si="7"/>
        <v>1.4749262536873156</v>
      </c>
      <c r="I127" s="5" t="str">
        <f t="shared" si="8"/>
        <v>ниже среднего</v>
      </c>
      <c r="J127" t="str">
        <f t="shared" si="9"/>
        <v>не нуждается в помощи</v>
      </c>
    </row>
    <row r="128" spans="1:10" x14ac:dyDescent="0.2">
      <c r="A128" s="4">
        <v>2392</v>
      </c>
      <c r="B128" t="s">
        <v>0</v>
      </c>
      <c r="C128" s="1">
        <v>2000</v>
      </c>
      <c r="D128">
        <v>7</v>
      </c>
      <c r="E128" t="s">
        <v>10</v>
      </c>
      <c r="F128" s="6">
        <f t="shared" si="5"/>
        <v>285.71428571428572</v>
      </c>
      <c r="G128" s="7">
        <f t="shared" si="6"/>
        <v>25.284450063211125</v>
      </c>
      <c r="H128" s="7">
        <f t="shared" si="7"/>
        <v>0.84281500210703741</v>
      </c>
      <c r="I128" s="5" t="str">
        <f t="shared" si="8"/>
        <v>крайняя бедность</v>
      </c>
      <c r="J128" t="str">
        <f t="shared" si="9"/>
        <v>не нуждается в помощи</v>
      </c>
    </row>
    <row r="129" spans="1:10" x14ac:dyDescent="0.2">
      <c r="A129" s="4">
        <v>2521</v>
      </c>
      <c r="B129" t="s">
        <v>0</v>
      </c>
      <c r="C129" s="1">
        <v>2850</v>
      </c>
      <c r="D129">
        <v>7</v>
      </c>
      <c r="E129" t="s">
        <v>11</v>
      </c>
      <c r="F129" s="6">
        <f t="shared" si="5"/>
        <v>407.14285714285717</v>
      </c>
      <c r="G129" s="7">
        <f t="shared" si="6"/>
        <v>36.03034134007585</v>
      </c>
      <c r="H129" s="7">
        <f t="shared" si="7"/>
        <v>1.2010113780025284</v>
      </c>
      <c r="I129" s="5" t="str">
        <f t="shared" si="8"/>
        <v>бедность</v>
      </c>
      <c r="J129" t="str">
        <f t="shared" si="9"/>
        <v>не нуждается в помощи</v>
      </c>
    </row>
    <row r="130" spans="1:10" x14ac:dyDescent="0.2">
      <c r="A130" s="4">
        <v>2863</v>
      </c>
      <c r="B130" t="s">
        <v>2</v>
      </c>
      <c r="C130" s="1">
        <v>3000</v>
      </c>
      <c r="D130">
        <v>7</v>
      </c>
      <c r="E130" t="s">
        <v>10</v>
      </c>
      <c r="F130" s="6">
        <f t="shared" ref="F130:F193" si="10">C130/D130</f>
        <v>428.57142857142856</v>
      </c>
      <c r="G130" s="7">
        <f t="shared" ref="G130:G193" si="11">(C130/D130)/rate</f>
        <v>37.926675094816687</v>
      </c>
      <c r="H130" s="7">
        <f t="shared" ref="H130:H193" si="12">((C130/D130)/30)/rate</f>
        <v>1.2642225031605561</v>
      </c>
      <c r="I130" s="5" t="str">
        <f t="shared" ref="I130:I193" si="13">IF(H130&lt;0.89, "крайняя бедность", IF(AND(H130&gt;0.89, H130&lt;1.33), "бедность", IF(AND(H130&gt;1.33,H130&lt;2.5),"ниже среднего", IF(AND(H130&gt;2.5,H130&lt;4), "средний", IF(H130&gt;4,"в достатке",0)))))</f>
        <v>бедность</v>
      </c>
      <c r="J130" t="str">
        <f t="shared" si="9"/>
        <v>не нуждается в помощи</v>
      </c>
    </row>
    <row r="131" spans="1:10" x14ac:dyDescent="0.2">
      <c r="A131" s="4">
        <v>3161</v>
      </c>
      <c r="B131" t="s">
        <v>1</v>
      </c>
      <c r="C131" s="1">
        <v>3655</v>
      </c>
      <c r="D131">
        <v>7</v>
      </c>
      <c r="E131" t="s">
        <v>11</v>
      </c>
      <c r="F131" s="6">
        <f t="shared" si="10"/>
        <v>522.14285714285711</v>
      </c>
      <c r="G131" s="7">
        <f t="shared" si="11"/>
        <v>46.207332490518326</v>
      </c>
      <c r="H131" s="7">
        <f t="shared" si="12"/>
        <v>1.540244416350611</v>
      </c>
      <c r="I131" s="5" t="str">
        <f t="shared" si="13"/>
        <v>ниже среднего</v>
      </c>
      <c r="J131" t="str">
        <f t="shared" ref="J131:J194" si="14">IF(AND(I140="крайняя бедность",E140="Нет"), "нуждается в помощи", "не нуждается в помощи")</f>
        <v>не нуждается в помощи</v>
      </c>
    </row>
    <row r="132" spans="1:10" x14ac:dyDescent="0.2">
      <c r="A132" s="4">
        <v>2987</v>
      </c>
      <c r="B132" t="s">
        <v>1</v>
      </c>
      <c r="C132" s="1">
        <v>9000</v>
      </c>
      <c r="D132">
        <v>7</v>
      </c>
      <c r="E132" t="s">
        <v>11</v>
      </c>
      <c r="F132" s="6">
        <f t="shared" si="10"/>
        <v>1285.7142857142858</v>
      </c>
      <c r="G132" s="7">
        <f t="shared" si="11"/>
        <v>113.78002528445006</v>
      </c>
      <c r="H132" s="7">
        <f t="shared" si="12"/>
        <v>3.7926675094816691</v>
      </c>
      <c r="I132" s="5" t="str">
        <f t="shared" si="13"/>
        <v>средний</v>
      </c>
      <c r="J132" t="str">
        <f t="shared" si="14"/>
        <v>не нуждается в помощи</v>
      </c>
    </row>
    <row r="133" spans="1:10" x14ac:dyDescent="0.2">
      <c r="A133" s="4">
        <v>2804</v>
      </c>
      <c r="B133" t="s">
        <v>2</v>
      </c>
      <c r="C133" s="1">
        <v>3800</v>
      </c>
      <c r="D133">
        <v>7</v>
      </c>
      <c r="E133" t="s">
        <v>11</v>
      </c>
      <c r="F133" s="6">
        <f t="shared" si="10"/>
        <v>542.85714285714289</v>
      </c>
      <c r="G133" s="7">
        <f t="shared" si="11"/>
        <v>48.040455120101136</v>
      </c>
      <c r="H133" s="7">
        <f t="shared" si="12"/>
        <v>1.601348504003371</v>
      </c>
      <c r="I133" s="5" t="str">
        <f t="shared" si="13"/>
        <v>ниже среднего</v>
      </c>
      <c r="J133" t="str">
        <f t="shared" si="14"/>
        <v>не нуждается в помощи</v>
      </c>
    </row>
    <row r="134" spans="1:10" x14ac:dyDescent="0.2">
      <c r="A134" s="4">
        <v>6741</v>
      </c>
      <c r="B134" t="s">
        <v>3</v>
      </c>
      <c r="C134" s="1">
        <v>2600</v>
      </c>
      <c r="D134">
        <v>7</v>
      </c>
      <c r="E134" t="s">
        <v>11</v>
      </c>
      <c r="F134" s="6">
        <f t="shared" si="10"/>
        <v>371.42857142857144</v>
      </c>
      <c r="G134" s="7">
        <f t="shared" si="11"/>
        <v>32.869785082174459</v>
      </c>
      <c r="H134" s="7">
        <f t="shared" si="12"/>
        <v>1.0956595027391487</v>
      </c>
      <c r="I134" s="5" t="str">
        <f t="shared" si="13"/>
        <v>бедность</v>
      </c>
      <c r="J134" t="str">
        <f t="shared" si="14"/>
        <v>не нуждается в помощи</v>
      </c>
    </row>
    <row r="135" spans="1:10" x14ac:dyDescent="0.2">
      <c r="A135" s="4">
        <v>2233</v>
      </c>
      <c r="B135" t="s">
        <v>3</v>
      </c>
      <c r="C135" s="1">
        <v>2800</v>
      </c>
      <c r="D135">
        <v>7</v>
      </c>
      <c r="E135" t="s">
        <v>11</v>
      </c>
      <c r="F135" s="6">
        <f t="shared" si="10"/>
        <v>400</v>
      </c>
      <c r="G135" s="7">
        <f t="shared" si="11"/>
        <v>35.398230088495573</v>
      </c>
      <c r="H135" s="7">
        <f t="shared" si="12"/>
        <v>1.1799410029498525</v>
      </c>
      <c r="I135" s="5" t="str">
        <f t="shared" si="13"/>
        <v>бедность</v>
      </c>
      <c r="J135" t="str">
        <f t="shared" si="14"/>
        <v>не нуждается в помощи</v>
      </c>
    </row>
    <row r="136" spans="1:10" x14ac:dyDescent="0.2">
      <c r="A136" s="4">
        <v>2533</v>
      </c>
      <c r="B136" t="s">
        <v>0</v>
      </c>
      <c r="C136" s="1">
        <v>2000</v>
      </c>
      <c r="D136">
        <v>7</v>
      </c>
      <c r="E136" t="s">
        <v>11</v>
      </c>
      <c r="F136" s="6">
        <f t="shared" si="10"/>
        <v>285.71428571428572</v>
      </c>
      <c r="G136" s="7">
        <f t="shared" si="11"/>
        <v>25.284450063211125</v>
      </c>
      <c r="H136" s="7">
        <f t="shared" si="12"/>
        <v>0.84281500210703741</v>
      </c>
      <c r="I136" s="5" t="str">
        <f t="shared" si="13"/>
        <v>крайняя бедность</v>
      </c>
      <c r="J136" t="str">
        <f t="shared" si="14"/>
        <v>не нуждается в помощи</v>
      </c>
    </row>
    <row r="137" spans="1:10" x14ac:dyDescent="0.2">
      <c r="A137" s="4">
        <v>3259</v>
      </c>
      <c r="B137" t="s">
        <v>1</v>
      </c>
      <c r="C137" s="1">
        <v>2000</v>
      </c>
      <c r="D137">
        <v>7</v>
      </c>
      <c r="E137" t="s">
        <v>11</v>
      </c>
      <c r="F137" s="6">
        <f t="shared" si="10"/>
        <v>285.71428571428572</v>
      </c>
      <c r="G137" s="7">
        <f t="shared" si="11"/>
        <v>25.284450063211125</v>
      </c>
      <c r="H137" s="7">
        <f t="shared" si="12"/>
        <v>0.84281500210703741</v>
      </c>
      <c r="I137" s="5" t="str">
        <f t="shared" si="13"/>
        <v>крайняя бедность</v>
      </c>
      <c r="J137" t="str">
        <f t="shared" si="14"/>
        <v>не нуждается в помощи</v>
      </c>
    </row>
    <row r="138" spans="1:10" x14ac:dyDescent="0.2">
      <c r="A138" s="4">
        <v>2426</v>
      </c>
      <c r="B138" t="s">
        <v>0</v>
      </c>
      <c r="C138" s="1">
        <v>4700</v>
      </c>
      <c r="D138">
        <v>7</v>
      </c>
      <c r="E138" t="s">
        <v>11</v>
      </c>
      <c r="F138" s="6">
        <f t="shared" si="10"/>
        <v>671.42857142857144</v>
      </c>
      <c r="G138" s="7">
        <f t="shared" si="11"/>
        <v>59.418457648546145</v>
      </c>
      <c r="H138" s="7">
        <f t="shared" si="12"/>
        <v>1.9806152549515381</v>
      </c>
      <c r="I138" s="5" t="str">
        <f t="shared" si="13"/>
        <v>ниже среднего</v>
      </c>
      <c r="J138" t="str">
        <f t="shared" si="14"/>
        <v>нуждается в помощи</v>
      </c>
    </row>
    <row r="139" spans="1:10" x14ac:dyDescent="0.2">
      <c r="A139" s="4">
        <v>2650</v>
      </c>
      <c r="B139" t="s">
        <v>2</v>
      </c>
      <c r="C139" s="1">
        <v>9000</v>
      </c>
      <c r="D139">
        <v>7</v>
      </c>
      <c r="E139" t="s">
        <v>11</v>
      </c>
      <c r="F139" s="6">
        <f t="shared" si="10"/>
        <v>1285.7142857142858</v>
      </c>
      <c r="G139" s="7">
        <f t="shared" si="11"/>
        <v>113.78002528445006</v>
      </c>
      <c r="H139" s="7">
        <f t="shared" si="12"/>
        <v>3.7926675094816691</v>
      </c>
      <c r="I139" s="5" t="str">
        <f t="shared" si="13"/>
        <v>средний</v>
      </c>
      <c r="J139" t="str">
        <f t="shared" si="14"/>
        <v>не нуждается в помощи</v>
      </c>
    </row>
    <row r="140" spans="1:10" x14ac:dyDescent="0.2">
      <c r="A140" s="4">
        <v>2180</v>
      </c>
      <c r="B140" t="s">
        <v>3</v>
      </c>
      <c r="C140" s="1">
        <v>6300</v>
      </c>
      <c r="D140">
        <v>7</v>
      </c>
      <c r="E140" t="s">
        <v>10</v>
      </c>
      <c r="F140" s="6">
        <f t="shared" si="10"/>
        <v>900</v>
      </c>
      <c r="G140" s="7">
        <f t="shared" si="11"/>
        <v>79.646017699115035</v>
      </c>
      <c r="H140" s="7">
        <f t="shared" si="12"/>
        <v>2.6548672566371678</v>
      </c>
      <c r="I140" s="5" t="str">
        <f t="shared" si="13"/>
        <v>средний</v>
      </c>
      <c r="J140" t="str">
        <f t="shared" si="14"/>
        <v>не нуждается в помощи</v>
      </c>
    </row>
    <row r="141" spans="1:10" x14ac:dyDescent="0.2">
      <c r="A141" s="4">
        <v>2156</v>
      </c>
      <c r="B141" t="s">
        <v>3</v>
      </c>
      <c r="C141" s="1">
        <v>13200</v>
      </c>
      <c r="D141">
        <v>7</v>
      </c>
      <c r="E141" t="s">
        <v>11</v>
      </c>
      <c r="F141" s="6">
        <f t="shared" si="10"/>
        <v>1885.7142857142858</v>
      </c>
      <c r="G141" s="7">
        <f t="shared" si="11"/>
        <v>166.87737041719342</v>
      </c>
      <c r="H141" s="7">
        <f t="shared" si="12"/>
        <v>5.5625790139064479</v>
      </c>
      <c r="I141" s="5" t="str">
        <f t="shared" si="13"/>
        <v>в достатке</v>
      </c>
      <c r="J141" t="str">
        <f t="shared" si="14"/>
        <v>не нуждается в помощи</v>
      </c>
    </row>
    <row r="142" spans="1:10" x14ac:dyDescent="0.2">
      <c r="A142" s="4">
        <v>2512</v>
      </c>
      <c r="B142" t="s">
        <v>0</v>
      </c>
      <c r="C142" s="1">
        <v>6500</v>
      </c>
      <c r="D142">
        <v>7</v>
      </c>
      <c r="E142" t="s">
        <v>11</v>
      </c>
      <c r="F142" s="6">
        <f t="shared" si="10"/>
        <v>928.57142857142856</v>
      </c>
      <c r="G142" s="7">
        <f t="shared" si="11"/>
        <v>82.174462705436156</v>
      </c>
      <c r="H142" s="7">
        <f t="shared" si="12"/>
        <v>2.7391487568478716</v>
      </c>
      <c r="I142" s="5" t="str">
        <f t="shared" si="13"/>
        <v>средний</v>
      </c>
      <c r="J142" t="str">
        <f t="shared" si="14"/>
        <v>не нуждается в помощи</v>
      </c>
    </row>
    <row r="143" spans="1:10" x14ac:dyDescent="0.2">
      <c r="A143" s="4">
        <v>1852</v>
      </c>
      <c r="B143" t="s">
        <v>3</v>
      </c>
      <c r="C143" s="1">
        <v>7000</v>
      </c>
      <c r="D143">
        <v>7</v>
      </c>
      <c r="E143" t="s">
        <v>10</v>
      </c>
      <c r="F143" s="6">
        <f t="shared" si="10"/>
        <v>1000</v>
      </c>
      <c r="G143" s="7">
        <f t="shared" si="11"/>
        <v>88.495575221238937</v>
      </c>
      <c r="H143" s="7">
        <f t="shared" si="12"/>
        <v>2.9498525073746311</v>
      </c>
      <c r="I143" s="5" t="str">
        <f t="shared" si="13"/>
        <v>средний</v>
      </c>
      <c r="J143" t="str">
        <f t="shared" si="14"/>
        <v>нуждается в помощи</v>
      </c>
    </row>
    <row r="144" spans="1:10" x14ac:dyDescent="0.2">
      <c r="A144" s="4">
        <v>2562</v>
      </c>
      <c r="B144" t="s">
        <v>0</v>
      </c>
      <c r="C144" s="1">
        <v>8500</v>
      </c>
      <c r="D144">
        <v>7</v>
      </c>
      <c r="E144" t="s">
        <v>11</v>
      </c>
      <c r="F144" s="6">
        <f t="shared" si="10"/>
        <v>1214.2857142857142</v>
      </c>
      <c r="G144" s="7">
        <f t="shared" si="11"/>
        <v>107.45891276864727</v>
      </c>
      <c r="H144" s="7">
        <f t="shared" si="12"/>
        <v>3.5819637589549091</v>
      </c>
      <c r="I144" s="5" t="str">
        <f t="shared" si="13"/>
        <v>средний</v>
      </c>
      <c r="J144" t="str">
        <f t="shared" si="14"/>
        <v>не нуждается в помощи</v>
      </c>
    </row>
    <row r="145" spans="1:10" x14ac:dyDescent="0.2">
      <c r="A145" s="4">
        <v>5601</v>
      </c>
      <c r="B145" t="s">
        <v>0</v>
      </c>
      <c r="C145" s="1">
        <v>3600</v>
      </c>
      <c r="D145">
        <v>7</v>
      </c>
      <c r="E145" t="s">
        <v>11</v>
      </c>
      <c r="F145" s="6">
        <f t="shared" si="10"/>
        <v>514.28571428571433</v>
      </c>
      <c r="G145" s="7">
        <f t="shared" si="11"/>
        <v>45.512010113780029</v>
      </c>
      <c r="H145" s="7">
        <f t="shared" si="12"/>
        <v>1.5170670037926677</v>
      </c>
      <c r="I145" s="5" t="str">
        <f t="shared" si="13"/>
        <v>ниже среднего</v>
      </c>
      <c r="J145" t="str">
        <f t="shared" si="14"/>
        <v>нуждается в помощи</v>
      </c>
    </row>
    <row r="146" spans="1:10" x14ac:dyDescent="0.2">
      <c r="A146" s="4">
        <v>5921</v>
      </c>
      <c r="B146" t="s">
        <v>2</v>
      </c>
      <c r="C146" s="1">
        <v>7200</v>
      </c>
      <c r="D146">
        <v>7</v>
      </c>
      <c r="E146" t="s">
        <v>10</v>
      </c>
      <c r="F146" s="6">
        <f t="shared" si="10"/>
        <v>1028.5714285714287</v>
      </c>
      <c r="G146" s="7">
        <f t="shared" si="11"/>
        <v>91.024020227560058</v>
      </c>
      <c r="H146" s="7">
        <f t="shared" si="12"/>
        <v>3.0341340075853354</v>
      </c>
      <c r="I146" s="5" t="str">
        <f t="shared" si="13"/>
        <v>средний</v>
      </c>
      <c r="J146" t="str">
        <f t="shared" si="14"/>
        <v>не нуждается в помощи</v>
      </c>
    </row>
    <row r="147" spans="1:10" x14ac:dyDescent="0.2">
      <c r="A147" s="4">
        <v>2405</v>
      </c>
      <c r="B147" t="s">
        <v>0</v>
      </c>
      <c r="C147">
        <v>590</v>
      </c>
      <c r="D147">
        <v>6</v>
      </c>
      <c r="E147" t="s">
        <v>10</v>
      </c>
      <c r="F147" s="6">
        <f t="shared" si="10"/>
        <v>98.333333333333329</v>
      </c>
      <c r="G147" s="7">
        <f t="shared" si="11"/>
        <v>8.7020648967551608</v>
      </c>
      <c r="H147" s="7">
        <f t="shared" si="12"/>
        <v>0.29006882989183874</v>
      </c>
      <c r="I147" s="5" t="str">
        <f t="shared" si="13"/>
        <v>крайняя бедность</v>
      </c>
      <c r="J147" t="str">
        <f t="shared" si="14"/>
        <v>не нуждается в помощи</v>
      </c>
    </row>
    <row r="148" spans="1:10" x14ac:dyDescent="0.2">
      <c r="A148" s="4">
        <v>2640</v>
      </c>
      <c r="B148" t="s">
        <v>0</v>
      </c>
      <c r="C148">
        <v>600</v>
      </c>
      <c r="D148">
        <v>6</v>
      </c>
      <c r="E148" t="s">
        <v>11</v>
      </c>
      <c r="F148" s="6">
        <f t="shared" si="10"/>
        <v>100</v>
      </c>
      <c r="G148" s="7">
        <f t="shared" si="11"/>
        <v>8.8495575221238933</v>
      </c>
      <c r="H148" s="7">
        <f t="shared" si="12"/>
        <v>0.29498525073746312</v>
      </c>
      <c r="I148" s="5" t="str">
        <f t="shared" si="13"/>
        <v>крайняя бедность</v>
      </c>
      <c r="J148" t="str">
        <f t="shared" si="14"/>
        <v>нуждается в помощи</v>
      </c>
    </row>
    <row r="149" spans="1:10" x14ac:dyDescent="0.2">
      <c r="A149" s="4">
        <v>3065</v>
      </c>
      <c r="B149" t="s">
        <v>1</v>
      </c>
      <c r="C149">
        <v>2320</v>
      </c>
      <c r="D149">
        <v>6</v>
      </c>
      <c r="E149" t="s">
        <v>11</v>
      </c>
      <c r="F149" s="6">
        <f t="shared" si="10"/>
        <v>386.66666666666669</v>
      </c>
      <c r="G149" s="7">
        <f t="shared" si="11"/>
        <v>34.21828908554572</v>
      </c>
      <c r="H149" s="7">
        <f t="shared" si="12"/>
        <v>1.1406096361848574</v>
      </c>
      <c r="I149" s="5" t="str">
        <f t="shared" si="13"/>
        <v>бедность</v>
      </c>
      <c r="J149" t="str">
        <f t="shared" si="14"/>
        <v>не нуждается в помощи</v>
      </c>
    </row>
    <row r="150" spans="1:10" x14ac:dyDescent="0.2">
      <c r="A150" s="4">
        <v>2337</v>
      </c>
      <c r="B150" t="s">
        <v>0</v>
      </c>
      <c r="C150">
        <v>2800</v>
      </c>
      <c r="D150">
        <v>6</v>
      </c>
      <c r="E150" t="s">
        <v>11</v>
      </c>
      <c r="F150" s="6">
        <f t="shared" si="10"/>
        <v>466.66666666666669</v>
      </c>
      <c r="G150" s="7">
        <f t="shared" si="11"/>
        <v>41.297935103244839</v>
      </c>
      <c r="H150" s="7">
        <f t="shared" si="12"/>
        <v>1.3765978367748277</v>
      </c>
      <c r="I150" s="5" t="str">
        <f t="shared" si="13"/>
        <v>ниже среднего</v>
      </c>
      <c r="J150" t="str">
        <f t="shared" si="14"/>
        <v>не нуждается в помощи</v>
      </c>
    </row>
    <row r="151" spans="1:10" x14ac:dyDescent="0.2">
      <c r="A151" s="4">
        <v>2698</v>
      </c>
      <c r="B151" t="s">
        <v>2</v>
      </c>
      <c r="C151">
        <v>1392</v>
      </c>
      <c r="D151">
        <v>6</v>
      </c>
      <c r="E151" t="s">
        <v>11</v>
      </c>
      <c r="F151" s="6">
        <f t="shared" si="10"/>
        <v>232</v>
      </c>
      <c r="G151" s="7">
        <f t="shared" si="11"/>
        <v>20.530973451327434</v>
      </c>
      <c r="H151" s="7">
        <f t="shared" si="12"/>
        <v>0.68436578171091444</v>
      </c>
      <c r="I151" s="5" t="str">
        <f t="shared" si="13"/>
        <v>крайняя бедность</v>
      </c>
      <c r="J151" t="str">
        <f t="shared" si="14"/>
        <v>нуждается в помощи</v>
      </c>
    </row>
    <row r="152" spans="1:10" x14ac:dyDescent="0.2">
      <c r="A152" s="4">
        <v>2425</v>
      </c>
      <c r="B152" t="s">
        <v>0</v>
      </c>
      <c r="C152">
        <v>220</v>
      </c>
      <c r="D152">
        <v>6</v>
      </c>
      <c r="E152" t="s">
        <v>10</v>
      </c>
      <c r="F152" s="6">
        <f t="shared" si="10"/>
        <v>36.666666666666664</v>
      </c>
      <c r="G152" s="7">
        <f t="shared" si="11"/>
        <v>3.244837758112094</v>
      </c>
      <c r="H152" s="7">
        <f t="shared" si="12"/>
        <v>0.10816125860373646</v>
      </c>
      <c r="I152" s="5" t="str">
        <f t="shared" si="13"/>
        <v>крайняя бедность</v>
      </c>
      <c r="J152" t="str">
        <f t="shared" si="14"/>
        <v>не нуждается в помощи</v>
      </c>
    </row>
    <row r="153" spans="1:10" x14ac:dyDescent="0.2">
      <c r="A153" s="4">
        <v>2624</v>
      </c>
      <c r="B153" t="s">
        <v>0</v>
      </c>
      <c r="C153">
        <v>2150</v>
      </c>
      <c r="D153">
        <v>6</v>
      </c>
      <c r="E153" t="s">
        <v>10</v>
      </c>
      <c r="F153" s="6">
        <f t="shared" si="10"/>
        <v>358.33333333333331</v>
      </c>
      <c r="G153" s="7">
        <f t="shared" si="11"/>
        <v>31.710914454277283</v>
      </c>
      <c r="H153" s="7">
        <f t="shared" si="12"/>
        <v>1.0570304818092429</v>
      </c>
      <c r="I153" s="5" t="str">
        <f t="shared" si="13"/>
        <v>бедность</v>
      </c>
      <c r="J153" t="str">
        <f t="shared" si="14"/>
        <v>нуждается в помощи</v>
      </c>
    </row>
    <row r="154" spans="1:10" x14ac:dyDescent="0.2">
      <c r="A154" s="4">
        <v>6128</v>
      </c>
      <c r="B154" t="s">
        <v>1</v>
      </c>
      <c r="C154">
        <v>1400</v>
      </c>
      <c r="D154">
        <v>6</v>
      </c>
      <c r="E154" t="s">
        <v>10</v>
      </c>
      <c r="F154" s="6">
        <f t="shared" si="10"/>
        <v>233.33333333333334</v>
      </c>
      <c r="G154" s="7">
        <f t="shared" si="11"/>
        <v>20.64896755162242</v>
      </c>
      <c r="H154" s="7">
        <f t="shared" si="12"/>
        <v>0.68829891838741386</v>
      </c>
      <c r="I154" s="5" t="str">
        <f t="shared" si="13"/>
        <v>крайняя бедность</v>
      </c>
      <c r="J154" t="str">
        <f t="shared" si="14"/>
        <v>не нуждается в помощи</v>
      </c>
    </row>
    <row r="155" spans="1:10" x14ac:dyDescent="0.2">
      <c r="A155" s="4">
        <v>1625</v>
      </c>
      <c r="B155" t="s">
        <v>5</v>
      </c>
      <c r="C155">
        <v>1250</v>
      </c>
      <c r="D155">
        <v>6</v>
      </c>
      <c r="E155" t="s">
        <v>11</v>
      </c>
      <c r="F155" s="6">
        <f t="shared" si="10"/>
        <v>208.33333333333334</v>
      </c>
      <c r="G155" s="7">
        <f t="shared" si="11"/>
        <v>18.436578171091444</v>
      </c>
      <c r="H155" s="7">
        <f t="shared" si="12"/>
        <v>0.61455260570304815</v>
      </c>
      <c r="I155" s="5" t="str">
        <f t="shared" si="13"/>
        <v>крайняя бедность</v>
      </c>
      <c r="J155" t="str">
        <f t="shared" si="14"/>
        <v>не нуждается в помощи</v>
      </c>
    </row>
    <row r="156" spans="1:10" x14ac:dyDescent="0.2">
      <c r="A156" s="4">
        <v>3070</v>
      </c>
      <c r="B156" t="s">
        <v>1</v>
      </c>
      <c r="C156">
        <v>800</v>
      </c>
      <c r="D156">
        <v>6</v>
      </c>
      <c r="E156" t="s">
        <v>11</v>
      </c>
      <c r="F156" s="6">
        <f t="shared" si="10"/>
        <v>133.33333333333334</v>
      </c>
      <c r="G156" s="7">
        <f t="shared" si="11"/>
        <v>11.799410029498524</v>
      </c>
      <c r="H156" s="7">
        <f t="shared" si="12"/>
        <v>0.39331366764995085</v>
      </c>
      <c r="I156" s="5" t="str">
        <f t="shared" si="13"/>
        <v>крайняя бедность</v>
      </c>
      <c r="J156" t="str">
        <f t="shared" si="14"/>
        <v>не нуждается в помощи</v>
      </c>
    </row>
    <row r="157" spans="1:10" x14ac:dyDescent="0.2">
      <c r="A157" s="4">
        <v>2398</v>
      </c>
      <c r="B157" t="s">
        <v>0</v>
      </c>
      <c r="C157">
        <v>1429</v>
      </c>
      <c r="D157">
        <v>6</v>
      </c>
      <c r="E157" t="s">
        <v>10</v>
      </c>
      <c r="F157" s="6">
        <f t="shared" si="10"/>
        <v>238.16666666666666</v>
      </c>
      <c r="G157" s="7">
        <f t="shared" si="11"/>
        <v>21.076696165191738</v>
      </c>
      <c r="H157" s="7">
        <f t="shared" si="12"/>
        <v>0.70255653883972458</v>
      </c>
      <c r="I157" s="5" t="str">
        <f t="shared" si="13"/>
        <v>крайняя бедность</v>
      </c>
      <c r="J157" t="str">
        <f t="shared" si="14"/>
        <v>нуждается в помощи</v>
      </c>
    </row>
    <row r="158" spans="1:10" x14ac:dyDescent="0.2">
      <c r="A158" s="4">
        <v>5150</v>
      </c>
      <c r="B158" t="s">
        <v>4</v>
      </c>
      <c r="C158">
        <v>1900</v>
      </c>
      <c r="D158">
        <v>6</v>
      </c>
      <c r="E158" t="s">
        <v>10</v>
      </c>
      <c r="F158" s="6">
        <f t="shared" si="10"/>
        <v>316.66666666666669</v>
      </c>
      <c r="G158" s="7">
        <f t="shared" si="11"/>
        <v>28.023598820058996</v>
      </c>
      <c r="H158" s="7">
        <f t="shared" si="12"/>
        <v>0.93411996066863312</v>
      </c>
      <c r="I158" s="5" t="str">
        <f t="shared" si="13"/>
        <v>бедность</v>
      </c>
      <c r="J158" t="str">
        <f t="shared" si="14"/>
        <v>не нуждается в помощи</v>
      </c>
    </row>
    <row r="159" spans="1:10" x14ac:dyDescent="0.2">
      <c r="A159" s="4">
        <v>6243</v>
      </c>
      <c r="B159" t="s">
        <v>1</v>
      </c>
      <c r="C159">
        <v>750</v>
      </c>
      <c r="D159">
        <v>6</v>
      </c>
      <c r="E159" t="s">
        <v>11</v>
      </c>
      <c r="F159" s="6">
        <f t="shared" si="10"/>
        <v>125</v>
      </c>
      <c r="G159" s="7">
        <f t="shared" si="11"/>
        <v>11.061946902654867</v>
      </c>
      <c r="H159" s="7">
        <f t="shared" si="12"/>
        <v>0.36873156342182889</v>
      </c>
      <c r="I159" s="5" t="str">
        <f t="shared" si="13"/>
        <v>крайняя бедность</v>
      </c>
      <c r="J159" t="str">
        <f t="shared" si="14"/>
        <v>не нуждается в помощи</v>
      </c>
    </row>
    <row r="160" spans="1:10" x14ac:dyDescent="0.2">
      <c r="A160" s="4">
        <v>1785</v>
      </c>
      <c r="B160" t="s">
        <v>3</v>
      </c>
      <c r="C160">
        <v>450</v>
      </c>
      <c r="D160">
        <v>6</v>
      </c>
      <c r="E160" t="s">
        <v>10</v>
      </c>
      <c r="F160" s="6">
        <f t="shared" si="10"/>
        <v>75</v>
      </c>
      <c r="G160" s="7">
        <f t="shared" si="11"/>
        <v>6.6371681415929196</v>
      </c>
      <c r="H160" s="7">
        <f t="shared" si="12"/>
        <v>0.22123893805309733</v>
      </c>
      <c r="I160" s="5" t="str">
        <f t="shared" si="13"/>
        <v>крайняя бедность</v>
      </c>
      <c r="J160" t="str">
        <f t="shared" si="14"/>
        <v>не нуждается в помощи</v>
      </c>
    </row>
    <row r="161" spans="1:10" x14ac:dyDescent="0.2">
      <c r="A161" s="4">
        <v>1692</v>
      </c>
      <c r="B161" t="s">
        <v>5</v>
      </c>
      <c r="C161">
        <v>4883</v>
      </c>
      <c r="D161">
        <v>6</v>
      </c>
      <c r="E161" t="s">
        <v>10</v>
      </c>
      <c r="F161" s="6">
        <f t="shared" si="10"/>
        <v>813.83333333333337</v>
      </c>
      <c r="G161" s="7">
        <f t="shared" si="11"/>
        <v>72.020648967551622</v>
      </c>
      <c r="H161" s="7">
        <f t="shared" si="12"/>
        <v>2.4006882989183875</v>
      </c>
      <c r="I161" s="5" t="str">
        <f t="shared" si="13"/>
        <v>ниже среднего</v>
      </c>
      <c r="J161" t="str">
        <f t="shared" si="14"/>
        <v>не нуждается в помощи</v>
      </c>
    </row>
    <row r="162" spans="1:10" x14ac:dyDescent="0.2">
      <c r="A162" s="4">
        <v>3007</v>
      </c>
      <c r="B162" t="s">
        <v>1</v>
      </c>
      <c r="C162">
        <v>1400</v>
      </c>
      <c r="D162">
        <v>6</v>
      </c>
      <c r="E162" t="s">
        <v>10</v>
      </c>
      <c r="F162" s="6">
        <f t="shared" si="10"/>
        <v>233.33333333333334</v>
      </c>
      <c r="G162" s="7">
        <f t="shared" si="11"/>
        <v>20.64896755162242</v>
      </c>
      <c r="H162" s="7">
        <f t="shared" si="12"/>
        <v>0.68829891838741386</v>
      </c>
      <c r="I162" s="5" t="str">
        <f t="shared" si="13"/>
        <v>крайняя бедность</v>
      </c>
      <c r="J162" t="str">
        <f t="shared" si="14"/>
        <v>не нуждается в помощи</v>
      </c>
    </row>
    <row r="163" spans="1:10" x14ac:dyDescent="0.2">
      <c r="A163" s="4">
        <v>6663</v>
      </c>
      <c r="B163" s="1" t="s">
        <v>3</v>
      </c>
      <c r="C163">
        <v>850</v>
      </c>
      <c r="D163">
        <v>6</v>
      </c>
      <c r="E163" t="s">
        <v>11</v>
      </c>
      <c r="F163" s="6">
        <f t="shared" si="10"/>
        <v>141.66666666666666</v>
      </c>
      <c r="G163" s="7">
        <f t="shared" si="11"/>
        <v>12.536873156342182</v>
      </c>
      <c r="H163" s="7">
        <f t="shared" si="12"/>
        <v>0.41789577187807275</v>
      </c>
      <c r="I163" s="5" t="str">
        <f t="shared" si="13"/>
        <v>крайняя бедность</v>
      </c>
      <c r="J163" t="str">
        <f t="shared" si="14"/>
        <v>не нуждается в помощи</v>
      </c>
    </row>
    <row r="164" spans="1:10" x14ac:dyDescent="0.2">
      <c r="A164" s="4">
        <v>6961</v>
      </c>
      <c r="B164" s="1" t="s">
        <v>3</v>
      </c>
      <c r="C164">
        <v>1550</v>
      </c>
      <c r="D164">
        <v>6</v>
      </c>
      <c r="E164" t="s">
        <v>11</v>
      </c>
      <c r="F164" s="6">
        <f t="shared" si="10"/>
        <v>258.33333333333331</v>
      </c>
      <c r="G164" s="7">
        <f t="shared" si="11"/>
        <v>22.861356932153388</v>
      </c>
      <c r="H164" s="7">
        <f t="shared" si="12"/>
        <v>0.76204523107177968</v>
      </c>
      <c r="I164" s="5" t="str">
        <f t="shared" si="13"/>
        <v>крайняя бедность</v>
      </c>
      <c r="J164" t="str">
        <f t="shared" si="14"/>
        <v>не нуждается в помощи</v>
      </c>
    </row>
    <row r="165" spans="1:10" x14ac:dyDescent="0.2">
      <c r="A165" s="4">
        <v>1734</v>
      </c>
      <c r="B165" s="1" t="s">
        <v>3</v>
      </c>
      <c r="C165">
        <v>2800</v>
      </c>
      <c r="D165">
        <v>6</v>
      </c>
      <c r="E165" t="s">
        <v>11</v>
      </c>
      <c r="F165" s="6">
        <f t="shared" si="10"/>
        <v>466.66666666666669</v>
      </c>
      <c r="G165" s="7">
        <f t="shared" si="11"/>
        <v>41.297935103244839</v>
      </c>
      <c r="H165" s="7">
        <f t="shared" si="12"/>
        <v>1.3765978367748277</v>
      </c>
      <c r="I165" s="5" t="str">
        <f t="shared" si="13"/>
        <v>ниже среднего</v>
      </c>
      <c r="J165" t="str">
        <f t="shared" si="14"/>
        <v>не нуждается в помощи</v>
      </c>
    </row>
    <row r="166" spans="1:10" x14ac:dyDescent="0.2">
      <c r="A166" s="4">
        <v>2325</v>
      </c>
      <c r="B166" s="1" t="s">
        <v>0</v>
      </c>
      <c r="C166">
        <v>750</v>
      </c>
      <c r="D166">
        <v>6</v>
      </c>
      <c r="E166" t="s">
        <v>10</v>
      </c>
      <c r="F166" s="6">
        <f t="shared" si="10"/>
        <v>125</v>
      </c>
      <c r="G166" s="7">
        <f t="shared" si="11"/>
        <v>11.061946902654867</v>
      </c>
      <c r="H166" s="7">
        <f t="shared" si="12"/>
        <v>0.36873156342182889</v>
      </c>
      <c r="I166" s="5" t="str">
        <f t="shared" si="13"/>
        <v>крайняя бедность</v>
      </c>
      <c r="J166" t="str">
        <f t="shared" si="14"/>
        <v>нуждается в помощи</v>
      </c>
    </row>
    <row r="167" spans="1:10" x14ac:dyDescent="0.2">
      <c r="A167" s="4">
        <v>2639</v>
      </c>
      <c r="B167" s="1" t="s">
        <v>0</v>
      </c>
      <c r="C167">
        <v>1500</v>
      </c>
      <c r="D167">
        <v>6</v>
      </c>
      <c r="E167" t="s">
        <v>11</v>
      </c>
      <c r="F167" s="6">
        <f t="shared" si="10"/>
        <v>250</v>
      </c>
      <c r="G167" s="7">
        <f t="shared" si="11"/>
        <v>22.123893805309734</v>
      </c>
      <c r="H167" s="7">
        <f t="shared" si="12"/>
        <v>0.73746312684365778</v>
      </c>
      <c r="I167" s="5" t="str">
        <f t="shared" si="13"/>
        <v>крайняя бедность</v>
      </c>
      <c r="J167" t="str">
        <f t="shared" si="14"/>
        <v>не нуждается в помощи</v>
      </c>
    </row>
    <row r="168" spans="1:10" x14ac:dyDescent="0.2">
      <c r="A168" s="4">
        <v>1574</v>
      </c>
      <c r="B168" s="1" t="s">
        <v>5</v>
      </c>
      <c r="C168">
        <v>4800</v>
      </c>
      <c r="D168">
        <v>6</v>
      </c>
      <c r="E168" t="s">
        <v>10</v>
      </c>
      <c r="F168" s="6">
        <f t="shared" si="10"/>
        <v>800</v>
      </c>
      <c r="G168" s="7">
        <f t="shared" si="11"/>
        <v>70.796460176991147</v>
      </c>
      <c r="H168" s="7">
        <f t="shared" si="12"/>
        <v>2.359882005899705</v>
      </c>
      <c r="I168" s="5" t="str">
        <f t="shared" si="13"/>
        <v>ниже среднего</v>
      </c>
      <c r="J168" t="str">
        <f t="shared" si="14"/>
        <v>не нуждается в помощи</v>
      </c>
    </row>
    <row r="169" spans="1:10" x14ac:dyDescent="0.2">
      <c r="A169" s="4">
        <v>1685</v>
      </c>
      <c r="B169" s="1" t="s">
        <v>5</v>
      </c>
      <c r="C169">
        <v>9891</v>
      </c>
      <c r="D169">
        <v>6</v>
      </c>
      <c r="E169" t="s">
        <v>11</v>
      </c>
      <c r="F169" s="6">
        <f t="shared" si="10"/>
        <v>1648.5</v>
      </c>
      <c r="G169" s="7">
        <f t="shared" si="11"/>
        <v>145.88495575221239</v>
      </c>
      <c r="H169" s="7">
        <f t="shared" si="12"/>
        <v>4.8628318584070795</v>
      </c>
      <c r="I169" s="5" t="str">
        <f t="shared" si="13"/>
        <v>в достатке</v>
      </c>
      <c r="J169" t="str">
        <f t="shared" si="14"/>
        <v>нуждается в помощи</v>
      </c>
    </row>
    <row r="170" spans="1:10" x14ac:dyDescent="0.2">
      <c r="A170" s="4">
        <v>2369</v>
      </c>
      <c r="B170" s="1" t="s">
        <v>0</v>
      </c>
      <c r="C170">
        <v>2700</v>
      </c>
      <c r="D170">
        <v>6</v>
      </c>
      <c r="E170" t="s">
        <v>11</v>
      </c>
      <c r="F170" s="6">
        <f t="shared" si="10"/>
        <v>450</v>
      </c>
      <c r="G170" s="7">
        <f t="shared" si="11"/>
        <v>39.823008849557517</v>
      </c>
      <c r="H170" s="7">
        <f t="shared" si="12"/>
        <v>1.3274336283185839</v>
      </c>
      <c r="I170" s="5" t="str">
        <f t="shared" si="13"/>
        <v>бедность</v>
      </c>
      <c r="J170" t="str">
        <f t="shared" si="14"/>
        <v>не нуждается в помощи</v>
      </c>
    </row>
    <row r="171" spans="1:10" x14ac:dyDescent="0.2">
      <c r="A171" s="4">
        <v>2666</v>
      </c>
      <c r="B171" s="1" t="s">
        <v>2</v>
      </c>
      <c r="C171">
        <v>9700</v>
      </c>
      <c r="D171">
        <v>6</v>
      </c>
      <c r="E171" t="s">
        <v>11</v>
      </c>
      <c r="F171" s="6">
        <f t="shared" si="10"/>
        <v>1616.6666666666667</v>
      </c>
      <c r="G171" s="7">
        <f t="shared" si="11"/>
        <v>143.06784660766962</v>
      </c>
      <c r="H171" s="7">
        <f t="shared" si="12"/>
        <v>4.7689282202556535</v>
      </c>
      <c r="I171" s="5" t="str">
        <f t="shared" si="13"/>
        <v>в достатке</v>
      </c>
      <c r="J171" t="str">
        <f t="shared" si="14"/>
        <v>не нуждается в помощи</v>
      </c>
    </row>
    <row r="172" spans="1:10" x14ac:dyDescent="0.2">
      <c r="A172" s="4">
        <v>2611</v>
      </c>
      <c r="B172" s="1" t="s">
        <v>0</v>
      </c>
      <c r="C172">
        <v>4780</v>
      </c>
      <c r="D172">
        <v>6</v>
      </c>
      <c r="E172" t="s">
        <v>11</v>
      </c>
      <c r="F172" s="6">
        <f t="shared" si="10"/>
        <v>796.66666666666663</v>
      </c>
      <c r="G172" s="7">
        <f t="shared" si="11"/>
        <v>70.501474926253678</v>
      </c>
      <c r="H172" s="7">
        <f t="shared" si="12"/>
        <v>2.350049164208456</v>
      </c>
      <c r="I172" s="5" t="str">
        <f t="shared" si="13"/>
        <v>ниже среднего</v>
      </c>
      <c r="J172" t="str">
        <f t="shared" si="14"/>
        <v>не нуждается в помощи</v>
      </c>
    </row>
    <row r="173" spans="1:10" x14ac:dyDescent="0.2">
      <c r="A173" s="4">
        <v>6164</v>
      </c>
      <c r="B173" s="1" t="s">
        <v>1</v>
      </c>
      <c r="C173">
        <v>1670</v>
      </c>
      <c r="D173">
        <v>6</v>
      </c>
      <c r="E173" t="s">
        <v>11</v>
      </c>
      <c r="F173" s="6">
        <f t="shared" si="10"/>
        <v>278.33333333333331</v>
      </c>
      <c r="G173" s="7">
        <f t="shared" si="11"/>
        <v>24.631268436578168</v>
      </c>
      <c r="H173" s="7">
        <f t="shared" si="12"/>
        <v>0.82104228121927225</v>
      </c>
      <c r="I173" s="5" t="str">
        <f t="shared" si="13"/>
        <v>крайняя бедность</v>
      </c>
      <c r="J173" t="str">
        <f t="shared" si="14"/>
        <v>не нуждается в помощи</v>
      </c>
    </row>
    <row r="174" spans="1:10" x14ac:dyDescent="0.2">
      <c r="A174" s="4">
        <v>2971</v>
      </c>
      <c r="B174" s="1" t="s">
        <v>1</v>
      </c>
      <c r="C174">
        <v>1600</v>
      </c>
      <c r="D174">
        <v>6</v>
      </c>
      <c r="E174" t="s">
        <v>11</v>
      </c>
      <c r="F174" s="6">
        <f t="shared" si="10"/>
        <v>266.66666666666669</v>
      </c>
      <c r="G174" s="7">
        <f t="shared" si="11"/>
        <v>23.598820058997049</v>
      </c>
      <c r="H174" s="7">
        <f t="shared" si="12"/>
        <v>0.7866273352999017</v>
      </c>
      <c r="I174" s="5" t="str">
        <f t="shared" si="13"/>
        <v>крайняя бедность</v>
      </c>
      <c r="J174" t="str">
        <f t="shared" si="14"/>
        <v>не нуждается в помощи</v>
      </c>
    </row>
    <row r="175" spans="1:10" x14ac:dyDescent="0.2">
      <c r="A175" s="4">
        <v>5021</v>
      </c>
      <c r="B175" s="1" t="s">
        <v>4</v>
      </c>
      <c r="C175">
        <v>1160</v>
      </c>
      <c r="D175">
        <v>6</v>
      </c>
      <c r="E175" t="s">
        <v>10</v>
      </c>
      <c r="F175" s="6">
        <f t="shared" si="10"/>
        <v>193.33333333333334</v>
      </c>
      <c r="G175" s="7">
        <f t="shared" si="11"/>
        <v>17.10914454277286</v>
      </c>
      <c r="H175" s="7">
        <f t="shared" si="12"/>
        <v>0.57030481809242872</v>
      </c>
      <c r="I175" s="5" t="str">
        <f t="shared" si="13"/>
        <v>крайняя бедность</v>
      </c>
      <c r="J175" t="str">
        <f t="shared" si="14"/>
        <v>не нуждается в помощи</v>
      </c>
    </row>
    <row r="176" spans="1:10" x14ac:dyDescent="0.2">
      <c r="A176" s="4">
        <v>834</v>
      </c>
      <c r="B176" s="1" t="s">
        <v>4</v>
      </c>
      <c r="C176">
        <v>2870</v>
      </c>
      <c r="D176">
        <v>6</v>
      </c>
      <c r="E176" t="s">
        <v>10</v>
      </c>
      <c r="F176" s="6">
        <f t="shared" si="10"/>
        <v>478.33333333333331</v>
      </c>
      <c r="G176" s="7">
        <f t="shared" si="11"/>
        <v>42.330383480825951</v>
      </c>
      <c r="H176" s="7">
        <f t="shared" si="12"/>
        <v>1.4110127826941985</v>
      </c>
      <c r="I176" s="5" t="str">
        <f t="shared" si="13"/>
        <v>ниже среднего</v>
      </c>
      <c r="J176" t="str">
        <f t="shared" si="14"/>
        <v>не нуждается в помощи</v>
      </c>
    </row>
    <row r="177" spans="1:10" x14ac:dyDescent="0.2">
      <c r="A177" s="4">
        <v>2509</v>
      </c>
      <c r="B177" s="1" t="s">
        <v>0</v>
      </c>
      <c r="C177">
        <v>900</v>
      </c>
      <c r="D177">
        <v>6</v>
      </c>
      <c r="E177" t="s">
        <v>11</v>
      </c>
      <c r="F177" s="6">
        <f t="shared" si="10"/>
        <v>150</v>
      </c>
      <c r="G177" s="7">
        <f t="shared" si="11"/>
        <v>13.274336283185839</v>
      </c>
      <c r="H177" s="7">
        <f t="shared" si="12"/>
        <v>0.44247787610619466</v>
      </c>
      <c r="I177" s="5" t="str">
        <f t="shared" si="13"/>
        <v>крайняя бедность</v>
      </c>
      <c r="J177" t="str">
        <f t="shared" si="14"/>
        <v>не нуждается в помощи</v>
      </c>
    </row>
    <row r="178" spans="1:10" x14ac:dyDescent="0.2">
      <c r="A178" s="4">
        <v>3045</v>
      </c>
      <c r="B178" s="1" t="s">
        <v>1</v>
      </c>
      <c r="C178">
        <v>900</v>
      </c>
      <c r="D178">
        <v>6</v>
      </c>
      <c r="E178" t="s">
        <v>10</v>
      </c>
      <c r="F178" s="6">
        <f t="shared" si="10"/>
        <v>150</v>
      </c>
      <c r="G178" s="7">
        <f t="shared" si="11"/>
        <v>13.274336283185839</v>
      </c>
      <c r="H178" s="7">
        <f t="shared" si="12"/>
        <v>0.44247787610619466</v>
      </c>
      <c r="I178" s="5" t="str">
        <f t="shared" si="13"/>
        <v>крайняя бедность</v>
      </c>
      <c r="J178" t="str">
        <f t="shared" si="14"/>
        <v>не нуждается в помощи</v>
      </c>
    </row>
    <row r="179" spans="1:10" x14ac:dyDescent="0.2">
      <c r="A179" s="4">
        <v>917</v>
      </c>
      <c r="B179" t="s">
        <v>4</v>
      </c>
      <c r="C179" s="1">
        <v>2900</v>
      </c>
      <c r="D179">
        <v>6</v>
      </c>
      <c r="E179" t="s">
        <v>11</v>
      </c>
      <c r="F179" s="6">
        <f t="shared" si="10"/>
        <v>483.33333333333331</v>
      </c>
      <c r="G179" s="7">
        <f t="shared" si="11"/>
        <v>42.772861356932147</v>
      </c>
      <c r="H179" s="7">
        <f t="shared" si="12"/>
        <v>1.4257620452310718</v>
      </c>
      <c r="I179" s="5" t="str">
        <f t="shared" si="13"/>
        <v>ниже среднего</v>
      </c>
      <c r="J179" t="str">
        <f t="shared" si="14"/>
        <v>нуждается в помощи</v>
      </c>
    </row>
    <row r="180" spans="1:10" x14ac:dyDescent="0.2">
      <c r="A180" s="4">
        <v>1926</v>
      </c>
      <c r="B180" t="s">
        <v>3</v>
      </c>
      <c r="C180" s="1">
        <v>2000</v>
      </c>
      <c r="D180">
        <v>6</v>
      </c>
      <c r="E180" t="s">
        <v>10</v>
      </c>
      <c r="F180" s="6">
        <f t="shared" si="10"/>
        <v>333.33333333333331</v>
      </c>
      <c r="G180" s="7">
        <f t="shared" si="11"/>
        <v>29.498525073746308</v>
      </c>
      <c r="H180" s="7">
        <f t="shared" si="12"/>
        <v>0.98328416912487704</v>
      </c>
      <c r="I180" s="5" t="str">
        <f t="shared" si="13"/>
        <v>бедность</v>
      </c>
      <c r="J180" t="str">
        <f t="shared" si="14"/>
        <v>не нуждается в помощи</v>
      </c>
    </row>
    <row r="181" spans="1:10" x14ac:dyDescent="0.2">
      <c r="A181" s="4">
        <v>2696</v>
      </c>
      <c r="B181" t="s">
        <v>2</v>
      </c>
      <c r="C181" s="1">
        <v>2400</v>
      </c>
      <c r="D181">
        <v>6</v>
      </c>
      <c r="E181" t="s">
        <v>11</v>
      </c>
      <c r="F181" s="6">
        <f t="shared" si="10"/>
        <v>400</v>
      </c>
      <c r="G181" s="7">
        <f t="shared" si="11"/>
        <v>35.398230088495573</v>
      </c>
      <c r="H181" s="7">
        <f t="shared" si="12"/>
        <v>1.1799410029498525</v>
      </c>
      <c r="I181" s="5" t="str">
        <f t="shared" si="13"/>
        <v>бедность</v>
      </c>
      <c r="J181" t="str">
        <f t="shared" si="14"/>
        <v>не нуждается в помощи</v>
      </c>
    </row>
    <row r="182" spans="1:10" x14ac:dyDescent="0.2">
      <c r="A182" s="4">
        <v>6043</v>
      </c>
      <c r="B182" t="s">
        <v>1</v>
      </c>
      <c r="C182" s="1">
        <v>3656</v>
      </c>
      <c r="D182">
        <v>6</v>
      </c>
      <c r="E182" t="s">
        <v>11</v>
      </c>
      <c r="F182" s="6">
        <f t="shared" si="10"/>
        <v>609.33333333333337</v>
      </c>
      <c r="G182" s="7">
        <f t="shared" si="11"/>
        <v>53.923303834808259</v>
      </c>
      <c r="H182" s="7">
        <f t="shared" si="12"/>
        <v>1.7974434611602754</v>
      </c>
      <c r="I182" s="5" t="str">
        <f t="shared" si="13"/>
        <v>ниже среднего</v>
      </c>
      <c r="J182" t="str">
        <f t="shared" si="14"/>
        <v>не нуждается в помощи</v>
      </c>
    </row>
    <row r="183" spans="1:10" x14ac:dyDescent="0.2">
      <c r="A183" s="4">
        <v>1405</v>
      </c>
      <c r="B183" t="s">
        <v>4</v>
      </c>
      <c r="C183" s="1">
        <v>1100</v>
      </c>
      <c r="D183">
        <v>6</v>
      </c>
      <c r="E183" t="s">
        <v>11</v>
      </c>
      <c r="F183" s="6">
        <f t="shared" si="10"/>
        <v>183.33333333333334</v>
      </c>
      <c r="G183" s="7">
        <f t="shared" si="11"/>
        <v>16.224188790560472</v>
      </c>
      <c r="H183" s="7">
        <f t="shared" si="12"/>
        <v>0.54080629301868244</v>
      </c>
      <c r="I183" s="5" t="str">
        <f t="shared" si="13"/>
        <v>крайняя бедность</v>
      </c>
      <c r="J183" t="str">
        <f t="shared" si="14"/>
        <v>не нуждается в помощи</v>
      </c>
    </row>
    <row r="184" spans="1:10" x14ac:dyDescent="0.2">
      <c r="A184" s="4">
        <v>544</v>
      </c>
      <c r="B184" t="s">
        <v>4</v>
      </c>
      <c r="C184" s="1">
        <v>1200</v>
      </c>
      <c r="D184">
        <v>6</v>
      </c>
      <c r="E184" t="s">
        <v>11</v>
      </c>
      <c r="F184" s="6">
        <f t="shared" si="10"/>
        <v>200</v>
      </c>
      <c r="G184" s="7">
        <f t="shared" si="11"/>
        <v>17.699115044247787</v>
      </c>
      <c r="H184" s="7">
        <f t="shared" si="12"/>
        <v>0.58997050147492625</v>
      </c>
      <c r="I184" s="5" t="str">
        <f t="shared" si="13"/>
        <v>крайняя бедность</v>
      </c>
      <c r="J184" t="str">
        <f t="shared" si="14"/>
        <v>не нуждается в помощи</v>
      </c>
    </row>
    <row r="185" spans="1:10" x14ac:dyDescent="0.2">
      <c r="A185" s="4">
        <v>2135</v>
      </c>
      <c r="B185" t="s">
        <v>3</v>
      </c>
      <c r="C185" s="1">
        <v>1400</v>
      </c>
      <c r="D185">
        <v>6</v>
      </c>
      <c r="E185" t="s">
        <v>11</v>
      </c>
      <c r="F185" s="6">
        <f t="shared" si="10"/>
        <v>233.33333333333334</v>
      </c>
      <c r="G185" s="7">
        <f t="shared" si="11"/>
        <v>20.64896755162242</v>
      </c>
      <c r="H185" s="7">
        <f t="shared" si="12"/>
        <v>0.68829891838741386</v>
      </c>
      <c r="I185" s="5" t="str">
        <f t="shared" si="13"/>
        <v>крайняя бедность</v>
      </c>
      <c r="J185" t="str">
        <f t="shared" si="14"/>
        <v>не нуждается в помощи</v>
      </c>
    </row>
    <row r="186" spans="1:10" x14ac:dyDescent="0.2">
      <c r="A186" s="4">
        <v>2923</v>
      </c>
      <c r="B186" t="s">
        <v>1</v>
      </c>
      <c r="C186" s="1">
        <v>3000</v>
      </c>
      <c r="D186">
        <v>6</v>
      </c>
      <c r="E186" t="s">
        <v>11</v>
      </c>
      <c r="F186" s="6">
        <f t="shared" si="10"/>
        <v>500</v>
      </c>
      <c r="G186" s="7">
        <f t="shared" si="11"/>
        <v>44.247787610619469</v>
      </c>
      <c r="H186" s="7">
        <f t="shared" si="12"/>
        <v>1.4749262536873156</v>
      </c>
      <c r="I186" s="5" t="str">
        <f t="shared" si="13"/>
        <v>ниже среднего</v>
      </c>
      <c r="J186" t="str">
        <f t="shared" si="14"/>
        <v>не нуждается в помощи</v>
      </c>
    </row>
    <row r="187" spans="1:10" x14ac:dyDescent="0.2">
      <c r="A187" s="4">
        <v>2148</v>
      </c>
      <c r="B187" t="s">
        <v>3</v>
      </c>
      <c r="C187" s="1">
        <v>1620</v>
      </c>
      <c r="D187">
        <v>6</v>
      </c>
      <c r="E187" t="s">
        <v>11</v>
      </c>
      <c r="F187" s="6">
        <f t="shared" si="10"/>
        <v>270</v>
      </c>
      <c r="G187" s="7">
        <f t="shared" si="11"/>
        <v>23.89380530973451</v>
      </c>
      <c r="H187" s="7">
        <f t="shared" si="12"/>
        <v>0.79646017699115035</v>
      </c>
      <c r="I187" s="5" t="str">
        <f t="shared" si="13"/>
        <v>крайняя бедность</v>
      </c>
      <c r="J187" t="str">
        <f t="shared" si="14"/>
        <v>не нуждается в помощи</v>
      </c>
    </row>
    <row r="188" spans="1:10" x14ac:dyDescent="0.2">
      <c r="A188" s="4">
        <v>805</v>
      </c>
      <c r="B188" t="s">
        <v>4</v>
      </c>
      <c r="C188" s="1">
        <v>1800</v>
      </c>
      <c r="D188">
        <v>6</v>
      </c>
      <c r="E188" t="s">
        <v>10</v>
      </c>
      <c r="F188" s="6">
        <f t="shared" si="10"/>
        <v>300</v>
      </c>
      <c r="G188" s="7">
        <f t="shared" si="11"/>
        <v>26.548672566371678</v>
      </c>
      <c r="H188" s="7">
        <f t="shared" si="12"/>
        <v>0.88495575221238931</v>
      </c>
      <c r="I188" s="5" t="str">
        <f t="shared" si="13"/>
        <v>крайняя бедность</v>
      </c>
      <c r="J188" t="str">
        <f t="shared" si="14"/>
        <v>не нуждается в помощи</v>
      </c>
    </row>
    <row r="189" spans="1:10" x14ac:dyDescent="0.2">
      <c r="A189" s="4">
        <v>1607</v>
      </c>
      <c r="B189" t="s">
        <v>5</v>
      </c>
      <c r="C189" s="1">
        <v>4877</v>
      </c>
      <c r="D189">
        <v>6</v>
      </c>
      <c r="E189" t="s">
        <v>10</v>
      </c>
      <c r="F189" s="6">
        <f t="shared" si="10"/>
        <v>812.83333333333337</v>
      </c>
      <c r="G189" s="7">
        <f t="shared" si="11"/>
        <v>71.932153392330378</v>
      </c>
      <c r="H189" s="7">
        <f t="shared" si="12"/>
        <v>2.3977384464110125</v>
      </c>
      <c r="I189" s="5" t="str">
        <f t="shared" si="13"/>
        <v>ниже среднего</v>
      </c>
      <c r="J189" t="str">
        <f t="shared" si="14"/>
        <v>не нуждается в помощи</v>
      </c>
    </row>
    <row r="190" spans="1:10" x14ac:dyDescent="0.2">
      <c r="A190" s="4">
        <v>1959</v>
      </c>
      <c r="B190" t="s">
        <v>3</v>
      </c>
      <c r="C190" s="1">
        <v>3300</v>
      </c>
      <c r="D190">
        <v>6</v>
      </c>
      <c r="E190" t="s">
        <v>10</v>
      </c>
      <c r="F190" s="6">
        <f t="shared" si="10"/>
        <v>550</v>
      </c>
      <c r="G190" s="7">
        <f t="shared" si="11"/>
        <v>48.672566371681413</v>
      </c>
      <c r="H190" s="7">
        <f t="shared" si="12"/>
        <v>1.622418879056047</v>
      </c>
      <c r="I190" s="5" t="str">
        <f t="shared" si="13"/>
        <v>ниже среднего</v>
      </c>
      <c r="J190" t="str">
        <f t="shared" si="14"/>
        <v>не нуждается в помощи</v>
      </c>
    </row>
    <row r="191" spans="1:10" x14ac:dyDescent="0.2">
      <c r="A191" s="4">
        <v>3054</v>
      </c>
      <c r="B191" t="s">
        <v>1</v>
      </c>
      <c r="C191" s="1">
        <v>2820</v>
      </c>
      <c r="D191">
        <v>6</v>
      </c>
      <c r="E191" t="s">
        <v>10</v>
      </c>
      <c r="F191" s="6">
        <f t="shared" si="10"/>
        <v>470</v>
      </c>
      <c r="G191" s="7">
        <f t="shared" si="11"/>
        <v>41.592920353982301</v>
      </c>
      <c r="H191" s="7">
        <f t="shared" si="12"/>
        <v>1.3864306784660765</v>
      </c>
      <c r="I191" s="5" t="str">
        <f t="shared" si="13"/>
        <v>ниже среднего</v>
      </c>
      <c r="J191" t="str">
        <f t="shared" si="14"/>
        <v>не нуждается в помощи</v>
      </c>
    </row>
    <row r="192" spans="1:10" x14ac:dyDescent="0.2">
      <c r="A192" s="4">
        <v>2053</v>
      </c>
      <c r="B192" t="s">
        <v>3</v>
      </c>
      <c r="C192" s="1">
        <v>2000</v>
      </c>
      <c r="D192">
        <v>6</v>
      </c>
      <c r="E192" t="s">
        <v>11</v>
      </c>
      <c r="F192" s="6">
        <f t="shared" si="10"/>
        <v>333.33333333333331</v>
      </c>
      <c r="G192" s="7">
        <f t="shared" si="11"/>
        <v>29.498525073746308</v>
      </c>
      <c r="H192" s="7">
        <f t="shared" si="12"/>
        <v>0.98328416912487704</v>
      </c>
      <c r="I192" s="5" t="str">
        <f t="shared" si="13"/>
        <v>бедность</v>
      </c>
      <c r="J192" t="str">
        <f t="shared" si="14"/>
        <v>не нуждается в помощи</v>
      </c>
    </row>
    <row r="193" spans="1:10" x14ac:dyDescent="0.2">
      <c r="A193" s="4">
        <v>2610</v>
      </c>
      <c r="B193" t="s">
        <v>0</v>
      </c>
      <c r="C193" s="1">
        <v>2000</v>
      </c>
      <c r="D193">
        <v>6</v>
      </c>
      <c r="E193" t="s">
        <v>11</v>
      </c>
      <c r="F193" s="6">
        <f t="shared" si="10"/>
        <v>333.33333333333331</v>
      </c>
      <c r="G193" s="7">
        <f t="shared" si="11"/>
        <v>29.498525073746308</v>
      </c>
      <c r="H193" s="7">
        <f t="shared" si="12"/>
        <v>0.98328416912487704</v>
      </c>
      <c r="I193" s="5" t="str">
        <f t="shared" si="13"/>
        <v>бедность</v>
      </c>
      <c r="J193" t="str">
        <f t="shared" si="14"/>
        <v>не нуждается в помощи</v>
      </c>
    </row>
    <row r="194" spans="1:10" x14ac:dyDescent="0.2">
      <c r="A194" s="4">
        <v>2652</v>
      </c>
      <c r="B194" t="s">
        <v>2</v>
      </c>
      <c r="C194" s="1">
        <v>4400</v>
      </c>
      <c r="D194">
        <v>6</v>
      </c>
      <c r="E194" t="s">
        <v>11</v>
      </c>
      <c r="F194" s="6">
        <f t="shared" ref="F194:F257" si="15">C194/D194</f>
        <v>733.33333333333337</v>
      </c>
      <c r="G194" s="7">
        <f t="shared" ref="G194:G257" si="16">(C194/D194)/rate</f>
        <v>64.896755162241888</v>
      </c>
      <c r="H194" s="7">
        <f t="shared" ref="H194:H257" si="17">((C194/D194)/30)/rate</f>
        <v>2.1632251720747298</v>
      </c>
      <c r="I194" s="5" t="str">
        <f t="shared" ref="I194:I257" si="18">IF(H194&lt;0.89, "крайняя бедность", IF(AND(H194&gt;0.89, H194&lt;1.33), "бедность", IF(AND(H194&gt;1.33,H194&lt;2.5),"ниже среднего", IF(AND(H194&gt;2.5,H194&lt;4), "средний", IF(H194&gt;4,"в достатке",0)))))</f>
        <v>ниже среднего</v>
      </c>
      <c r="J194" t="str">
        <f t="shared" si="14"/>
        <v>не нуждается в помощи</v>
      </c>
    </row>
    <row r="195" spans="1:10" x14ac:dyDescent="0.2">
      <c r="A195" s="4">
        <v>2902</v>
      </c>
      <c r="B195" t="s">
        <v>1</v>
      </c>
      <c r="C195" s="1">
        <v>2000</v>
      </c>
      <c r="D195">
        <v>6</v>
      </c>
      <c r="E195" t="s">
        <v>10</v>
      </c>
      <c r="F195" s="6">
        <f t="shared" si="15"/>
        <v>333.33333333333331</v>
      </c>
      <c r="G195" s="7">
        <f t="shared" si="16"/>
        <v>29.498525073746308</v>
      </c>
      <c r="H195" s="7">
        <f t="shared" si="17"/>
        <v>0.98328416912487704</v>
      </c>
      <c r="I195" s="5" t="str">
        <f t="shared" si="18"/>
        <v>бедность</v>
      </c>
      <c r="J195" t="str">
        <f t="shared" ref="J195:J258" si="19">IF(AND(I204="крайняя бедность",E204="Нет"), "нуждается в помощи", "не нуждается в помощи")</f>
        <v>не нуждается в помощи</v>
      </c>
    </row>
    <row r="196" spans="1:10" x14ac:dyDescent="0.2">
      <c r="A196" s="4">
        <v>5143</v>
      </c>
      <c r="B196" t="s">
        <v>4</v>
      </c>
      <c r="C196" s="1">
        <v>3400</v>
      </c>
      <c r="D196">
        <v>6</v>
      </c>
      <c r="E196" t="s">
        <v>10</v>
      </c>
      <c r="F196" s="6">
        <f t="shared" si="15"/>
        <v>566.66666666666663</v>
      </c>
      <c r="G196" s="7">
        <f t="shared" si="16"/>
        <v>50.147492625368727</v>
      </c>
      <c r="H196" s="7">
        <f t="shared" si="17"/>
        <v>1.671583087512291</v>
      </c>
      <c r="I196" s="5" t="str">
        <f t="shared" si="18"/>
        <v>ниже среднего</v>
      </c>
      <c r="J196" t="str">
        <f t="shared" si="19"/>
        <v>не нуждается в помощи</v>
      </c>
    </row>
    <row r="197" spans="1:10" x14ac:dyDescent="0.2">
      <c r="A197" s="4">
        <v>3232</v>
      </c>
      <c r="B197" t="s">
        <v>1</v>
      </c>
      <c r="C197" s="1">
        <v>2200</v>
      </c>
      <c r="D197">
        <v>6</v>
      </c>
      <c r="E197" t="s">
        <v>10</v>
      </c>
      <c r="F197" s="6">
        <f t="shared" si="15"/>
        <v>366.66666666666669</v>
      </c>
      <c r="G197" s="7">
        <f t="shared" si="16"/>
        <v>32.448377581120944</v>
      </c>
      <c r="H197" s="7">
        <f t="shared" si="17"/>
        <v>1.0816125860373649</v>
      </c>
      <c r="I197" s="5" t="str">
        <f t="shared" si="18"/>
        <v>бедность</v>
      </c>
      <c r="J197" t="str">
        <f t="shared" si="19"/>
        <v>не нуждается в помощи</v>
      </c>
    </row>
    <row r="198" spans="1:10" x14ac:dyDescent="0.2">
      <c r="A198" s="4">
        <v>2367</v>
      </c>
      <c r="B198" t="s">
        <v>0</v>
      </c>
      <c r="C198" s="1">
        <v>4500</v>
      </c>
      <c r="D198">
        <v>6</v>
      </c>
      <c r="E198" t="s">
        <v>11</v>
      </c>
      <c r="F198" s="6">
        <f t="shared" si="15"/>
        <v>750</v>
      </c>
      <c r="G198" s="7">
        <f t="shared" si="16"/>
        <v>66.371681415929203</v>
      </c>
      <c r="H198" s="7">
        <f t="shared" si="17"/>
        <v>2.2123893805309733</v>
      </c>
      <c r="I198" s="5" t="str">
        <f t="shared" si="18"/>
        <v>ниже среднего</v>
      </c>
      <c r="J198" t="str">
        <f t="shared" si="19"/>
        <v>не нуждается в помощи</v>
      </c>
    </row>
    <row r="199" spans="1:10" x14ac:dyDescent="0.2">
      <c r="A199" s="4">
        <v>2605</v>
      </c>
      <c r="B199" t="s">
        <v>0</v>
      </c>
      <c r="C199" s="1">
        <v>2500</v>
      </c>
      <c r="D199">
        <v>6</v>
      </c>
      <c r="E199" t="s">
        <v>11</v>
      </c>
      <c r="F199" s="6">
        <f t="shared" si="15"/>
        <v>416.66666666666669</v>
      </c>
      <c r="G199" s="7">
        <f t="shared" si="16"/>
        <v>36.873156342182888</v>
      </c>
      <c r="H199" s="7">
        <f t="shared" si="17"/>
        <v>1.2291052114060963</v>
      </c>
      <c r="I199" s="5" t="str">
        <f t="shared" si="18"/>
        <v>бедность</v>
      </c>
      <c r="J199" t="str">
        <f t="shared" si="19"/>
        <v>не нуждается в помощи</v>
      </c>
    </row>
    <row r="200" spans="1:10" x14ac:dyDescent="0.2">
      <c r="A200" s="4">
        <v>532</v>
      </c>
      <c r="B200" t="s">
        <v>4</v>
      </c>
      <c r="C200" s="1">
        <v>3500</v>
      </c>
      <c r="D200">
        <v>6</v>
      </c>
      <c r="E200" t="s">
        <v>10</v>
      </c>
      <c r="F200" s="6">
        <f t="shared" si="15"/>
        <v>583.33333333333337</v>
      </c>
      <c r="G200" s="7">
        <f t="shared" si="16"/>
        <v>51.622418879056049</v>
      </c>
      <c r="H200" s="7">
        <f t="shared" si="17"/>
        <v>1.720747295968535</v>
      </c>
      <c r="I200" s="5" t="str">
        <f t="shared" si="18"/>
        <v>ниже среднего</v>
      </c>
      <c r="J200" t="str">
        <f t="shared" si="19"/>
        <v>нуждается в помощи</v>
      </c>
    </row>
    <row r="201" spans="1:10" x14ac:dyDescent="0.2">
      <c r="A201" s="4">
        <v>3129</v>
      </c>
      <c r="B201" t="s">
        <v>1</v>
      </c>
      <c r="C201" s="1">
        <v>7400</v>
      </c>
      <c r="D201">
        <v>6</v>
      </c>
      <c r="E201" t="s">
        <v>11</v>
      </c>
      <c r="F201" s="6">
        <f t="shared" si="15"/>
        <v>1233.3333333333333</v>
      </c>
      <c r="G201" s="7">
        <f t="shared" si="16"/>
        <v>109.14454277286134</v>
      </c>
      <c r="H201" s="7">
        <f t="shared" si="17"/>
        <v>3.6381514257620449</v>
      </c>
      <c r="I201" s="5" t="str">
        <f t="shared" si="18"/>
        <v>средний</v>
      </c>
      <c r="J201" t="str">
        <f t="shared" si="19"/>
        <v>не нуждается в помощи</v>
      </c>
    </row>
    <row r="202" spans="1:10" x14ac:dyDescent="0.2">
      <c r="A202" s="4">
        <v>2174</v>
      </c>
      <c r="B202" t="s">
        <v>3</v>
      </c>
      <c r="C202" s="1">
        <v>4300</v>
      </c>
      <c r="D202">
        <v>6</v>
      </c>
      <c r="E202" t="s">
        <v>11</v>
      </c>
      <c r="F202" s="6">
        <f t="shared" si="15"/>
        <v>716.66666666666663</v>
      </c>
      <c r="G202" s="7">
        <f t="shared" si="16"/>
        <v>63.421828908554566</v>
      </c>
      <c r="H202" s="7">
        <f t="shared" si="17"/>
        <v>2.1140609636184857</v>
      </c>
      <c r="I202" s="5" t="str">
        <f t="shared" si="18"/>
        <v>ниже среднего</v>
      </c>
      <c r="J202" t="str">
        <f t="shared" si="19"/>
        <v>не нуждается в помощи</v>
      </c>
    </row>
    <row r="203" spans="1:10" x14ac:dyDescent="0.2">
      <c r="A203" s="4">
        <v>1624</v>
      </c>
      <c r="B203" t="s">
        <v>5</v>
      </c>
      <c r="C203" s="1">
        <v>4526</v>
      </c>
      <c r="D203">
        <v>6</v>
      </c>
      <c r="E203" t="s">
        <v>11</v>
      </c>
      <c r="F203" s="6">
        <f t="shared" si="15"/>
        <v>754.33333333333337</v>
      </c>
      <c r="G203" s="7">
        <f t="shared" si="16"/>
        <v>66.755162241887902</v>
      </c>
      <c r="H203" s="7">
        <f t="shared" si="17"/>
        <v>2.2251720747295969</v>
      </c>
      <c r="I203" s="5" t="str">
        <f t="shared" si="18"/>
        <v>ниже среднего</v>
      </c>
      <c r="J203" t="str">
        <f t="shared" si="19"/>
        <v>не нуждается в помощи</v>
      </c>
    </row>
    <row r="204" spans="1:10" x14ac:dyDescent="0.2">
      <c r="A204" s="4">
        <v>2217</v>
      </c>
      <c r="B204" t="s">
        <v>3</v>
      </c>
      <c r="C204" s="1">
        <v>8974</v>
      </c>
      <c r="D204">
        <v>6</v>
      </c>
      <c r="E204" t="s">
        <v>11</v>
      </c>
      <c r="F204" s="6">
        <f t="shared" si="15"/>
        <v>1495.6666666666667</v>
      </c>
      <c r="G204" s="7">
        <f t="shared" si="16"/>
        <v>132.35988200589969</v>
      </c>
      <c r="H204" s="7">
        <f t="shared" si="17"/>
        <v>4.411996066863324</v>
      </c>
      <c r="I204" s="5" t="str">
        <f t="shared" si="18"/>
        <v>в достатке</v>
      </c>
      <c r="J204" t="str">
        <f t="shared" si="19"/>
        <v>не нуждается в помощи</v>
      </c>
    </row>
    <row r="205" spans="1:10" x14ac:dyDescent="0.2">
      <c r="A205" s="4">
        <v>2907</v>
      </c>
      <c r="B205" t="s">
        <v>1</v>
      </c>
      <c r="C205" s="1">
        <v>5000</v>
      </c>
      <c r="D205">
        <v>6</v>
      </c>
      <c r="E205" t="s">
        <v>11</v>
      </c>
      <c r="F205" s="6">
        <f t="shared" si="15"/>
        <v>833.33333333333337</v>
      </c>
      <c r="G205" s="7">
        <f t="shared" si="16"/>
        <v>73.746312684365776</v>
      </c>
      <c r="H205" s="7">
        <f t="shared" si="17"/>
        <v>2.4582104228121926</v>
      </c>
      <c r="I205" s="5" t="str">
        <f t="shared" si="18"/>
        <v>ниже среднего</v>
      </c>
      <c r="J205" t="str">
        <f t="shared" si="19"/>
        <v>не нуждается в помощи</v>
      </c>
    </row>
    <row r="206" spans="1:10" x14ac:dyDescent="0.2">
      <c r="A206" s="4">
        <v>3295</v>
      </c>
      <c r="B206" t="s">
        <v>1</v>
      </c>
      <c r="C206" s="1">
        <v>11240</v>
      </c>
      <c r="D206">
        <v>6</v>
      </c>
      <c r="E206" t="s">
        <v>11</v>
      </c>
      <c r="F206" s="6">
        <f t="shared" si="15"/>
        <v>1873.3333333333333</v>
      </c>
      <c r="G206" s="7">
        <f t="shared" si="16"/>
        <v>165.78171091445427</v>
      </c>
      <c r="H206" s="7">
        <f t="shared" si="17"/>
        <v>5.5260570304818089</v>
      </c>
      <c r="I206" s="5" t="str">
        <f t="shared" si="18"/>
        <v>в достатке</v>
      </c>
      <c r="J206" t="str">
        <f t="shared" si="19"/>
        <v>нуждается в помощи</v>
      </c>
    </row>
    <row r="207" spans="1:10" x14ac:dyDescent="0.2">
      <c r="A207" s="4">
        <v>83</v>
      </c>
      <c r="B207" t="s">
        <v>4</v>
      </c>
      <c r="C207">
        <v>2650</v>
      </c>
      <c r="D207">
        <v>5</v>
      </c>
      <c r="E207" t="s">
        <v>11</v>
      </c>
      <c r="F207" s="6">
        <f t="shared" si="15"/>
        <v>530</v>
      </c>
      <c r="G207" s="7">
        <f t="shared" si="16"/>
        <v>46.902654867256636</v>
      </c>
      <c r="H207" s="7">
        <f t="shared" si="17"/>
        <v>1.5634218289085546</v>
      </c>
      <c r="I207" s="5" t="str">
        <f t="shared" si="18"/>
        <v>ниже среднего</v>
      </c>
      <c r="J207" t="str">
        <f t="shared" si="19"/>
        <v>не нуждается в помощи</v>
      </c>
    </row>
    <row r="208" spans="1:10" x14ac:dyDescent="0.2">
      <c r="A208" s="4">
        <v>2701</v>
      </c>
      <c r="B208" t="s">
        <v>2</v>
      </c>
      <c r="C208">
        <v>1600</v>
      </c>
      <c r="D208">
        <v>5</v>
      </c>
      <c r="E208" t="s">
        <v>10</v>
      </c>
      <c r="F208" s="6">
        <f t="shared" si="15"/>
        <v>320</v>
      </c>
      <c r="G208" s="7">
        <f t="shared" si="16"/>
        <v>28.318584070796458</v>
      </c>
      <c r="H208" s="7">
        <f t="shared" si="17"/>
        <v>0.94395280235988188</v>
      </c>
      <c r="I208" s="5" t="str">
        <f t="shared" si="18"/>
        <v>бедность</v>
      </c>
      <c r="J208" t="str">
        <f t="shared" si="19"/>
        <v>не нуждается в помощи</v>
      </c>
    </row>
    <row r="209" spans="1:10" x14ac:dyDescent="0.2">
      <c r="A209" s="4">
        <v>1934</v>
      </c>
      <c r="B209" t="s">
        <v>3</v>
      </c>
      <c r="C209">
        <v>850</v>
      </c>
      <c r="D209">
        <v>5</v>
      </c>
      <c r="E209" t="s">
        <v>10</v>
      </c>
      <c r="F209" s="6">
        <f t="shared" si="15"/>
        <v>170</v>
      </c>
      <c r="G209" s="7">
        <f t="shared" si="16"/>
        <v>15.044247787610619</v>
      </c>
      <c r="H209" s="7">
        <f t="shared" si="17"/>
        <v>0.50147492625368728</v>
      </c>
      <c r="I209" s="5" t="str">
        <f t="shared" si="18"/>
        <v>крайняя бедность</v>
      </c>
      <c r="J209" t="str">
        <f t="shared" si="19"/>
        <v>не нуждается в помощи</v>
      </c>
    </row>
    <row r="210" spans="1:10" x14ac:dyDescent="0.2">
      <c r="A210" s="4">
        <v>2600</v>
      </c>
      <c r="B210" t="s">
        <v>0</v>
      </c>
      <c r="C210">
        <v>3000</v>
      </c>
      <c r="D210">
        <v>5</v>
      </c>
      <c r="E210" t="s">
        <v>11</v>
      </c>
      <c r="F210" s="6">
        <f t="shared" si="15"/>
        <v>600</v>
      </c>
      <c r="G210" s="7">
        <f t="shared" si="16"/>
        <v>53.097345132743357</v>
      </c>
      <c r="H210" s="7">
        <f t="shared" si="17"/>
        <v>1.7699115044247786</v>
      </c>
      <c r="I210" s="5" t="str">
        <f t="shared" si="18"/>
        <v>ниже среднего</v>
      </c>
      <c r="J210" t="str">
        <f t="shared" si="19"/>
        <v>не нуждается в помощи</v>
      </c>
    </row>
    <row r="211" spans="1:10" x14ac:dyDescent="0.2">
      <c r="A211" s="4">
        <v>2374</v>
      </c>
      <c r="B211" t="s">
        <v>0</v>
      </c>
      <c r="C211">
        <v>800</v>
      </c>
      <c r="D211">
        <v>5</v>
      </c>
      <c r="E211" t="s">
        <v>11</v>
      </c>
      <c r="F211" s="6">
        <f t="shared" si="15"/>
        <v>160</v>
      </c>
      <c r="G211" s="7">
        <f t="shared" si="16"/>
        <v>14.159292035398229</v>
      </c>
      <c r="H211" s="7">
        <f t="shared" si="17"/>
        <v>0.47197640117994094</v>
      </c>
      <c r="I211" s="5" t="str">
        <f t="shared" si="18"/>
        <v>крайняя бедность</v>
      </c>
      <c r="J211" t="str">
        <f t="shared" si="19"/>
        <v>не нуждается в помощи</v>
      </c>
    </row>
    <row r="212" spans="1:10" x14ac:dyDescent="0.2">
      <c r="A212" s="4">
        <v>2765</v>
      </c>
      <c r="B212" t="s">
        <v>2</v>
      </c>
      <c r="C212">
        <v>5300</v>
      </c>
      <c r="D212">
        <v>5</v>
      </c>
      <c r="E212" t="s">
        <v>11</v>
      </c>
      <c r="F212" s="6">
        <f t="shared" si="15"/>
        <v>1060</v>
      </c>
      <c r="G212" s="7">
        <f t="shared" si="16"/>
        <v>93.805309734513273</v>
      </c>
      <c r="H212" s="7">
        <f t="shared" si="17"/>
        <v>3.1268436578171093</v>
      </c>
      <c r="I212" s="5" t="str">
        <f t="shared" si="18"/>
        <v>средний</v>
      </c>
      <c r="J212" t="str">
        <f t="shared" si="19"/>
        <v>нуждается в помощи</v>
      </c>
    </row>
    <row r="213" spans="1:10" x14ac:dyDescent="0.2">
      <c r="A213" s="4">
        <v>1831</v>
      </c>
      <c r="B213" t="s">
        <v>3</v>
      </c>
      <c r="C213">
        <v>980</v>
      </c>
      <c r="D213">
        <v>5</v>
      </c>
      <c r="E213" t="s">
        <v>11</v>
      </c>
      <c r="F213" s="6">
        <f t="shared" si="15"/>
        <v>196</v>
      </c>
      <c r="G213" s="7">
        <f t="shared" si="16"/>
        <v>17.345132743362832</v>
      </c>
      <c r="H213" s="7">
        <f t="shared" si="17"/>
        <v>0.57817109144542767</v>
      </c>
      <c r="I213" s="5" t="str">
        <f t="shared" si="18"/>
        <v>крайняя бедность</v>
      </c>
      <c r="J213" t="str">
        <f t="shared" si="19"/>
        <v>не нуждается в помощи</v>
      </c>
    </row>
    <row r="214" spans="1:10" x14ac:dyDescent="0.2">
      <c r="A214" s="4">
        <v>154</v>
      </c>
      <c r="B214" t="s">
        <v>4</v>
      </c>
      <c r="C214">
        <v>400</v>
      </c>
      <c r="D214">
        <v>5</v>
      </c>
      <c r="E214" t="s">
        <v>11</v>
      </c>
      <c r="F214" s="6">
        <f t="shared" si="15"/>
        <v>80</v>
      </c>
      <c r="G214" s="7">
        <f t="shared" si="16"/>
        <v>7.0796460176991145</v>
      </c>
      <c r="H214" s="7">
        <f t="shared" si="17"/>
        <v>0.23598820058997047</v>
      </c>
      <c r="I214" s="5" t="str">
        <f t="shared" si="18"/>
        <v>крайняя бедность</v>
      </c>
      <c r="J214" t="str">
        <f t="shared" si="19"/>
        <v>не нуждается в помощи</v>
      </c>
    </row>
    <row r="215" spans="1:10" x14ac:dyDescent="0.2">
      <c r="A215" s="4">
        <v>2795</v>
      </c>
      <c r="B215" t="s">
        <v>2</v>
      </c>
      <c r="C215">
        <v>400</v>
      </c>
      <c r="D215">
        <v>5</v>
      </c>
      <c r="E215" t="s">
        <v>10</v>
      </c>
      <c r="F215" s="6">
        <f t="shared" si="15"/>
        <v>80</v>
      </c>
      <c r="G215" s="7">
        <f t="shared" si="16"/>
        <v>7.0796460176991145</v>
      </c>
      <c r="H215" s="7">
        <f t="shared" si="17"/>
        <v>0.23598820058997047</v>
      </c>
      <c r="I215" s="5" t="str">
        <f t="shared" si="18"/>
        <v>крайняя бедность</v>
      </c>
      <c r="J215" t="str">
        <f t="shared" si="19"/>
        <v>нуждается в помощи</v>
      </c>
    </row>
    <row r="216" spans="1:10" x14ac:dyDescent="0.2">
      <c r="A216" s="4">
        <v>3258</v>
      </c>
      <c r="B216" t="s">
        <v>1</v>
      </c>
      <c r="C216">
        <v>1600</v>
      </c>
      <c r="D216">
        <v>5</v>
      </c>
      <c r="E216" t="s">
        <v>11</v>
      </c>
      <c r="F216" s="6">
        <f t="shared" si="15"/>
        <v>320</v>
      </c>
      <c r="G216" s="7">
        <f t="shared" si="16"/>
        <v>28.318584070796458</v>
      </c>
      <c r="H216" s="7">
        <f t="shared" si="17"/>
        <v>0.94395280235988188</v>
      </c>
      <c r="I216" s="5" t="str">
        <f t="shared" si="18"/>
        <v>бедность</v>
      </c>
      <c r="J216" t="str">
        <f t="shared" si="19"/>
        <v>нуждается в помощи</v>
      </c>
    </row>
    <row r="217" spans="1:10" x14ac:dyDescent="0.2">
      <c r="A217" s="4">
        <v>5381</v>
      </c>
      <c r="B217" t="s">
        <v>5</v>
      </c>
      <c r="C217">
        <v>400</v>
      </c>
      <c r="D217">
        <v>5</v>
      </c>
      <c r="E217" t="s">
        <v>11</v>
      </c>
      <c r="F217" s="6">
        <f t="shared" si="15"/>
        <v>80</v>
      </c>
      <c r="G217" s="7">
        <f t="shared" si="16"/>
        <v>7.0796460176991145</v>
      </c>
      <c r="H217" s="7">
        <f t="shared" si="17"/>
        <v>0.23598820058997047</v>
      </c>
      <c r="I217" s="5" t="str">
        <f t="shared" si="18"/>
        <v>крайняя бедность</v>
      </c>
      <c r="J217" t="str">
        <f t="shared" si="19"/>
        <v>нуждается в помощи</v>
      </c>
    </row>
    <row r="218" spans="1:10" x14ac:dyDescent="0.2">
      <c r="A218" s="4">
        <v>781</v>
      </c>
      <c r="B218" t="s">
        <v>4</v>
      </c>
      <c r="C218">
        <v>500</v>
      </c>
      <c r="D218">
        <v>5</v>
      </c>
      <c r="E218" t="s">
        <v>11</v>
      </c>
      <c r="F218" s="6">
        <f t="shared" si="15"/>
        <v>100</v>
      </c>
      <c r="G218" s="7">
        <f t="shared" si="16"/>
        <v>8.8495575221238933</v>
      </c>
      <c r="H218" s="7">
        <f t="shared" si="17"/>
        <v>0.29498525073746312</v>
      </c>
      <c r="I218" s="5" t="str">
        <f t="shared" si="18"/>
        <v>крайняя бедность</v>
      </c>
      <c r="J218" t="str">
        <f t="shared" si="19"/>
        <v>не нуждается в помощи</v>
      </c>
    </row>
    <row r="219" spans="1:10" x14ac:dyDescent="0.2">
      <c r="A219" s="4">
        <v>1502</v>
      </c>
      <c r="B219" t="s">
        <v>4</v>
      </c>
      <c r="C219">
        <v>1100</v>
      </c>
      <c r="D219">
        <v>5</v>
      </c>
      <c r="E219" t="s">
        <v>11</v>
      </c>
      <c r="F219" s="6">
        <f t="shared" si="15"/>
        <v>220</v>
      </c>
      <c r="G219" s="7">
        <f t="shared" si="16"/>
        <v>19.469026548672566</v>
      </c>
      <c r="H219" s="7">
        <f t="shared" si="17"/>
        <v>0.64896755162241881</v>
      </c>
      <c r="I219" s="5" t="str">
        <f t="shared" si="18"/>
        <v>крайняя бедность</v>
      </c>
      <c r="J219" t="str">
        <f t="shared" si="19"/>
        <v>не нуждается в помощи</v>
      </c>
    </row>
    <row r="220" spans="1:10" x14ac:dyDescent="0.2">
      <c r="A220" s="4">
        <v>2616</v>
      </c>
      <c r="B220" t="s">
        <v>0</v>
      </c>
      <c r="C220">
        <v>1000</v>
      </c>
      <c r="D220">
        <v>5</v>
      </c>
      <c r="E220" t="s">
        <v>11</v>
      </c>
      <c r="F220" s="6">
        <f t="shared" si="15"/>
        <v>200</v>
      </c>
      <c r="G220" s="7">
        <f t="shared" si="16"/>
        <v>17.699115044247787</v>
      </c>
      <c r="H220" s="7">
        <f t="shared" si="17"/>
        <v>0.58997050147492625</v>
      </c>
      <c r="I220" s="5" t="str">
        <f t="shared" si="18"/>
        <v>крайняя бедность</v>
      </c>
      <c r="J220" t="str">
        <f t="shared" si="19"/>
        <v>нуждается в помощи</v>
      </c>
    </row>
    <row r="221" spans="1:10" x14ac:dyDescent="0.2">
      <c r="A221" s="4">
        <v>2932</v>
      </c>
      <c r="B221" t="s">
        <v>1</v>
      </c>
      <c r="C221">
        <v>1000</v>
      </c>
      <c r="D221">
        <v>5</v>
      </c>
      <c r="E221" t="s">
        <v>10</v>
      </c>
      <c r="F221" s="6">
        <f t="shared" si="15"/>
        <v>200</v>
      </c>
      <c r="G221" s="7">
        <f t="shared" si="16"/>
        <v>17.699115044247787</v>
      </c>
      <c r="H221" s="7">
        <f t="shared" si="17"/>
        <v>0.58997050147492625</v>
      </c>
      <c r="I221" s="5" t="str">
        <f t="shared" si="18"/>
        <v>крайняя бедность</v>
      </c>
      <c r="J221" t="str">
        <f t="shared" si="19"/>
        <v>не нуждается в помощи</v>
      </c>
    </row>
    <row r="222" spans="1:10" x14ac:dyDescent="0.2">
      <c r="A222" s="4">
        <v>3063</v>
      </c>
      <c r="B222" t="s">
        <v>1</v>
      </c>
      <c r="C222">
        <v>500</v>
      </c>
      <c r="D222">
        <v>5</v>
      </c>
      <c r="E222" t="s">
        <v>11</v>
      </c>
      <c r="F222" s="6">
        <f t="shared" si="15"/>
        <v>100</v>
      </c>
      <c r="G222" s="7">
        <f t="shared" si="16"/>
        <v>8.8495575221238933</v>
      </c>
      <c r="H222" s="7">
        <f t="shared" si="17"/>
        <v>0.29498525073746312</v>
      </c>
      <c r="I222" s="5" t="str">
        <f t="shared" si="18"/>
        <v>крайняя бедность</v>
      </c>
      <c r="J222" t="str">
        <f t="shared" si="19"/>
        <v>не нуждается в помощи</v>
      </c>
    </row>
    <row r="223" spans="1:10" x14ac:dyDescent="0.2">
      <c r="A223" s="4">
        <v>6981</v>
      </c>
      <c r="B223" s="1" t="s">
        <v>3</v>
      </c>
      <c r="C223">
        <v>3900</v>
      </c>
      <c r="D223">
        <v>5</v>
      </c>
      <c r="E223" t="s">
        <v>11</v>
      </c>
      <c r="F223" s="6">
        <f t="shared" si="15"/>
        <v>780</v>
      </c>
      <c r="G223" s="7">
        <f t="shared" si="16"/>
        <v>69.026548672566364</v>
      </c>
      <c r="H223" s="7">
        <f t="shared" si="17"/>
        <v>2.3008849557522124</v>
      </c>
      <c r="I223" s="5" t="str">
        <f t="shared" si="18"/>
        <v>ниже среднего</v>
      </c>
      <c r="J223" t="str">
        <f t="shared" si="19"/>
        <v>не нуждается в помощи</v>
      </c>
    </row>
    <row r="224" spans="1:10" x14ac:dyDescent="0.2">
      <c r="A224" s="4">
        <v>2515</v>
      </c>
      <c r="B224" s="1" t="s">
        <v>0</v>
      </c>
      <c r="C224">
        <v>1080</v>
      </c>
      <c r="D224">
        <v>5</v>
      </c>
      <c r="E224" t="s">
        <v>10</v>
      </c>
      <c r="F224" s="6">
        <f t="shared" si="15"/>
        <v>216</v>
      </c>
      <c r="G224" s="7">
        <f t="shared" si="16"/>
        <v>19.115044247787608</v>
      </c>
      <c r="H224" s="7">
        <f t="shared" si="17"/>
        <v>0.63716814159292035</v>
      </c>
      <c r="I224" s="5" t="str">
        <f t="shared" si="18"/>
        <v>крайняя бедность</v>
      </c>
      <c r="J224" t="str">
        <f t="shared" si="19"/>
        <v>не нуждается в помощи</v>
      </c>
    </row>
    <row r="225" spans="1:10" x14ac:dyDescent="0.2">
      <c r="A225" s="4">
        <v>1821</v>
      </c>
      <c r="B225" s="1" t="s">
        <v>3</v>
      </c>
      <c r="C225">
        <v>600</v>
      </c>
      <c r="D225">
        <v>5</v>
      </c>
      <c r="E225" t="s">
        <v>10</v>
      </c>
      <c r="F225" s="6">
        <f t="shared" si="15"/>
        <v>120</v>
      </c>
      <c r="G225" s="7">
        <f t="shared" si="16"/>
        <v>10.619469026548671</v>
      </c>
      <c r="H225" s="7">
        <f t="shared" si="17"/>
        <v>0.35398230088495575</v>
      </c>
      <c r="I225" s="5" t="str">
        <f t="shared" si="18"/>
        <v>крайняя бедность</v>
      </c>
      <c r="J225" t="str">
        <f t="shared" si="19"/>
        <v>не нуждается в помощи</v>
      </c>
    </row>
    <row r="226" spans="1:10" x14ac:dyDescent="0.2">
      <c r="A226" s="4">
        <v>2018</v>
      </c>
      <c r="B226" s="1" t="s">
        <v>3</v>
      </c>
      <c r="C226">
        <v>1200</v>
      </c>
      <c r="D226">
        <v>5</v>
      </c>
      <c r="E226" t="s">
        <v>10</v>
      </c>
      <c r="F226" s="6">
        <f t="shared" si="15"/>
        <v>240</v>
      </c>
      <c r="G226" s="7">
        <f t="shared" si="16"/>
        <v>21.238938053097343</v>
      </c>
      <c r="H226" s="7">
        <f t="shared" si="17"/>
        <v>0.70796460176991149</v>
      </c>
      <c r="I226" s="5" t="str">
        <f t="shared" si="18"/>
        <v>крайняя бедность</v>
      </c>
      <c r="J226" t="str">
        <f t="shared" si="19"/>
        <v>не нуждается в помощи</v>
      </c>
    </row>
    <row r="227" spans="1:10" x14ac:dyDescent="0.2">
      <c r="A227" s="4">
        <v>3145</v>
      </c>
      <c r="B227" s="1" t="s">
        <v>1</v>
      </c>
      <c r="C227">
        <v>600</v>
      </c>
      <c r="D227">
        <v>5</v>
      </c>
      <c r="E227" t="s">
        <v>11</v>
      </c>
      <c r="F227" s="6">
        <f t="shared" si="15"/>
        <v>120</v>
      </c>
      <c r="G227" s="7">
        <f t="shared" si="16"/>
        <v>10.619469026548671</v>
      </c>
      <c r="H227" s="7">
        <f t="shared" si="17"/>
        <v>0.35398230088495575</v>
      </c>
      <c r="I227" s="5" t="str">
        <f t="shared" si="18"/>
        <v>крайняя бедность</v>
      </c>
      <c r="J227" t="str">
        <f t="shared" si="19"/>
        <v>не нуждается в помощи</v>
      </c>
    </row>
    <row r="228" spans="1:10" x14ac:dyDescent="0.2">
      <c r="A228" s="4">
        <v>2393</v>
      </c>
      <c r="B228" s="1" t="s">
        <v>0</v>
      </c>
      <c r="C228">
        <v>700</v>
      </c>
      <c r="D228">
        <v>5</v>
      </c>
      <c r="E228" t="s">
        <v>11</v>
      </c>
      <c r="F228" s="6">
        <f t="shared" si="15"/>
        <v>140</v>
      </c>
      <c r="G228" s="7">
        <f t="shared" si="16"/>
        <v>12.389380530973451</v>
      </c>
      <c r="H228" s="7">
        <f t="shared" si="17"/>
        <v>0.41297935103244837</v>
      </c>
      <c r="I228" s="5" t="str">
        <f t="shared" si="18"/>
        <v>крайняя бедность</v>
      </c>
      <c r="J228" t="str">
        <f t="shared" si="19"/>
        <v>не нуждается в помощи</v>
      </c>
    </row>
    <row r="229" spans="1:10" x14ac:dyDescent="0.2">
      <c r="A229" s="4">
        <v>2807</v>
      </c>
      <c r="B229" s="1" t="s">
        <v>2</v>
      </c>
      <c r="C229">
        <v>1000</v>
      </c>
      <c r="D229">
        <v>5</v>
      </c>
      <c r="E229" t="s">
        <v>10</v>
      </c>
      <c r="F229" s="6">
        <f t="shared" si="15"/>
        <v>200</v>
      </c>
      <c r="G229" s="7">
        <f t="shared" si="16"/>
        <v>17.699115044247787</v>
      </c>
      <c r="H229" s="7">
        <f t="shared" si="17"/>
        <v>0.58997050147492625</v>
      </c>
      <c r="I229" s="5" t="str">
        <f t="shared" si="18"/>
        <v>крайняя бедность</v>
      </c>
      <c r="J229" t="str">
        <f t="shared" si="19"/>
        <v>не нуждается в помощи</v>
      </c>
    </row>
    <row r="230" spans="1:10" x14ac:dyDescent="0.2">
      <c r="A230" s="4">
        <v>3186</v>
      </c>
      <c r="B230" s="1" t="s">
        <v>1</v>
      </c>
      <c r="C230">
        <v>1400</v>
      </c>
      <c r="D230">
        <v>5</v>
      </c>
      <c r="E230" t="s">
        <v>11</v>
      </c>
      <c r="F230" s="6">
        <f t="shared" si="15"/>
        <v>280</v>
      </c>
      <c r="G230" s="7">
        <f t="shared" si="16"/>
        <v>24.778761061946902</v>
      </c>
      <c r="H230" s="7">
        <f t="shared" si="17"/>
        <v>0.82595870206489674</v>
      </c>
      <c r="I230" s="5" t="str">
        <f t="shared" si="18"/>
        <v>крайняя бедность</v>
      </c>
      <c r="J230" t="str">
        <f t="shared" si="19"/>
        <v>не нуждается в помощи</v>
      </c>
    </row>
    <row r="231" spans="1:10" x14ac:dyDescent="0.2">
      <c r="A231" s="4">
        <v>3254</v>
      </c>
      <c r="B231" s="1" t="s">
        <v>1</v>
      </c>
      <c r="C231">
        <v>1522</v>
      </c>
      <c r="D231">
        <v>5</v>
      </c>
      <c r="E231" t="s">
        <v>10</v>
      </c>
      <c r="F231" s="6">
        <f t="shared" si="15"/>
        <v>304.39999999999998</v>
      </c>
      <c r="G231" s="7">
        <f t="shared" si="16"/>
        <v>26.938053097345129</v>
      </c>
      <c r="H231" s="7">
        <f t="shared" si="17"/>
        <v>0.89793510324483772</v>
      </c>
      <c r="I231" s="5" t="str">
        <f t="shared" si="18"/>
        <v>бедность</v>
      </c>
      <c r="J231" t="str">
        <f t="shared" si="19"/>
        <v>не нуждается в помощи</v>
      </c>
    </row>
    <row r="232" spans="1:10" x14ac:dyDescent="0.2">
      <c r="A232" s="4">
        <v>2837</v>
      </c>
      <c r="B232" s="1" t="s">
        <v>2</v>
      </c>
      <c r="C232">
        <v>1020</v>
      </c>
      <c r="D232">
        <v>5</v>
      </c>
      <c r="E232" t="s">
        <v>11</v>
      </c>
      <c r="F232" s="6">
        <f t="shared" si="15"/>
        <v>204</v>
      </c>
      <c r="G232" s="7">
        <f t="shared" si="16"/>
        <v>18.053097345132741</v>
      </c>
      <c r="H232" s="7">
        <f t="shared" si="17"/>
        <v>0.60176991150442471</v>
      </c>
      <c r="I232" s="5" t="str">
        <f t="shared" si="18"/>
        <v>крайняя бедность</v>
      </c>
      <c r="J232" t="str">
        <f t="shared" si="19"/>
        <v>не нуждается в помощи</v>
      </c>
    </row>
    <row r="233" spans="1:10" x14ac:dyDescent="0.2">
      <c r="A233" s="4">
        <v>1866</v>
      </c>
      <c r="B233" s="1" t="s">
        <v>3</v>
      </c>
      <c r="C233">
        <v>800</v>
      </c>
      <c r="D233">
        <v>5</v>
      </c>
      <c r="E233" t="s">
        <v>11</v>
      </c>
      <c r="F233" s="6">
        <f t="shared" si="15"/>
        <v>160</v>
      </c>
      <c r="G233" s="7">
        <f t="shared" si="16"/>
        <v>14.159292035398229</v>
      </c>
      <c r="H233" s="7">
        <f t="shared" si="17"/>
        <v>0.47197640117994094</v>
      </c>
      <c r="I233" s="5" t="str">
        <f t="shared" si="18"/>
        <v>крайняя бедность</v>
      </c>
      <c r="J233" t="str">
        <f t="shared" si="19"/>
        <v>не нуждается в помощи</v>
      </c>
    </row>
    <row r="234" spans="1:10" x14ac:dyDescent="0.2">
      <c r="A234" s="4">
        <v>2912</v>
      </c>
      <c r="B234" s="1" t="s">
        <v>1</v>
      </c>
      <c r="C234">
        <v>1800</v>
      </c>
      <c r="D234">
        <v>5</v>
      </c>
      <c r="E234" t="s">
        <v>11</v>
      </c>
      <c r="F234" s="6">
        <f t="shared" si="15"/>
        <v>360</v>
      </c>
      <c r="G234" s="7">
        <f t="shared" si="16"/>
        <v>31.858407079646014</v>
      </c>
      <c r="H234" s="7">
        <f t="shared" si="17"/>
        <v>1.0619469026548671</v>
      </c>
      <c r="I234" s="5" t="str">
        <f t="shared" si="18"/>
        <v>бедность</v>
      </c>
      <c r="J234" t="str">
        <f t="shared" si="19"/>
        <v>не нуждается в помощи</v>
      </c>
    </row>
    <row r="235" spans="1:10" x14ac:dyDescent="0.2">
      <c r="A235" s="4">
        <v>3166</v>
      </c>
      <c r="B235" s="1" t="s">
        <v>1</v>
      </c>
      <c r="C235">
        <v>3200</v>
      </c>
      <c r="D235">
        <v>5</v>
      </c>
      <c r="E235" t="s">
        <v>11</v>
      </c>
      <c r="F235" s="6">
        <f t="shared" si="15"/>
        <v>640</v>
      </c>
      <c r="G235" s="7">
        <f t="shared" si="16"/>
        <v>56.637168141592916</v>
      </c>
      <c r="H235" s="7">
        <f t="shared" si="17"/>
        <v>1.8879056047197638</v>
      </c>
      <c r="I235" s="5" t="str">
        <f t="shared" si="18"/>
        <v>ниже среднего</v>
      </c>
      <c r="J235" t="str">
        <f t="shared" si="19"/>
        <v>не нуждается в помощи</v>
      </c>
    </row>
    <row r="236" spans="1:10" x14ac:dyDescent="0.2">
      <c r="A236" s="4">
        <v>3120</v>
      </c>
      <c r="B236" s="1" t="s">
        <v>1</v>
      </c>
      <c r="C236">
        <v>2780</v>
      </c>
      <c r="D236">
        <v>5</v>
      </c>
      <c r="E236" t="s">
        <v>11</v>
      </c>
      <c r="F236" s="6">
        <f t="shared" si="15"/>
        <v>556</v>
      </c>
      <c r="G236" s="7">
        <f t="shared" si="16"/>
        <v>49.203539823008846</v>
      </c>
      <c r="H236" s="7">
        <f t="shared" si="17"/>
        <v>1.640117994100295</v>
      </c>
      <c r="I236" s="5" t="str">
        <f t="shared" si="18"/>
        <v>ниже среднего</v>
      </c>
      <c r="J236" t="str">
        <f t="shared" si="19"/>
        <v>не нуждается в помощи</v>
      </c>
    </row>
    <row r="237" spans="1:10" x14ac:dyDescent="0.2">
      <c r="A237" s="4">
        <v>2694</v>
      </c>
      <c r="B237" s="1" t="s">
        <v>2</v>
      </c>
      <c r="C237">
        <v>2400</v>
      </c>
      <c r="D237">
        <v>5</v>
      </c>
      <c r="E237" t="s">
        <v>11</v>
      </c>
      <c r="F237" s="6">
        <f t="shared" si="15"/>
        <v>480</v>
      </c>
      <c r="G237" s="7">
        <f t="shared" si="16"/>
        <v>42.477876106194685</v>
      </c>
      <c r="H237" s="7">
        <f t="shared" si="17"/>
        <v>1.415929203539823</v>
      </c>
      <c r="I237" s="5" t="str">
        <f t="shared" si="18"/>
        <v>ниже среднего</v>
      </c>
      <c r="J237" t="str">
        <f t="shared" si="19"/>
        <v>не нуждается в помощи</v>
      </c>
    </row>
    <row r="238" spans="1:10" x14ac:dyDescent="0.2">
      <c r="A238" s="4">
        <v>1819</v>
      </c>
      <c r="B238" s="1" t="s">
        <v>3</v>
      </c>
      <c r="C238">
        <v>8150</v>
      </c>
      <c r="D238">
        <v>5</v>
      </c>
      <c r="E238" t="s">
        <v>10</v>
      </c>
      <c r="F238" s="6">
        <f t="shared" si="15"/>
        <v>1630</v>
      </c>
      <c r="G238" s="7">
        <f t="shared" si="16"/>
        <v>144.24778761061947</v>
      </c>
      <c r="H238" s="7">
        <f t="shared" si="17"/>
        <v>4.8082595870206486</v>
      </c>
      <c r="I238" s="5" t="str">
        <f t="shared" si="18"/>
        <v>в достатке</v>
      </c>
      <c r="J238" t="str">
        <f t="shared" si="19"/>
        <v>нуждается в помощи</v>
      </c>
    </row>
    <row r="239" spans="1:10" x14ac:dyDescent="0.2">
      <c r="A239" s="4">
        <v>5012</v>
      </c>
      <c r="B239" s="1" t="s">
        <v>4</v>
      </c>
      <c r="C239">
        <v>1600</v>
      </c>
      <c r="D239">
        <v>5</v>
      </c>
      <c r="E239" t="s">
        <v>10</v>
      </c>
      <c r="F239" s="6">
        <f t="shared" si="15"/>
        <v>320</v>
      </c>
      <c r="G239" s="7">
        <f t="shared" si="16"/>
        <v>28.318584070796458</v>
      </c>
      <c r="H239" s="7">
        <f t="shared" si="17"/>
        <v>0.94395280235988188</v>
      </c>
      <c r="I239" s="5" t="str">
        <f t="shared" si="18"/>
        <v>бедность</v>
      </c>
      <c r="J239" t="str">
        <f t="shared" si="19"/>
        <v>не нуждается в помощи</v>
      </c>
    </row>
    <row r="240" spans="1:10" x14ac:dyDescent="0.2">
      <c r="A240" s="4">
        <v>6244</v>
      </c>
      <c r="B240" s="1" t="s">
        <v>1</v>
      </c>
      <c r="C240">
        <v>4120</v>
      </c>
      <c r="D240">
        <v>5</v>
      </c>
      <c r="E240" t="s">
        <v>11</v>
      </c>
      <c r="F240" s="6">
        <f t="shared" si="15"/>
        <v>824</v>
      </c>
      <c r="G240" s="7">
        <f t="shared" si="16"/>
        <v>72.920353982300881</v>
      </c>
      <c r="H240" s="7">
        <f t="shared" si="17"/>
        <v>2.4306784660766958</v>
      </c>
      <c r="I240" s="5" t="str">
        <f t="shared" si="18"/>
        <v>ниже среднего</v>
      </c>
      <c r="J240" t="str">
        <f t="shared" si="19"/>
        <v>не нуждается в помощи</v>
      </c>
    </row>
    <row r="241" spans="1:10" x14ac:dyDescent="0.2">
      <c r="A241" s="4">
        <v>1535</v>
      </c>
      <c r="B241" s="1" t="s">
        <v>5</v>
      </c>
      <c r="C241">
        <v>1550</v>
      </c>
      <c r="D241">
        <v>5</v>
      </c>
      <c r="E241" t="s">
        <v>11</v>
      </c>
      <c r="F241" s="6">
        <f t="shared" si="15"/>
        <v>310</v>
      </c>
      <c r="G241" s="7">
        <f t="shared" si="16"/>
        <v>27.43362831858407</v>
      </c>
      <c r="H241" s="7">
        <f t="shared" si="17"/>
        <v>0.91445427728613571</v>
      </c>
      <c r="I241" s="5" t="str">
        <f t="shared" si="18"/>
        <v>бедность</v>
      </c>
      <c r="J241" t="str">
        <f t="shared" si="19"/>
        <v>не нуждается в помощи</v>
      </c>
    </row>
    <row r="242" spans="1:10" x14ac:dyDescent="0.2">
      <c r="A242" s="4">
        <v>1703</v>
      </c>
      <c r="B242" s="1" t="s">
        <v>3</v>
      </c>
      <c r="C242">
        <v>3750</v>
      </c>
      <c r="D242">
        <v>5</v>
      </c>
      <c r="E242" t="s">
        <v>11</v>
      </c>
      <c r="F242" s="6">
        <f t="shared" si="15"/>
        <v>750</v>
      </c>
      <c r="G242" s="7">
        <f t="shared" si="16"/>
        <v>66.371681415929203</v>
      </c>
      <c r="H242" s="7">
        <f t="shared" si="17"/>
        <v>2.2123893805309733</v>
      </c>
      <c r="I242" s="5" t="str">
        <f t="shared" si="18"/>
        <v>ниже среднего</v>
      </c>
      <c r="J242" t="str">
        <f t="shared" si="19"/>
        <v>не нуждается в помощи</v>
      </c>
    </row>
    <row r="243" spans="1:10" x14ac:dyDescent="0.2">
      <c r="A243" s="4">
        <v>6642</v>
      </c>
      <c r="B243" s="1" t="s">
        <v>3</v>
      </c>
      <c r="C243" s="1">
        <v>3900</v>
      </c>
      <c r="D243">
        <v>5</v>
      </c>
      <c r="E243" t="s">
        <v>10</v>
      </c>
      <c r="F243" s="6">
        <f t="shared" si="15"/>
        <v>780</v>
      </c>
      <c r="G243" s="7">
        <f t="shared" si="16"/>
        <v>69.026548672566364</v>
      </c>
      <c r="H243" s="7">
        <f t="shared" si="17"/>
        <v>2.3008849557522124</v>
      </c>
      <c r="I243" s="5" t="str">
        <f t="shared" si="18"/>
        <v>ниже среднего</v>
      </c>
      <c r="J243" t="str">
        <f t="shared" si="19"/>
        <v>не нуждается в помощи</v>
      </c>
    </row>
    <row r="244" spans="1:10" x14ac:dyDescent="0.2">
      <c r="A244" s="4">
        <v>1813</v>
      </c>
      <c r="B244" t="s">
        <v>3</v>
      </c>
      <c r="C244" s="1">
        <v>2400</v>
      </c>
      <c r="D244">
        <v>5</v>
      </c>
      <c r="E244" t="s">
        <v>10</v>
      </c>
      <c r="F244" s="6">
        <f t="shared" si="15"/>
        <v>480</v>
      </c>
      <c r="G244" s="7">
        <f t="shared" si="16"/>
        <v>42.477876106194685</v>
      </c>
      <c r="H244" s="7">
        <f t="shared" si="17"/>
        <v>1.415929203539823</v>
      </c>
      <c r="I244" s="5" t="str">
        <f t="shared" si="18"/>
        <v>ниже среднего</v>
      </c>
      <c r="J244" t="str">
        <f t="shared" si="19"/>
        <v>нуждается в помощи</v>
      </c>
    </row>
    <row r="245" spans="1:10" x14ac:dyDescent="0.2">
      <c r="A245" s="4">
        <v>1842</v>
      </c>
      <c r="B245" t="s">
        <v>3</v>
      </c>
      <c r="C245" s="1">
        <v>2580</v>
      </c>
      <c r="D245">
        <v>5</v>
      </c>
      <c r="E245" t="s">
        <v>10</v>
      </c>
      <c r="F245" s="6">
        <f t="shared" si="15"/>
        <v>516</v>
      </c>
      <c r="G245" s="7">
        <f t="shared" si="16"/>
        <v>45.663716814159287</v>
      </c>
      <c r="H245" s="7">
        <f t="shared" si="17"/>
        <v>1.5221238938053097</v>
      </c>
      <c r="I245" s="5" t="str">
        <f t="shared" si="18"/>
        <v>ниже среднего</v>
      </c>
      <c r="J245" t="str">
        <f t="shared" si="19"/>
        <v>не нуждается в помощи</v>
      </c>
    </row>
    <row r="246" spans="1:10" x14ac:dyDescent="0.2">
      <c r="A246" s="4">
        <v>2389</v>
      </c>
      <c r="B246" t="s">
        <v>0</v>
      </c>
      <c r="C246" s="1">
        <v>2000</v>
      </c>
      <c r="D246">
        <v>5</v>
      </c>
      <c r="E246" t="s">
        <v>10</v>
      </c>
      <c r="F246" s="6">
        <f t="shared" si="15"/>
        <v>400</v>
      </c>
      <c r="G246" s="7">
        <f t="shared" si="16"/>
        <v>35.398230088495573</v>
      </c>
      <c r="H246" s="7">
        <f t="shared" si="17"/>
        <v>1.1799410029498525</v>
      </c>
      <c r="I246" s="5" t="str">
        <f t="shared" si="18"/>
        <v>бедность</v>
      </c>
      <c r="J246" t="str">
        <f t="shared" si="19"/>
        <v>не нуждается в помощи</v>
      </c>
    </row>
    <row r="247" spans="1:10" x14ac:dyDescent="0.2">
      <c r="A247" s="4">
        <v>3068</v>
      </c>
      <c r="B247" t="s">
        <v>1</v>
      </c>
      <c r="C247" s="1">
        <v>1000</v>
      </c>
      <c r="D247">
        <v>5</v>
      </c>
      <c r="E247" t="s">
        <v>10</v>
      </c>
      <c r="F247" s="6">
        <f t="shared" si="15"/>
        <v>200</v>
      </c>
      <c r="G247" s="7">
        <f t="shared" si="16"/>
        <v>17.699115044247787</v>
      </c>
      <c r="H247" s="7">
        <f t="shared" si="17"/>
        <v>0.58997050147492625</v>
      </c>
      <c r="I247" s="5" t="str">
        <f t="shared" si="18"/>
        <v>крайняя бедность</v>
      </c>
      <c r="J247" t="str">
        <f t="shared" si="19"/>
        <v>нуждается в помощи</v>
      </c>
    </row>
    <row r="248" spans="1:10" x14ac:dyDescent="0.2">
      <c r="A248" s="4">
        <v>5208</v>
      </c>
      <c r="B248" t="s">
        <v>4</v>
      </c>
      <c r="C248" s="1">
        <v>2200</v>
      </c>
      <c r="D248">
        <v>5</v>
      </c>
      <c r="E248" t="s">
        <v>11</v>
      </c>
      <c r="F248" s="6">
        <f t="shared" si="15"/>
        <v>440</v>
      </c>
      <c r="G248" s="7">
        <f t="shared" si="16"/>
        <v>38.938053097345133</v>
      </c>
      <c r="H248" s="7">
        <f t="shared" si="17"/>
        <v>1.2979351032448376</v>
      </c>
      <c r="I248" s="5" t="str">
        <f t="shared" si="18"/>
        <v>бедность</v>
      </c>
      <c r="J248" t="str">
        <f t="shared" si="19"/>
        <v>не нуждается в помощи</v>
      </c>
    </row>
    <row r="249" spans="1:10" x14ac:dyDescent="0.2">
      <c r="A249" s="4">
        <v>5221</v>
      </c>
      <c r="B249" t="s">
        <v>5</v>
      </c>
      <c r="C249" s="1">
        <v>3800</v>
      </c>
      <c r="D249">
        <v>5</v>
      </c>
      <c r="E249" t="s">
        <v>11</v>
      </c>
      <c r="F249" s="6">
        <f t="shared" si="15"/>
        <v>760</v>
      </c>
      <c r="G249" s="7">
        <f t="shared" si="16"/>
        <v>67.256637168141594</v>
      </c>
      <c r="H249" s="7">
        <f t="shared" si="17"/>
        <v>2.2418879056047194</v>
      </c>
      <c r="I249" s="5" t="str">
        <f t="shared" si="18"/>
        <v>ниже среднего</v>
      </c>
      <c r="J249" t="str">
        <f t="shared" si="19"/>
        <v>не нуждается в помощи</v>
      </c>
    </row>
    <row r="250" spans="1:10" x14ac:dyDescent="0.2">
      <c r="A250" s="4">
        <v>6247</v>
      </c>
      <c r="B250" t="s">
        <v>1</v>
      </c>
      <c r="C250" s="1">
        <v>3050</v>
      </c>
      <c r="D250">
        <v>5</v>
      </c>
      <c r="E250" t="s">
        <v>11</v>
      </c>
      <c r="F250" s="6">
        <f t="shared" si="15"/>
        <v>610</v>
      </c>
      <c r="G250" s="7">
        <f t="shared" si="16"/>
        <v>53.982300884955748</v>
      </c>
      <c r="H250" s="7">
        <f t="shared" si="17"/>
        <v>1.7994100294985249</v>
      </c>
      <c r="I250" s="5" t="str">
        <f t="shared" si="18"/>
        <v>ниже среднего</v>
      </c>
      <c r="J250" t="str">
        <f t="shared" si="19"/>
        <v>не нуждается в помощи</v>
      </c>
    </row>
    <row r="251" spans="1:10" x14ac:dyDescent="0.2">
      <c r="A251" s="4">
        <v>6361</v>
      </c>
      <c r="B251" t="s">
        <v>1</v>
      </c>
      <c r="C251" s="1">
        <v>2500</v>
      </c>
      <c r="D251">
        <v>5</v>
      </c>
      <c r="E251" t="s">
        <v>11</v>
      </c>
      <c r="F251" s="6">
        <f t="shared" si="15"/>
        <v>500</v>
      </c>
      <c r="G251" s="7">
        <f t="shared" si="16"/>
        <v>44.247787610619469</v>
      </c>
      <c r="H251" s="7">
        <f t="shared" si="17"/>
        <v>1.4749262536873156</v>
      </c>
      <c r="I251" s="5" t="str">
        <f t="shared" si="18"/>
        <v>ниже среднего</v>
      </c>
      <c r="J251" t="str">
        <f t="shared" si="19"/>
        <v>не нуждается в помощи</v>
      </c>
    </row>
    <row r="252" spans="1:10" x14ac:dyDescent="0.2">
      <c r="A252" s="4">
        <v>2678</v>
      </c>
      <c r="B252" t="s">
        <v>2</v>
      </c>
      <c r="C252" s="1">
        <v>3300</v>
      </c>
      <c r="D252">
        <v>5</v>
      </c>
      <c r="E252" t="s">
        <v>11</v>
      </c>
      <c r="F252" s="6">
        <f t="shared" si="15"/>
        <v>660</v>
      </c>
      <c r="G252" s="7">
        <f t="shared" si="16"/>
        <v>58.407079646017692</v>
      </c>
      <c r="H252" s="7">
        <f t="shared" si="17"/>
        <v>1.9469026548672566</v>
      </c>
      <c r="I252" s="5" t="str">
        <f t="shared" si="18"/>
        <v>ниже среднего</v>
      </c>
      <c r="J252" t="str">
        <f t="shared" si="19"/>
        <v>не нуждается в помощи</v>
      </c>
    </row>
    <row r="253" spans="1:10" x14ac:dyDescent="0.2">
      <c r="A253" s="4">
        <v>5002</v>
      </c>
      <c r="B253" t="s">
        <v>4</v>
      </c>
      <c r="C253" s="1">
        <v>1300</v>
      </c>
      <c r="D253">
        <v>5</v>
      </c>
      <c r="E253" t="s">
        <v>10</v>
      </c>
      <c r="F253" s="6">
        <f t="shared" si="15"/>
        <v>260</v>
      </c>
      <c r="G253" s="7">
        <f t="shared" si="16"/>
        <v>23.008849557522122</v>
      </c>
      <c r="H253" s="7">
        <f t="shared" si="17"/>
        <v>0.76696165191740406</v>
      </c>
      <c r="I253" s="5" t="str">
        <f t="shared" si="18"/>
        <v>крайняя бедность</v>
      </c>
      <c r="J253" t="str">
        <f t="shared" si="19"/>
        <v>не нуждается в помощи</v>
      </c>
    </row>
    <row r="254" spans="1:10" x14ac:dyDescent="0.2">
      <c r="A254" s="4">
        <v>2009</v>
      </c>
      <c r="B254" t="s">
        <v>3</v>
      </c>
      <c r="C254" s="1">
        <v>2800</v>
      </c>
      <c r="D254">
        <v>5</v>
      </c>
      <c r="E254" t="s">
        <v>11</v>
      </c>
      <c r="F254" s="6">
        <f t="shared" si="15"/>
        <v>560</v>
      </c>
      <c r="G254" s="7">
        <f t="shared" si="16"/>
        <v>49.557522123893804</v>
      </c>
      <c r="H254" s="7">
        <f t="shared" si="17"/>
        <v>1.6519174041297935</v>
      </c>
      <c r="I254" s="5" t="str">
        <f t="shared" si="18"/>
        <v>ниже среднего</v>
      </c>
      <c r="J254" t="str">
        <f t="shared" si="19"/>
        <v>не нуждается в помощи</v>
      </c>
    </row>
    <row r="255" spans="1:10" x14ac:dyDescent="0.2">
      <c r="A255" s="4">
        <v>2197</v>
      </c>
      <c r="B255" t="s">
        <v>3</v>
      </c>
      <c r="C255" s="1">
        <v>1500</v>
      </c>
      <c r="D255">
        <v>5</v>
      </c>
      <c r="E255" t="s">
        <v>11</v>
      </c>
      <c r="F255" s="6">
        <f t="shared" si="15"/>
        <v>300</v>
      </c>
      <c r="G255" s="7">
        <f t="shared" si="16"/>
        <v>26.548672566371678</v>
      </c>
      <c r="H255" s="7">
        <f t="shared" si="17"/>
        <v>0.88495575221238931</v>
      </c>
      <c r="I255" s="5" t="str">
        <f t="shared" si="18"/>
        <v>крайняя бедность</v>
      </c>
      <c r="J255" t="str">
        <f t="shared" si="19"/>
        <v>не нуждается в помощи</v>
      </c>
    </row>
    <row r="256" spans="1:10" x14ac:dyDescent="0.2">
      <c r="A256" s="4">
        <v>1247</v>
      </c>
      <c r="B256" t="s">
        <v>4</v>
      </c>
      <c r="C256" s="1">
        <v>1500</v>
      </c>
      <c r="D256">
        <v>5</v>
      </c>
      <c r="E256" t="s">
        <v>10</v>
      </c>
      <c r="F256" s="6">
        <f t="shared" si="15"/>
        <v>300</v>
      </c>
      <c r="G256" s="7">
        <f t="shared" si="16"/>
        <v>26.548672566371678</v>
      </c>
      <c r="H256" s="7">
        <f t="shared" si="17"/>
        <v>0.88495575221238931</v>
      </c>
      <c r="I256" s="5" t="str">
        <f t="shared" si="18"/>
        <v>крайняя бедность</v>
      </c>
      <c r="J256" t="str">
        <f t="shared" si="19"/>
        <v>не нуждается в помощи</v>
      </c>
    </row>
    <row r="257" spans="1:10" x14ac:dyDescent="0.2">
      <c r="A257" s="4">
        <v>1948</v>
      </c>
      <c r="B257" t="s">
        <v>3</v>
      </c>
      <c r="C257" s="1">
        <v>2500</v>
      </c>
      <c r="D257">
        <v>5</v>
      </c>
      <c r="E257" t="s">
        <v>10</v>
      </c>
      <c r="F257" s="6">
        <f t="shared" si="15"/>
        <v>500</v>
      </c>
      <c r="G257" s="7">
        <f t="shared" si="16"/>
        <v>44.247787610619469</v>
      </c>
      <c r="H257" s="7">
        <f t="shared" si="17"/>
        <v>1.4749262536873156</v>
      </c>
      <c r="I257" s="5" t="str">
        <f t="shared" si="18"/>
        <v>ниже среднего</v>
      </c>
      <c r="J257" t="str">
        <f t="shared" si="19"/>
        <v>не нуждается в помощи</v>
      </c>
    </row>
    <row r="258" spans="1:10" x14ac:dyDescent="0.2">
      <c r="A258" s="4">
        <v>2581</v>
      </c>
      <c r="B258" t="s">
        <v>0</v>
      </c>
      <c r="C258" s="1">
        <v>3000</v>
      </c>
      <c r="D258">
        <v>5</v>
      </c>
      <c r="E258" t="s">
        <v>10</v>
      </c>
      <c r="F258" s="6">
        <f t="shared" ref="F258:F321" si="20">C258/D258</f>
        <v>600</v>
      </c>
      <c r="G258" s="7">
        <f t="shared" ref="G258:G321" si="21">(C258/D258)/rate</f>
        <v>53.097345132743357</v>
      </c>
      <c r="H258" s="7">
        <f t="shared" ref="H258:H321" si="22">((C258/D258)/30)/rate</f>
        <v>1.7699115044247786</v>
      </c>
      <c r="I258" s="5" t="str">
        <f t="shared" ref="I258:I321" si="23">IF(H258&lt;0.89, "крайняя бедность", IF(AND(H258&gt;0.89, H258&lt;1.33), "бедность", IF(AND(H258&gt;1.33,H258&lt;2.5),"ниже среднего", IF(AND(H258&gt;2.5,H258&lt;4), "средний", IF(H258&gt;4,"в достатке",0)))))</f>
        <v>ниже среднего</v>
      </c>
      <c r="J258" t="str">
        <f t="shared" si="19"/>
        <v>не нуждается в помощи</v>
      </c>
    </row>
    <row r="259" spans="1:10" x14ac:dyDescent="0.2">
      <c r="A259" s="4">
        <v>2649</v>
      </c>
      <c r="B259" t="s">
        <v>2</v>
      </c>
      <c r="C259" s="1">
        <v>3000</v>
      </c>
      <c r="D259">
        <v>5</v>
      </c>
      <c r="E259" t="s">
        <v>11</v>
      </c>
      <c r="F259" s="6">
        <f t="shared" si="20"/>
        <v>600</v>
      </c>
      <c r="G259" s="7">
        <f t="shared" si="21"/>
        <v>53.097345132743357</v>
      </c>
      <c r="H259" s="7">
        <f t="shared" si="22"/>
        <v>1.7699115044247786</v>
      </c>
      <c r="I259" s="5" t="str">
        <f t="shared" si="23"/>
        <v>ниже среднего</v>
      </c>
      <c r="J259" t="str">
        <f t="shared" ref="J259:J322" si="24">IF(AND(I268="крайняя бедность",E268="Нет"), "нуждается в помощи", "не нуждается в помощи")</f>
        <v>не нуждается в помощи</v>
      </c>
    </row>
    <row r="260" spans="1:10" x14ac:dyDescent="0.2">
      <c r="A260" s="4">
        <v>2913</v>
      </c>
      <c r="B260" t="s">
        <v>1</v>
      </c>
      <c r="C260" s="1">
        <v>1500</v>
      </c>
      <c r="D260">
        <v>5</v>
      </c>
      <c r="E260" t="s">
        <v>11</v>
      </c>
      <c r="F260" s="6">
        <f t="shared" si="20"/>
        <v>300</v>
      </c>
      <c r="G260" s="7">
        <f t="shared" si="21"/>
        <v>26.548672566371678</v>
      </c>
      <c r="H260" s="7">
        <f t="shared" si="22"/>
        <v>0.88495575221238931</v>
      </c>
      <c r="I260" s="5" t="str">
        <f t="shared" si="23"/>
        <v>крайняя бедность</v>
      </c>
      <c r="J260" t="str">
        <f t="shared" si="24"/>
        <v>не нуждается в помощи</v>
      </c>
    </row>
    <row r="261" spans="1:10" x14ac:dyDescent="0.2">
      <c r="A261" s="4">
        <v>3049</v>
      </c>
      <c r="B261" t="s">
        <v>1</v>
      </c>
      <c r="C261" s="1">
        <v>6000</v>
      </c>
      <c r="D261">
        <v>5</v>
      </c>
      <c r="E261" t="s">
        <v>11</v>
      </c>
      <c r="F261" s="6">
        <f t="shared" si="20"/>
        <v>1200</v>
      </c>
      <c r="G261" s="7">
        <f t="shared" si="21"/>
        <v>106.19469026548671</v>
      </c>
      <c r="H261" s="7">
        <f t="shared" si="22"/>
        <v>3.5398230088495573</v>
      </c>
      <c r="I261" s="5" t="str">
        <f t="shared" si="23"/>
        <v>средний</v>
      </c>
      <c r="J261" t="str">
        <f t="shared" si="24"/>
        <v>не нуждается в помощи</v>
      </c>
    </row>
    <row r="262" spans="1:10" x14ac:dyDescent="0.2">
      <c r="A262" s="4">
        <v>3229</v>
      </c>
      <c r="B262" t="s">
        <v>1</v>
      </c>
      <c r="C262" s="1">
        <v>2700</v>
      </c>
      <c r="D262">
        <v>5</v>
      </c>
      <c r="E262" t="s">
        <v>10</v>
      </c>
      <c r="F262" s="6">
        <f t="shared" si="20"/>
        <v>540</v>
      </c>
      <c r="G262" s="7">
        <f t="shared" si="21"/>
        <v>47.787610619469021</v>
      </c>
      <c r="H262" s="7">
        <f t="shared" si="22"/>
        <v>1.5929203539823007</v>
      </c>
      <c r="I262" s="5" t="str">
        <f t="shared" si="23"/>
        <v>ниже среднего</v>
      </c>
      <c r="J262" t="str">
        <f t="shared" si="24"/>
        <v>не нуждается в помощи</v>
      </c>
    </row>
    <row r="263" spans="1:10" x14ac:dyDescent="0.2">
      <c r="A263" s="4">
        <v>1397</v>
      </c>
      <c r="B263" t="s">
        <v>4</v>
      </c>
      <c r="C263" s="1">
        <v>2000</v>
      </c>
      <c r="D263">
        <v>5</v>
      </c>
      <c r="E263" t="s">
        <v>10</v>
      </c>
      <c r="F263" s="6">
        <f t="shared" si="20"/>
        <v>400</v>
      </c>
      <c r="G263" s="7">
        <f t="shared" si="21"/>
        <v>35.398230088495573</v>
      </c>
      <c r="H263" s="7">
        <f t="shared" si="22"/>
        <v>1.1799410029498525</v>
      </c>
      <c r="I263" s="5" t="str">
        <f t="shared" si="23"/>
        <v>бедность</v>
      </c>
      <c r="J263" t="str">
        <f t="shared" si="24"/>
        <v>не нуждается в помощи</v>
      </c>
    </row>
    <row r="264" spans="1:10" x14ac:dyDescent="0.2">
      <c r="A264" s="4">
        <v>1967</v>
      </c>
      <c r="B264" t="s">
        <v>3</v>
      </c>
      <c r="C264" s="1">
        <v>3500</v>
      </c>
      <c r="D264">
        <v>5</v>
      </c>
      <c r="E264" t="s">
        <v>11</v>
      </c>
      <c r="F264" s="6">
        <f t="shared" si="20"/>
        <v>700</v>
      </c>
      <c r="G264" s="7">
        <f t="shared" si="21"/>
        <v>61.946902654867252</v>
      </c>
      <c r="H264" s="7">
        <f t="shared" si="22"/>
        <v>2.0648967551622417</v>
      </c>
      <c r="I264" s="5" t="str">
        <f t="shared" si="23"/>
        <v>ниже среднего</v>
      </c>
      <c r="J264" t="str">
        <f t="shared" si="24"/>
        <v>не нуждается в помощи</v>
      </c>
    </row>
    <row r="265" spans="1:10" x14ac:dyDescent="0.2">
      <c r="A265" s="4">
        <v>2558</v>
      </c>
      <c r="B265" t="s">
        <v>0</v>
      </c>
      <c r="C265" s="1">
        <v>2000</v>
      </c>
      <c r="D265">
        <v>5</v>
      </c>
      <c r="E265" t="s">
        <v>10</v>
      </c>
      <c r="F265" s="6">
        <f t="shared" si="20"/>
        <v>400</v>
      </c>
      <c r="G265" s="7">
        <f t="shared" si="21"/>
        <v>35.398230088495573</v>
      </c>
      <c r="H265" s="7">
        <f t="shared" si="22"/>
        <v>1.1799410029498525</v>
      </c>
      <c r="I265" s="5" t="str">
        <f t="shared" si="23"/>
        <v>бедность</v>
      </c>
      <c r="J265" t="str">
        <f t="shared" si="24"/>
        <v>не нуждается в помощи</v>
      </c>
    </row>
    <row r="266" spans="1:10" x14ac:dyDescent="0.2">
      <c r="A266" s="4">
        <v>2646</v>
      </c>
      <c r="B266" t="s">
        <v>2</v>
      </c>
      <c r="C266" s="1">
        <v>2000</v>
      </c>
      <c r="D266">
        <v>5</v>
      </c>
      <c r="E266" t="s">
        <v>10</v>
      </c>
      <c r="F266" s="6">
        <f t="shared" si="20"/>
        <v>400</v>
      </c>
      <c r="G266" s="7">
        <f t="shared" si="21"/>
        <v>35.398230088495573</v>
      </c>
      <c r="H266" s="7">
        <f t="shared" si="22"/>
        <v>1.1799410029498525</v>
      </c>
      <c r="I266" s="5" t="str">
        <f t="shared" si="23"/>
        <v>бедность</v>
      </c>
      <c r="J266" t="str">
        <f t="shared" si="24"/>
        <v>не нуждается в помощи</v>
      </c>
    </row>
    <row r="267" spans="1:10" x14ac:dyDescent="0.2">
      <c r="A267" s="4">
        <v>2755</v>
      </c>
      <c r="B267" t="s">
        <v>2</v>
      </c>
      <c r="C267" s="1">
        <v>8000</v>
      </c>
      <c r="D267">
        <v>5</v>
      </c>
      <c r="E267" t="s">
        <v>10</v>
      </c>
      <c r="F267" s="6">
        <f t="shared" si="20"/>
        <v>1600</v>
      </c>
      <c r="G267" s="7">
        <f t="shared" si="21"/>
        <v>141.59292035398229</v>
      </c>
      <c r="H267" s="7">
        <f t="shared" si="22"/>
        <v>4.71976401179941</v>
      </c>
      <c r="I267" s="5" t="str">
        <f t="shared" si="23"/>
        <v>в достатке</v>
      </c>
      <c r="J267" t="str">
        <f t="shared" si="24"/>
        <v>не нуждается в помощи</v>
      </c>
    </row>
    <row r="268" spans="1:10" x14ac:dyDescent="0.2">
      <c r="A268" s="4">
        <v>1980</v>
      </c>
      <c r="B268" t="s">
        <v>3</v>
      </c>
      <c r="C268" s="1">
        <v>5000</v>
      </c>
      <c r="D268">
        <v>5</v>
      </c>
      <c r="E268" t="s">
        <v>10</v>
      </c>
      <c r="F268" s="6">
        <f t="shared" si="20"/>
        <v>1000</v>
      </c>
      <c r="G268" s="7">
        <f t="shared" si="21"/>
        <v>88.495575221238937</v>
      </c>
      <c r="H268" s="7">
        <f t="shared" si="22"/>
        <v>2.9498525073746311</v>
      </c>
      <c r="I268" s="5" t="str">
        <f t="shared" si="23"/>
        <v>средний</v>
      </c>
      <c r="J268" t="str">
        <f t="shared" si="24"/>
        <v>не нуждается в помощи</v>
      </c>
    </row>
    <row r="269" spans="1:10" x14ac:dyDescent="0.2">
      <c r="A269" s="4">
        <v>2653</v>
      </c>
      <c r="B269" t="s">
        <v>2</v>
      </c>
      <c r="C269" s="1">
        <v>35000</v>
      </c>
      <c r="D269">
        <v>5</v>
      </c>
      <c r="E269" t="s">
        <v>11</v>
      </c>
      <c r="F269" s="6">
        <f t="shared" si="20"/>
        <v>7000</v>
      </c>
      <c r="G269" s="7">
        <f t="shared" si="21"/>
        <v>619.46902654867256</v>
      </c>
      <c r="H269" s="7">
        <f t="shared" si="22"/>
        <v>20.64896755162242</v>
      </c>
      <c r="I269" s="5" t="str">
        <f t="shared" si="23"/>
        <v>в достатке</v>
      </c>
      <c r="J269" t="str">
        <f t="shared" si="24"/>
        <v>не нуждается в помощи</v>
      </c>
    </row>
    <row r="270" spans="1:10" x14ac:dyDescent="0.2">
      <c r="A270" s="4">
        <v>2108</v>
      </c>
      <c r="B270" t="s">
        <v>3</v>
      </c>
      <c r="C270" s="1">
        <v>7500</v>
      </c>
      <c r="D270">
        <v>5</v>
      </c>
      <c r="E270" t="s">
        <v>11</v>
      </c>
      <c r="F270" s="6">
        <f t="shared" si="20"/>
        <v>1500</v>
      </c>
      <c r="G270" s="7">
        <f t="shared" si="21"/>
        <v>132.74336283185841</v>
      </c>
      <c r="H270" s="7">
        <f t="shared" si="22"/>
        <v>4.4247787610619467</v>
      </c>
      <c r="I270" s="5" t="str">
        <f t="shared" si="23"/>
        <v>в достатке</v>
      </c>
      <c r="J270" t="str">
        <f t="shared" si="24"/>
        <v>не нуждается в помощи</v>
      </c>
    </row>
    <row r="271" spans="1:10" x14ac:dyDescent="0.2">
      <c r="A271" s="4">
        <v>2473</v>
      </c>
      <c r="B271" t="s">
        <v>0</v>
      </c>
      <c r="C271" s="1">
        <v>3000</v>
      </c>
      <c r="D271">
        <v>5</v>
      </c>
      <c r="E271" t="s">
        <v>10</v>
      </c>
      <c r="F271" s="6">
        <f t="shared" si="20"/>
        <v>600</v>
      </c>
      <c r="G271" s="7">
        <f t="shared" si="21"/>
        <v>53.097345132743357</v>
      </c>
      <c r="H271" s="7">
        <f t="shared" si="22"/>
        <v>1.7699115044247786</v>
      </c>
      <c r="I271" s="5" t="str">
        <f t="shared" si="23"/>
        <v>ниже среднего</v>
      </c>
      <c r="J271" t="str">
        <f t="shared" si="24"/>
        <v>не нуждается в помощи</v>
      </c>
    </row>
    <row r="272" spans="1:10" x14ac:dyDescent="0.2">
      <c r="A272" s="4">
        <v>1954</v>
      </c>
      <c r="B272" t="s">
        <v>3</v>
      </c>
      <c r="C272" s="1">
        <v>7000</v>
      </c>
      <c r="D272">
        <v>5</v>
      </c>
      <c r="E272" t="s">
        <v>11</v>
      </c>
      <c r="F272" s="6">
        <f t="shared" si="20"/>
        <v>1400</v>
      </c>
      <c r="G272" s="7">
        <f t="shared" si="21"/>
        <v>123.8938053097345</v>
      </c>
      <c r="H272" s="7">
        <f t="shared" si="22"/>
        <v>4.1297935103244834</v>
      </c>
      <c r="I272" s="5" t="str">
        <f t="shared" si="23"/>
        <v>в достатке</v>
      </c>
      <c r="J272" t="str">
        <f t="shared" si="24"/>
        <v>не нуждается в помощи</v>
      </c>
    </row>
    <row r="273" spans="1:10" x14ac:dyDescent="0.2">
      <c r="A273" s="4">
        <v>2211</v>
      </c>
      <c r="B273" t="s">
        <v>3</v>
      </c>
      <c r="C273" s="1">
        <v>8000</v>
      </c>
      <c r="D273">
        <v>5</v>
      </c>
      <c r="E273" t="s">
        <v>11</v>
      </c>
      <c r="F273" s="6">
        <f t="shared" si="20"/>
        <v>1600</v>
      </c>
      <c r="G273" s="7">
        <f t="shared" si="21"/>
        <v>141.59292035398229</v>
      </c>
      <c r="H273" s="7">
        <f t="shared" si="22"/>
        <v>4.71976401179941</v>
      </c>
      <c r="I273" s="5" t="str">
        <f t="shared" si="23"/>
        <v>в достатке</v>
      </c>
      <c r="J273" t="str">
        <f t="shared" si="24"/>
        <v>нуждается в помощи</v>
      </c>
    </row>
    <row r="274" spans="1:10" x14ac:dyDescent="0.2">
      <c r="A274" s="4">
        <v>2882</v>
      </c>
      <c r="B274" t="s">
        <v>1</v>
      </c>
      <c r="C274" s="1">
        <v>4500</v>
      </c>
      <c r="D274">
        <v>5</v>
      </c>
      <c r="E274" t="s">
        <v>11</v>
      </c>
      <c r="F274" s="6">
        <f t="shared" si="20"/>
        <v>900</v>
      </c>
      <c r="G274" s="7">
        <f t="shared" si="21"/>
        <v>79.646017699115035</v>
      </c>
      <c r="H274" s="7">
        <f t="shared" si="22"/>
        <v>2.6548672566371678</v>
      </c>
      <c r="I274" s="5" t="str">
        <f t="shared" si="23"/>
        <v>средний</v>
      </c>
      <c r="J274" t="str">
        <f t="shared" si="24"/>
        <v>не нуждается в помощи</v>
      </c>
    </row>
    <row r="275" spans="1:10" x14ac:dyDescent="0.2">
      <c r="A275" s="4">
        <v>1836</v>
      </c>
      <c r="B275" t="s">
        <v>3</v>
      </c>
      <c r="C275" s="1">
        <v>4500</v>
      </c>
      <c r="D275">
        <v>5</v>
      </c>
      <c r="E275" t="s">
        <v>11</v>
      </c>
      <c r="F275" s="6">
        <f t="shared" si="20"/>
        <v>900</v>
      </c>
      <c r="G275" s="7">
        <f t="shared" si="21"/>
        <v>79.646017699115035</v>
      </c>
      <c r="H275" s="7">
        <f t="shared" si="22"/>
        <v>2.6548672566371678</v>
      </c>
      <c r="I275" s="5" t="str">
        <f t="shared" si="23"/>
        <v>средний</v>
      </c>
      <c r="J275" t="str">
        <f t="shared" si="24"/>
        <v>не нуждается в помощи</v>
      </c>
    </row>
    <row r="276" spans="1:10" x14ac:dyDescent="0.2">
      <c r="A276" s="4">
        <v>2776</v>
      </c>
      <c r="B276" t="s">
        <v>2</v>
      </c>
      <c r="C276" s="1">
        <v>9000</v>
      </c>
      <c r="D276">
        <v>5</v>
      </c>
      <c r="E276" t="s">
        <v>11</v>
      </c>
      <c r="F276" s="6">
        <f t="shared" si="20"/>
        <v>1800</v>
      </c>
      <c r="G276" s="7">
        <f t="shared" si="21"/>
        <v>159.29203539823007</v>
      </c>
      <c r="H276" s="7">
        <f t="shared" si="22"/>
        <v>5.3097345132743357</v>
      </c>
      <c r="I276" s="5" t="str">
        <f t="shared" si="23"/>
        <v>в достатке</v>
      </c>
      <c r="J276" t="str">
        <f t="shared" si="24"/>
        <v>нуждается в помощи</v>
      </c>
    </row>
    <row r="277" spans="1:10" x14ac:dyDescent="0.2">
      <c r="A277" s="4">
        <v>1805</v>
      </c>
      <c r="B277" t="s">
        <v>3</v>
      </c>
      <c r="C277" s="1">
        <v>19755</v>
      </c>
      <c r="D277">
        <v>5</v>
      </c>
      <c r="E277" t="s">
        <v>10</v>
      </c>
      <c r="F277" s="6">
        <f t="shared" si="20"/>
        <v>3951</v>
      </c>
      <c r="G277" s="7">
        <f t="shared" si="21"/>
        <v>349.64601769911502</v>
      </c>
      <c r="H277" s="7">
        <f t="shared" si="22"/>
        <v>11.654867256637166</v>
      </c>
      <c r="I277" s="5" t="str">
        <f t="shared" si="23"/>
        <v>в достатке</v>
      </c>
      <c r="J277" t="str">
        <f t="shared" si="24"/>
        <v>не нуждается в помощи</v>
      </c>
    </row>
    <row r="278" spans="1:10" x14ac:dyDescent="0.2">
      <c r="A278" s="4">
        <v>3097</v>
      </c>
      <c r="B278" t="s">
        <v>1</v>
      </c>
      <c r="C278">
        <v>1010</v>
      </c>
      <c r="D278">
        <v>4</v>
      </c>
      <c r="E278" t="s">
        <v>11</v>
      </c>
      <c r="F278" s="6">
        <f t="shared" si="20"/>
        <v>252.5</v>
      </c>
      <c r="G278" s="7">
        <f t="shared" si="21"/>
        <v>22.345132743362832</v>
      </c>
      <c r="H278" s="7">
        <f t="shared" si="22"/>
        <v>0.74483775811209429</v>
      </c>
      <c r="I278" s="5" t="str">
        <f t="shared" si="23"/>
        <v>крайняя бедность</v>
      </c>
      <c r="J278" t="str">
        <f t="shared" si="24"/>
        <v>нуждается в помощи</v>
      </c>
    </row>
    <row r="279" spans="1:10" x14ac:dyDescent="0.2">
      <c r="A279" s="4">
        <v>2927</v>
      </c>
      <c r="B279" t="s">
        <v>1</v>
      </c>
      <c r="C279">
        <v>80</v>
      </c>
      <c r="D279">
        <v>4</v>
      </c>
      <c r="E279" t="s">
        <v>11</v>
      </c>
      <c r="F279" s="6">
        <f t="shared" si="20"/>
        <v>20</v>
      </c>
      <c r="G279" s="7">
        <f t="shared" si="21"/>
        <v>1.7699115044247786</v>
      </c>
      <c r="H279" s="7">
        <f t="shared" si="22"/>
        <v>5.8997050147492618E-2</v>
      </c>
      <c r="I279" s="5" t="str">
        <f t="shared" si="23"/>
        <v>крайняя бедность</v>
      </c>
      <c r="J279" t="str">
        <f t="shared" si="24"/>
        <v>не нуждается в помощи</v>
      </c>
    </row>
    <row r="280" spans="1:10" x14ac:dyDescent="0.2">
      <c r="A280" s="4">
        <v>2338</v>
      </c>
      <c r="B280" t="s">
        <v>0</v>
      </c>
      <c r="C280">
        <v>600</v>
      </c>
      <c r="D280">
        <v>4</v>
      </c>
      <c r="E280" t="s">
        <v>11</v>
      </c>
      <c r="F280" s="6">
        <f t="shared" si="20"/>
        <v>150</v>
      </c>
      <c r="G280" s="7">
        <f t="shared" si="21"/>
        <v>13.274336283185839</v>
      </c>
      <c r="H280" s="7">
        <f t="shared" si="22"/>
        <v>0.44247787610619466</v>
      </c>
      <c r="I280" s="5" t="str">
        <f t="shared" si="23"/>
        <v>крайняя бедность</v>
      </c>
      <c r="J280" t="str">
        <f t="shared" si="24"/>
        <v>не нуждается в помощи</v>
      </c>
    </row>
    <row r="281" spans="1:10" x14ac:dyDescent="0.2">
      <c r="A281" s="4">
        <v>1901</v>
      </c>
      <c r="B281" t="s">
        <v>3</v>
      </c>
      <c r="C281">
        <v>3315</v>
      </c>
      <c r="D281">
        <v>4</v>
      </c>
      <c r="E281" t="s">
        <v>11</v>
      </c>
      <c r="F281" s="6">
        <f t="shared" si="20"/>
        <v>828.75</v>
      </c>
      <c r="G281" s="7">
        <f t="shared" si="21"/>
        <v>73.340707964601762</v>
      </c>
      <c r="H281" s="7">
        <f t="shared" si="22"/>
        <v>2.4446902654867255</v>
      </c>
      <c r="I281" s="5" t="str">
        <f t="shared" si="23"/>
        <v>ниже среднего</v>
      </c>
      <c r="J281" t="str">
        <f t="shared" si="24"/>
        <v>не нуждается в помощи</v>
      </c>
    </row>
    <row r="282" spans="1:10" x14ac:dyDescent="0.2">
      <c r="A282" s="4">
        <v>2711</v>
      </c>
      <c r="B282" t="s">
        <v>2</v>
      </c>
      <c r="C282">
        <v>120</v>
      </c>
      <c r="D282">
        <v>4</v>
      </c>
      <c r="E282" t="s">
        <v>10</v>
      </c>
      <c r="F282" s="6">
        <f t="shared" si="20"/>
        <v>30</v>
      </c>
      <c r="G282" s="7">
        <f t="shared" si="21"/>
        <v>2.6548672566371678</v>
      </c>
      <c r="H282" s="7">
        <f t="shared" si="22"/>
        <v>8.8495575221238937E-2</v>
      </c>
      <c r="I282" s="5" t="str">
        <f t="shared" si="23"/>
        <v>крайняя бедность</v>
      </c>
      <c r="J282" t="str">
        <f t="shared" si="24"/>
        <v>не нуждается в помощи</v>
      </c>
    </row>
    <row r="283" spans="1:10" x14ac:dyDescent="0.2">
      <c r="A283" s="4">
        <v>2378</v>
      </c>
      <c r="B283" t="s">
        <v>0</v>
      </c>
      <c r="C283">
        <v>2200</v>
      </c>
      <c r="D283">
        <v>4</v>
      </c>
      <c r="E283" t="s">
        <v>11</v>
      </c>
      <c r="F283" s="6">
        <f t="shared" si="20"/>
        <v>550</v>
      </c>
      <c r="G283" s="7">
        <f t="shared" si="21"/>
        <v>48.672566371681413</v>
      </c>
      <c r="H283" s="7">
        <f t="shared" si="22"/>
        <v>1.622418879056047</v>
      </c>
      <c r="I283" s="5" t="str">
        <f t="shared" si="23"/>
        <v>ниже среднего</v>
      </c>
      <c r="J283" t="str">
        <f t="shared" si="24"/>
        <v>не нуждается в помощи</v>
      </c>
    </row>
    <row r="284" spans="1:10" x14ac:dyDescent="0.2">
      <c r="A284" s="4">
        <v>2434</v>
      </c>
      <c r="B284" t="s">
        <v>0</v>
      </c>
      <c r="C284">
        <v>600</v>
      </c>
      <c r="D284">
        <v>4</v>
      </c>
      <c r="E284" t="s">
        <v>11</v>
      </c>
      <c r="F284" s="6">
        <f t="shared" si="20"/>
        <v>150</v>
      </c>
      <c r="G284" s="7">
        <f t="shared" si="21"/>
        <v>13.274336283185839</v>
      </c>
      <c r="H284" s="7">
        <f t="shared" si="22"/>
        <v>0.44247787610619466</v>
      </c>
      <c r="I284" s="5" t="str">
        <f t="shared" si="23"/>
        <v>крайняя бедность</v>
      </c>
      <c r="J284" t="str">
        <f t="shared" si="24"/>
        <v>нуждается в помощи</v>
      </c>
    </row>
    <row r="285" spans="1:10" x14ac:dyDescent="0.2">
      <c r="A285" s="4">
        <v>1665</v>
      </c>
      <c r="B285" t="s">
        <v>5</v>
      </c>
      <c r="C285">
        <v>250</v>
      </c>
      <c r="D285">
        <v>4</v>
      </c>
      <c r="E285" t="s">
        <v>10</v>
      </c>
      <c r="F285" s="6">
        <f t="shared" si="20"/>
        <v>62.5</v>
      </c>
      <c r="G285" s="7">
        <f t="shared" si="21"/>
        <v>5.5309734513274336</v>
      </c>
      <c r="H285" s="7">
        <f t="shared" si="22"/>
        <v>0.18436578171091444</v>
      </c>
      <c r="I285" s="5" t="str">
        <f t="shared" si="23"/>
        <v>крайняя бедность</v>
      </c>
      <c r="J285" t="str">
        <f t="shared" si="24"/>
        <v>не нуждается в помощи</v>
      </c>
    </row>
    <row r="286" spans="1:10" x14ac:dyDescent="0.2">
      <c r="A286" s="4">
        <v>2185</v>
      </c>
      <c r="B286" t="s">
        <v>3</v>
      </c>
      <c r="C286">
        <v>250</v>
      </c>
      <c r="D286">
        <v>4</v>
      </c>
      <c r="E286" t="s">
        <v>11</v>
      </c>
      <c r="F286" s="6">
        <f t="shared" si="20"/>
        <v>62.5</v>
      </c>
      <c r="G286" s="7">
        <f t="shared" si="21"/>
        <v>5.5309734513274336</v>
      </c>
      <c r="H286" s="7">
        <f t="shared" si="22"/>
        <v>0.18436578171091444</v>
      </c>
      <c r="I286" s="5" t="str">
        <f t="shared" si="23"/>
        <v>крайняя бедность</v>
      </c>
      <c r="J286" t="str">
        <f t="shared" si="24"/>
        <v>не нуждается в помощи</v>
      </c>
    </row>
    <row r="287" spans="1:10" x14ac:dyDescent="0.2">
      <c r="A287" s="4">
        <v>2633</v>
      </c>
      <c r="B287" t="s">
        <v>0</v>
      </c>
      <c r="C287">
        <v>861</v>
      </c>
      <c r="D287">
        <v>4</v>
      </c>
      <c r="E287" t="s">
        <v>10</v>
      </c>
      <c r="F287" s="6">
        <f t="shared" si="20"/>
        <v>215.25</v>
      </c>
      <c r="G287" s="7">
        <f t="shared" si="21"/>
        <v>19.048672566371682</v>
      </c>
      <c r="H287" s="7">
        <f t="shared" si="22"/>
        <v>0.63495575221238931</v>
      </c>
      <c r="I287" s="5" t="str">
        <f t="shared" si="23"/>
        <v>крайняя бедность</v>
      </c>
      <c r="J287" t="str">
        <f t="shared" si="24"/>
        <v>не нуждается в помощи</v>
      </c>
    </row>
    <row r="288" spans="1:10" x14ac:dyDescent="0.2">
      <c r="A288" s="4">
        <v>3282</v>
      </c>
      <c r="B288" t="s">
        <v>1</v>
      </c>
      <c r="C288">
        <v>997</v>
      </c>
      <c r="D288">
        <v>4</v>
      </c>
      <c r="E288" t="s">
        <v>11</v>
      </c>
      <c r="F288" s="6">
        <f t="shared" si="20"/>
        <v>249.25</v>
      </c>
      <c r="G288" s="7">
        <f t="shared" si="21"/>
        <v>22.057522123893804</v>
      </c>
      <c r="H288" s="7">
        <f t="shared" si="22"/>
        <v>0.73525073746312686</v>
      </c>
      <c r="I288" s="5" t="str">
        <f t="shared" si="23"/>
        <v>крайняя бедность</v>
      </c>
      <c r="J288" t="str">
        <f t="shared" si="24"/>
        <v>не нуждается в помощи</v>
      </c>
    </row>
    <row r="289" spans="1:10" x14ac:dyDescent="0.2">
      <c r="A289" s="4">
        <v>2263</v>
      </c>
      <c r="B289" t="s">
        <v>3</v>
      </c>
      <c r="C289">
        <v>300</v>
      </c>
      <c r="D289">
        <v>4</v>
      </c>
      <c r="E289" t="s">
        <v>11</v>
      </c>
      <c r="F289" s="6">
        <f t="shared" si="20"/>
        <v>75</v>
      </c>
      <c r="G289" s="7">
        <f t="shared" si="21"/>
        <v>6.6371681415929196</v>
      </c>
      <c r="H289" s="7">
        <f t="shared" si="22"/>
        <v>0.22123893805309733</v>
      </c>
      <c r="I289" s="5" t="str">
        <f t="shared" si="23"/>
        <v>крайняя бедность</v>
      </c>
      <c r="J289" t="str">
        <f t="shared" si="24"/>
        <v>не нуждается в помощи</v>
      </c>
    </row>
    <row r="290" spans="1:10" x14ac:dyDescent="0.2">
      <c r="A290" s="4">
        <v>1567</v>
      </c>
      <c r="B290" t="s">
        <v>5</v>
      </c>
      <c r="C290">
        <v>1300</v>
      </c>
      <c r="D290">
        <v>4</v>
      </c>
      <c r="E290" t="s">
        <v>11</v>
      </c>
      <c r="F290" s="6">
        <f t="shared" si="20"/>
        <v>325</v>
      </c>
      <c r="G290" s="7">
        <f t="shared" si="21"/>
        <v>28.761061946902654</v>
      </c>
      <c r="H290" s="7">
        <f t="shared" si="22"/>
        <v>0.95870206489675514</v>
      </c>
      <c r="I290" s="5" t="str">
        <f t="shared" si="23"/>
        <v>бедность</v>
      </c>
      <c r="J290" t="str">
        <f t="shared" si="24"/>
        <v>нуждается в помощи</v>
      </c>
    </row>
    <row r="291" spans="1:10" x14ac:dyDescent="0.2">
      <c r="A291" s="4">
        <v>1983</v>
      </c>
      <c r="B291" t="s">
        <v>3</v>
      </c>
      <c r="C291">
        <v>1000</v>
      </c>
      <c r="D291">
        <v>4</v>
      </c>
      <c r="E291" t="s">
        <v>11</v>
      </c>
      <c r="F291" s="6">
        <f t="shared" si="20"/>
        <v>250</v>
      </c>
      <c r="G291" s="7">
        <f t="shared" si="21"/>
        <v>22.123893805309734</v>
      </c>
      <c r="H291" s="7">
        <f t="shared" si="22"/>
        <v>0.73746312684365778</v>
      </c>
      <c r="I291" s="5" t="str">
        <f t="shared" si="23"/>
        <v>крайняя бедность</v>
      </c>
      <c r="J291" t="str">
        <f t="shared" si="24"/>
        <v>нуждается в помощи</v>
      </c>
    </row>
    <row r="292" spans="1:10" x14ac:dyDescent="0.2">
      <c r="A292" s="4">
        <v>2288</v>
      </c>
      <c r="B292" t="s">
        <v>3</v>
      </c>
      <c r="C292">
        <v>900</v>
      </c>
      <c r="D292">
        <v>4</v>
      </c>
      <c r="E292" t="s">
        <v>11</v>
      </c>
      <c r="F292" s="6">
        <f t="shared" si="20"/>
        <v>225</v>
      </c>
      <c r="G292" s="7">
        <f t="shared" si="21"/>
        <v>19.911504424778759</v>
      </c>
      <c r="H292" s="7">
        <f t="shared" si="22"/>
        <v>0.66371681415929196</v>
      </c>
      <c r="I292" s="5" t="str">
        <f t="shared" si="23"/>
        <v>крайняя бедность</v>
      </c>
      <c r="J292" t="str">
        <f t="shared" si="24"/>
        <v>нуждается в помощи</v>
      </c>
    </row>
    <row r="293" spans="1:10" x14ac:dyDescent="0.2">
      <c r="A293" s="4">
        <v>5124</v>
      </c>
      <c r="B293" t="s">
        <v>4</v>
      </c>
      <c r="C293">
        <v>800</v>
      </c>
      <c r="D293">
        <v>4</v>
      </c>
      <c r="E293" t="s">
        <v>10</v>
      </c>
      <c r="F293" s="6">
        <f t="shared" si="20"/>
        <v>200</v>
      </c>
      <c r="G293" s="7">
        <f t="shared" si="21"/>
        <v>17.699115044247787</v>
      </c>
      <c r="H293" s="7">
        <f t="shared" si="22"/>
        <v>0.58997050147492625</v>
      </c>
      <c r="I293" s="5" t="str">
        <f t="shared" si="23"/>
        <v>крайняя бедность</v>
      </c>
      <c r="J293" t="str">
        <f t="shared" si="24"/>
        <v>не нуждается в помощи</v>
      </c>
    </row>
    <row r="294" spans="1:10" x14ac:dyDescent="0.2">
      <c r="A294" s="4">
        <v>6163</v>
      </c>
      <c r="B294" t="s">
        <v>1</v>
      </c>
      <c r="C294">
        <v>1500</v>
      </c>
      <c r="D294">
        <v>4</v>
      </c>
      <c r="E294" t="s">
        <v>10</v>
      </c>
      <c r="F294" s="6">
        <f t="shared" si="20"/>
        <v>375</v>
      </c>
      <c r="G294" s="7">
        <f t="shared" si="21"/>
        <v>33.185840707964601</v>
      </c>
      <c r="H294" s="7">
        <f t="shared" si="22"/>
        <v>1.1061946902654867</v>
      </c>
      <c r="I294" s="5" t="str">
        <f t="shared" si="23"/>
        <v>бедность</v>
      </c>
      <c r="J294" t="str">
        <f t="shared" si="24"/>
        <v>не нуждается в помощи</v>
      </c>
    </row>
    <row r="295" spans="1:10" x14ac:dyDescent="0.2">
      <c r="A295" s="4">
        <v>2609</v>
      </c>
      <c r="B295" t="s">
        <v>0</v>
      </c>
      <c r="C295">
        <v>1820</v>
      </c>
      <c r="D295">
        <v>4</v>
      </c>
      <c r="E295" t="s">
        <v>11</v>
      </c>
      <c r="F295" s="6">
        <f t="shared" si="20"/>
        <v>455</v>
      </c>
      <c r="G295" s="7">
        <f t="shared" si="21"/>
        <v>40.265486725663713</v>
      </c>
      <c r="H295" s="7">
        <f t="shared" si="22"/>
        <v>1.3421828908554572</v>
      </c>
      <c r="I295" s="5" t="str">
        <f t="shared" si="23"/>
        <v>ниже среднего</v>
      </c>
      <c r="J295" t="str">
        <f t="shared" si="24"/>
        <v>не нуждается в помощи</v>
      </c>
    </row>
    <row r="296" spans="1:10" x14ac:dyDescent="0.2">
      <c r="A296" s="4">
        <v>2157</v>
      </c>
      <c r="B296" t="s">
        <v>3</v>
      </c>
      <c r="C296">
        <v>350</v>
      </c>
      <c r="D296">
        <v>4</v>
      </c>
      <c r="E296" t="s">
        <v>11</v>
      </c>
      <c r="F296" s="6">
        <f t="shared" si="20"/>
        <v>87.5</v>
      </c>
      <c r="G296" s="7">
        <f t="shared" si="21"/>
        <v>7.7433628318584065</v>
      </c>
      <c r="H296" s="7">
        <f t="shared" si="22"/>
        <v>0.25811209439528021</v>
      </c>
      <c r="I296" s="5" t="str">
        <f t="shared" si="23"/>
        <v>крайняя бедность</v>
      </c>
      <c r="J296" t="str">
        <f t="shared" si="24"/>
        <v>не нуждается в помощи</v>
      </c>
    </row>
    <row r="297" spans="1:10" x14ac:dyDescent="0.2">
      <c r="A297" s="4">
        <v>2623</v>
      </c>
      <c r="B297" t="s">
        <v>0</v>
      </c>
      <c r="C297">
        <v>1861</v>
      </c>
      <c r="D297">
        <v>4</v>
      </c>
      <c r="E297" t="s">
        <v>10</v>
      </c>
      <c r="F297" s="6">
        <f t="shared" si="20"/>
        <v>465.25</v>
      </c>
      <c r="G297" s="7">
        <f t="shared" si="21"/>
        <v>41.172566371681413</v>
      </c>
      <c r="H297" s="7">
        <f t="shared" si="22"/>
        <v>1.372418879056047</v>
      </c>
      <c r="I297" s="5" t="str">
        <f t="shared" si="23"/>
        <v>ниже среднего</v>
      </c>
      <c r="J297" t="str">
        <f t="shared" si="24"/>
        <v>не нуждается в помощи</v>
      </c>
    </row>
    <row r="298" spans="1:10" x14ac:dyDescent="0.2">
      <c r="A298" s="4">
        <v>3101</v>
      </c>
      <c r="B298" t="s">
        <v>1</v>
      </c>
      <c r="C298">
        <v>350</v>
      </c>
      <c r="D298">
        <v>4</v>
      </c>
      <c r="E298" t="s">
        <v>11</v>
      </c>
      <c r="F298" s="6">
        <f t="shared" si="20"/>
        <v>87.5</v>
      </c>
      <c r="G298" s="7">
        <f t="shared" si="21"/>
        <v>7.7433628318584065</v>
      </c>
      <c r="H298" s="7">
        <f t="shared" si="22"/>
        <v>0.25811209439528021</v>
      </c>
      <c r="I298" s="5" t="str">
        <f t="shared" si="23"/>
        <v>крайняя бедность</v>
      </c>
      <c r="J298" t="str">
        <f t="shared" si="24"/>
        <v>не нуждается в помощи</v>
      </c>
    </row>
    <row r="299" spans="1:10" x14ac:dyDescent="0.2">
      <c r="A299" s="4">
        <v>2032</v>
      </c>
      <c r="B299" t="s">
        <v>3</v>
      </c>
      <c r="C299">
        <v>353</v>
      </c>
      <c r="D299">
        <v>4</v>
      </c>
      <c r="E299" t="s">
        <v>10</v>
      </c>
      <c r="F299" s="6">
        <f t="shared" si="20"/>
        <v>88.25</v>
      </c>
      <c r="G299" s="7">
        <f t="shared" si="21"/>
        <v>7.8097345132743357</v>
      </c>
      <c r="H299" s="7">
        <f t="shared" si="22"/>
        <v>0.26032448377581119</v>
      </c>
      <c r="I299" s="5" t="str">
        <f t="shared" si="23"/>
        <v>крайняя бедность</v>
      </c>
      <c r="J299" t="str">
        <f t="shared" si="24"/>
        <v>не нуждается в помощи</v>
      </c>
    </row>
    <row r="300" spans="1:10" x14ac:dyDescent="0.2">
      <c r="A300" s="4">
        <v>3244</v>
      </c>
      <c r="B300" t="s">
        <v>1</v>
      </c>
      <c r="C300">
        <v>710</v>
      </c>
      <c r="D300">
        <v>4</v>
      </c>
      <c r="E300" t="s">
        <v>10</v>
      </c>
      <c r="F300" s="6">
        <f t="shared" si="20"/>
        <v>177.5</v>
      </c>
      <c r="G300" s="7">
        <f t="shared" si="21"/>
        <v>15.707964601769911</v>
      </c>
      <c r="H300" s="7">
        <f t="shared" si="22"/>
        <v>0.52359882005899705</v>
      </c>
      <c r="I300" s="5" t="str">
        <f t="shared" si="23"/>
        <v>крайняя бедность</v>
      </c>
      <c r="J300" t="str">
        <f t="shared" si="24"/>
        <v>не нуждается в помощи</v>
      </c>
    </row>
    <row r="301" spans="1:10" x14ac:dyDescent="0.2">
      <c r="A301" s="4">
        <v>1292</v>
      </c>
      <c r="B301" t="s">
        <v>4</v>
      </c>
      <c r="C301">
        <v>1200</v>
      </c>
      <c r="D301">
        <v>4</v>
      </c>
      <c r="E301" t="s">
        <v>10</v>
      </c>
      <c r="F301" s="6">
        <f t="shared" si="20"/>
        <v>300</v>
      </c>
      <c r="G301" s="7">
        <f t="shared" si="21"/>
        <v>26.548672566371678</v>
      </c>
      <c r="H301" s="7">
        <f t="shared" si="22"/>
        <v>0.88495575221238931</v>
      </c>
      <c r="I301" s="5" t="str">
        <f t="shared" si="23"/>
        <v>крайняя бедность</v>
      </c>
      <c r="J301" t="str">
        <f t="shared" si="24"/>
        <v>не нуждается в помощи</v>
      </c>
    </row>
    <row r="302" spans="1:10" x14ac:dyDescent="0.2">
      <c r="A302" s="4">
        <v>1560</v>
      </c>
      <c r="B302" t="s">
        <v>5</v>
      </c>
      <c r="C302">
        <v>1300</v>
      </c>
      <c r="D302">
        <v>4</v>
      </c>
      <c r="E302" t="s">
        <v>11</v>
      </c>
      <c r="F302" s="6">
        <f t="shared" si="20"/>
        <v>325</v>
      </c>
      <c r="G302" s="7">
        <f t="shared" si="21"/>
        <v>28.761061946902654</v>
      </c>
      <c r="H302" s="7">
        <f t="shared" si="22"/>
        <v>0.95870206489675514</v>
      </c>
      <c r="I302" s="5" t="str">
        <f t="shared" si="23"/>
        <v>бедность</v>
      </c>
      <c r="J302" t="str">
        <f t="shared" si="24"/>
        <v>нуждается в помощи</v>
      </c>
    </row>
    <row r="303" spans="1:10" x14ac:dyDescent="0.2">
      <c r="A303" s="4">
        <v>1573</v>
      </c>
      <c r="B303" t="s">
        <v>5</v>
      </c>
      <c r="C303">
        <v>3600</v>
      </c>
      <c r="D303">
        <v>4</v>
      </c>
      <c r="E303" t="s">
        <v>11</v>
      </c>
      <c r="F303" s="6">
        <f t="shared" si="20"/>
        <v>900</v>
      </c>
      <c r="G303" s="7">
        <f t="shared" si="21"/>
        <v>79.646017699115035</v>
      </c>
      <c r="H303" s="7">
        <f t="shared" si="22"/>
        <v>2.6548672566371678</v>
      </c>
      <c r="I303" s="5" t="str">
        <f t="shared" si="23"/>
        <v>средний</v>
      </c>
      <c r="J303" t="str">
        <f t="shared" si="24"/>
        <v>не нуждается в помощи</v>
      </c>
    </row>
    <row r="304" spans="1:10" x14ac:dyDescent="0.2">
      <c r="A304" s="4">
        <v>1709</v>
      </c>
      <c r="B304" t="s">
        <v>3</v>
      </c>
      <c r="C304">
        <v>400</v>
      </c>
      <c r="D304">
        <v>4</v>
      </c>
      <c r="E304" t="s">
        <v>11</v>
      </c>
      <c r="F304" s="6">
        <f t="shared" si="20"/>
        <v>100</v>
      </c>
      <c r="G304" s="7">
        <f t="shared" si="21"/>
        <v>8.8495575221238933</v>
      </c>
      <c r="H304" s="7">
        <f t="shared" si="22"/>
        <v>0.29498525073746312</v>
      </c>
      <c r="I304" s="5" t="str">
        <f t="shared" si="23"/>
        <v>крайняя бедность</v>
      </c>
      <c r="J304" t="str">
        <f t="shared" si="24"/>
        <v>не нуждается в помощи</v>
      </c>
    </row>
    <row r="305" spans="1:10" x14ac:dyDescent="0.2">
      <c r="A305" s="4">
        <v>1965</v>
      </c>
      <c r="B305" t="s">
        <v>3</v>
      </c>
      <c r="C305">
        <v>2200</v>
      </c>
      <c r="D305">
        <v>4</v>
      </c>
      <c r="E305" t="s">
        <v>10</v>
      </c>
      <c r="F305" s="6">
        <f t="shared" si="20"/>
        <v>550</v>
      </c>
      <c r="G305" s="7">
        <f t="shared" si="21"/>
        <v>48.672566371681413</v>
      </c>
      <c r="H305" s="7">
        <f t="shared" si="22"/>
        <v>1.622418879056047</v>
      </c>
      <c r="I305" s="5" t="str">
        <f t="shared" si="23"/>
        <v>ниже среднего</v>
      </c>
      <c r="J305" t="str">
        <f t="shared" si="24"/>
        <v>не нуждается в помощи</v>
      </c>
    </row>
    <row r="306" spans="1:10" x14ac:dyDescent="0.2">
      <c r="A306" s="4">
        <v>2348</v>
      </c>
      <c r="B306" t="s">
        <v>0</v>
      </c>
      <c r="C306">
        <v>400</v>
      </c>
      <c r="D306">
        <v>4</v>
      </c>
      <c r="E306" t="s">
        <v>11</v>
      </c>
      <c r="F306" s="6">
        <f t="shared" si="20"/>
        <v>100</v>
      </c>
      <c r="G306" s="7">
        <f t="shared" si="21"/>
        <v>8.8495575221238933</v>
      </c>
      <c r="H306" s="7">
        <f t="shared" si="22"/>
        <v>0.29498525073746312</v>
      </c>
      <c r="I306" s="5" t="str">
        <f t="shared" si="23"/>
        <v>крайняя бедность</v>
      </c>
      <c r="J306" t="str">
        <f t="shared" si="24"/>
        <v>нуждается в помощи</v>
      </c>
    </row>
    <row r="307" spans="1:10" x14ac:dyDescent="0.2">
      <c r="A307" s="4">
        <v>2458</v>
      </c>
      <c r="B307" t="s">
        <v>0</v>
      </c>
      <c r="C307">
        <v>400</v>
      </c>
      <c r="D307">
        <v>4</v>
      </c>
      <c r="E307" t="s">
        <v>11</v>
      </c>
      <c r="F307" s="6">
        <f t="shared" si="20"/>
        <v>100</v>
      </c>
      <c r="G307" s="7">
        <f t="shared" si="21"/>
        <v>8.8495575221238933</v>
      </c>
      <c r="H307" s="7">
        <f t="shared" si="22"/>
        <v>0.29498525073746312</v>
      </c>
      <c r="I307" s="5" t="str">
        <f t="shared" si="23"/>
        <v>крайняя бедность</v>
      </c>
      <c r="J307" t="str">
        <f t="shared" si="24"/>
        <v>не нуждается в помощи</v>
      </c>
    </row>
    <row r="308" spans="1:10" x14ac:dyDescent="0.2">
      <c r="A308" s="4">
        <v>2535</v>
      </c>
      <c r="B308" t="s">
        <v>0</v>
      </c>
      <c r="C308">
        <v>5248</v>
      </c>
      <c r="D308">
        <v>4</v>
      </c>
      <c r="E308" t="s">
        <v>10</v>
      </c>
      <c r="F308" s="6">
        <f t="shared" si="20"/>
        <v>1312</v>
      </c>
      <c r="G308" s="7">
        <f t="shared" si="21"/>
        <v>116.10619469026548</v>
      </c>
      <c r="H308" s="7">
        <f t="shared" si="22"/>
        <v>3.8702064896755162</v>
      </c>
      <c r="I308" s="5" t="str">
        <f t="shared" si="23"/>
        <v>средний</v>
      </c>
      <c r="J308" t="str">
        <f t="shared" si="24"/>
        <v>не нуждается в помощи</v>
      </c>
    </row>
    <row r="309" spans="1:10" x14ac:dyDescent="0.2">
      <c r="A309" s="4">
        <v>2588</v>
      </c>
      <c r="B309" t="s">
        <v>0</v>
      </c>
      <c r="C309">
        <v>2400</v>
      </c>
      <c r="D309">
        <v>4</v>
      </c>
      <c r="E309" t="s">
        <v>11</v>
      </c>
      <c r="F309" s="6">
        <f t="shared" si="20"/>
        <v>600</v>
      </c>
      <c r="G309" s="7">
        <f t="shared" si="21"/>
        <v>53.097345132743357</v>
      </c>
      <c r="H309" s="7">
        <f t="shared" si="22"/>
        <v>1.7699115044247786</v>
      </c>
      <c r="I309" s="5" t="str">
        <f t="shared" si="23"/>
        <v>ниже среднего</v>
      </c>
      <c r="J309" t="str">
        <f t="shared" si="24"/>
        <v>не нуждается в помощи</v>
      </c>
    </row>
    <row r="310" spans="1:10" x14ac:dyDescent="0.2">
      <c r="A310" s="4">
        <v>2972</v>
      </c>
      <c r="B310" t="s">
        <v>1</v>
      </c>
      <c r="C310">
        <v>417</v>
      </c>
      <c r="D310">
        <v>4</v>
      </c>
      <c r="E310" t="s">
        <v>11</v>
      </c>
      <c r="F310" s="6">
        <f t="shared" si="20"/>
        <v>104.25</v>
      </c>
      <c r="G310" s="7">
        <f t="shared" si="21"/>
        <v>9.2256637168141591</v>
      </c>
      <c r="H310" s="7">
        <f t="shared" si="22"/>
        <v>0.30752212389380529</v>
      </c>
      <c r="I310" s="5" t="str">
        <f t="shared" si="23"/>
        <v>крайняя бедность</v>
      </c>
      <c r="J310" t="str">
        <f t="shared" si="24"/>
        <v>не нуждается в помощи</v>
      </c>
    </row>
    <row r="311" spans="1:10" x14ac:dyDescent="0.2">
      <c r="A311" s="4">
        <v>1956</v>
      </c>
      <c r="B311" t="s">
        <v>3</v>
      </c>
      <c r="C311">
        <v>1020</v>
      </c>
      <c r="D311">
        <v>4</v>
      </c>
      <c r="E311" t="s">
        <v>10</v>
      </c>
      <c r="F311" s="6">
        <f t="shared" si="20"/>
        <v>255</v>
      </c>
      <c r="G311" s="7">
        <f t="shared" si="21"/>
        <v>22.566371681415927</v>
      </c>
      <c r="H311" s="7">
        <f t="shared" si="22"/>
        <v>0.75221238938053092</v>
      </c>
      <c r="I311" s="5" t="str">
        <f t="shared" si="23"/>
        <v>крайняя бедность</v>
      </c>
      <c r="J311" t="str">
        <f t="shared" si="24"/>
        <v>не нуждается в помощи</v>
      </c>
    </row>
    <row r="312" spans="1:10" x14ac:dyDescent="0.2">
      <c r="A312" s="4">
        <v>2873</v>
      </c>
      <c r="B312" t="s">
        <v>2</v>
      </c>
      <c r="C312">
        <v>440</v>
      </c>
      <c r="D312">
        <v>4</v>
      </c>
      <c r="E312" t="s">
        <v>11</v>
      </c>
      <c r="F312" s="6">
        <f t="shared" si="20"/>
        <v>110</v>
      </c>
      <c r="G312" s="7">
        <f t="shared" si="21"/>
        <v>9.7345132743362832</v>
      </c>
      <c r="H312" s="7">
        <f t="shared" si="22"/>
        <v>0.32448377581120941</v>
      </c>
      <c r="I312" s="5" t="str">
        <f t="shared" si="23"/>
        <v>крайняя бедность</v>
      </c>
      <c r="J312" t="str">
        <f t="shared" si="24"/>
        <v>нуждается в помощи</v>
      </c>
    </row>
    <row r="313" spans="1:10" x14ac:dyDescent="0.2">
      <c r="A313" s="4">
        <v>5822</v>
      </c>
      <c r="B313" t="s">
        <v>2</v>
      </c>
      <c r="C313">
        <v>800</v>
      </c>
      <c r="D313">
        <v>4</v>
      </c>
      <c r="E313" t="s">
        <v>11</v>
      </c>
      <c r="F313" s="6">
        <f t="shared" si="20"/>
        <v>200</v>
      </c>
      <c r="G313" s="7">
        <f t="shared" si="21"/>
        <v>17.699115044247787</v>
      </c>
      <c r="H313" s="7">
        <f t="shared" si="22"/>
        <v>0.58997050147492625</v>
      </c>
      <c r="I313" s="5" t="str">
        <f t="shared" si="23"/>
        <v>крайняя бедность</v>
      </c>
      <c r="J313" t="str">
        <f t="shared" si="24"/>
        <v>не нуждается в помощи</v>
      </c>
    </row>
    <row r="314" spans="1:10" x14ac:dyDescent="0.2">
      <c r="A314" s="4">
        <v>1736</v>
      </c>
      <c r="B314" t="s">
        <v>3</v>
      </c>
      <c r="C314">
        <v>10500</v>
      </c>
      <c r="D314">
        <v>4</v>
      </c>
      <c r="E314" t="s">
        <v>10</v>
      </c>
      <c r="F314" s="6">
        <f t="shared" si="20"/>
        <v>2625</v>
      </c>
      <c r="G314" s="7">
        <f t="shared" si="21"/>
        <v>232.3008849557522</v>
      </c>
      <c r="H314" s="7">
        <f t="shared" si="22"/>
        <v>7.7433628318584065</v>
      </c>
      <c r="I314" s="5" t="str">
        <f t="shared" si="23"/>
        <v>в достатке</v>
      </c>
      <c r="J314" t="str">
        <f t="shared" si="24"/>
        <v>не нуждается в помощи</v>
      </c>
    </row>
    <row r="315" spans="1:10" x14ac:dyDescent="0.2">
      <c r="A315" s="4">
        <v>1576</v>
      </c>
      <c r="B315" t="s">
        <v>5</v>
      </c>
      <c r="C315">
        <v>500</v>
      </c>
      <c r="D315">
        <v>4</v>
      </c>
      <c r="E315" t="s">
        <v>10</v>
      </c>
      <c r="F315" s="6">
        <f t="shared" si="20"/>
        <v>125</v>
      </c>
      <c r="G315" s="7">
        <f t="shared" si="21"/>
        <v>11.061946902654867</v>
      </c>
      <c r="H315" s="7">
        <f t="shared" si="22"/>
        <v>0.36873156342182889</v>
      </c>
      <c r="I315" s="5" t="str">
        <f t="shared" si="23"/>
        <v>крайняя бедность</v>
      </c>
      <c r="J315" t="str">
        <f t="shared" si="24"/>
        <v>не нуждается в помощи</v>
      </c>
    </row>
    <row r="316" spans="1:10" x14ac:dyDescent="0.2">
      <c r="A316" s="4">
        <v>1654</v>
      </c>
      <c r="B316" t="s">
        <v>5</v>
      </c>
      <c r="C316">
        <v>15600</v>
      </c>
      <c r="D316">
        <v>4</v>
      </c>
      <c r="E316" t="s">
        <v>10</v>
      </c>
      <c r="F316" s="6">
        <f t="shared" si="20"/>
        <v>3900</v>
      </c>
      <c r="G316" s="7">
        <f t="shared" si="21"/>
        <v>345.13274336283183</v>
      </c>
      <c r="H316" s="7">
        <f t="shared" si="22"/>
        <v>11.504424778761061</v>
      </c>
      <c r="I316" s="5" t="str">
        <f t="shared" si="23"/>
        <v>в достатке</v>
      </c>
      <c r="J316" t="str">
        <f t="shared" si="24"/>
        <v>не нуждается в помощи</v>
      </c>
    </row>
    <row r="317" spans="1:10" x14ac:dyDescent="0.2">
      <c r="A317" s="4">
        <v>2132</v>
      </c>
      <c r="B317" t="s">
        <v>3</v>
      </c>
      <c r="C317">
        <v>500</v>
      </c>
      <c r="D317">
        <v>4</v>
      </c>
      <c r="E317" t="s">
        <v>11</v>
      </c>
      <c r="F317" s="6">
        <f t="shared" si="20"/>
        <v>125</v>
      </c>
      <c r="G317" s="7">
        <f t="shared" si="21"/>
        <v>11.061946902654867</v>
      </c>
      <c r="H317" s="7">
        <f t="shared" si="22"/>
        <v>0.36873156342182889</v>
      </c>
      <c r="I317" s="5" t="str">
        <f t="shared" si="23"/>
        <v>крайняя бедность</v>
      </c>
      <c r="J317" t="str">
        <f t="shared" si="24"/>
        <v>не нуждается в помощи</v>
      </c>
    </row>
    <row r="318" spans="1:10" x14ac:dyDescent="0.2">
      <c r="A318" s="4">
        <v>2291</v>
      </c>
      <c r="B318" t="s">
        <v>3</v>
      </c>
      <c r="C318">
        <v>500</v>
      </c>
      <c r="D318">
        <v>4</v>
      </c>
      <c r="E318" t="s">
        <v>11</v>
      </c>
      <c r="F318" s="6">
        <f t="shared" si="20"/>
        <v>125</v>
      </c>
      <c r="G318" s="7">
        <f t="shared" si="21"/>
        <v>11.061946902654867</v>
      </c>
      <c r="H318" s="7">
        <f t="shared" si="22"/>
        <v>0.36873156342182889</v>
      </c>
      <c r="I318" s="5" t="str">
        <f t="shared" si="23"/>
        <v>крайняя бедность</v>
      </c>
      <c r="J318" t="str">
        <f t="shared" si="24"/>
        <v>нуждается в помощи</v>
      </c>
    </row>
    <row r="319" spans="1:10" x14ac:dyDescent="0.2">
      <c r="A319" s="4">
        <v>2305</v>
      </c>
      <c r="B319" t="s">
        <v>0</v>
      </c>
      <c r="C319">
        <v>1400</v>
      </c>
      <c r="D319">
        <v>4</v>
      </c>
      <c r="E319" t="s">
        <v>11</v>
      </c>
      <c r="F319" s="6">
        <f t="shared" si="20"/>
        <v>350</v>
      </c>
      <c r="G319" s="7">
        <f t="shared" si="21"/>
        <v>30.973451327433626</v>
      </c>
      <c r="H319" s="7">
        <f t="shared" si="22"/>
        <v>1.0324483775811208</v>
      </c>
      <c r="I319" s="5" t="str">
        <f t="shared" si="23"/>
        <v>бедность</v>
      </c>
      <c r="J319" t="str">
        <f t="shared" si="24"/>
        <v>нуждается в помощи</v>
      </c>
    </row>
    <row r="320" spans="1:10" x14ac:dyDescent="0.2">
      <c r="A320" s="4">
        <v>2306</v>
      </c>
      <c r="B320" t="s">
        <v>0</v>
      </c>
      <c r="C320">
        <v>1500</v>
      </c>
      <c r="D320">
        <v>4</v>
      </c>
      <c r="E320" t="s">
        <v>10</v>
      </c>
      <c r="F320" s="6">
        <f t="shared" si="20"/>
        <v>375</v>
      </c>
      <c r="G320" s="7">
        <f t="shared" si="21"/>
        <v>33.185840707964601</v>
      </c>
      <c r="H320" s="7">
        <f t="shared" si="22"/>
        <v>1.1061946902654867</v>
      </c>
      <c r="I320" s="5" t="str">
        <f t="shared" si="23"/>
        <v>бедность</v>
      </c>
      <c r="J320" t="str">
        <f t="shared" si="24"/>
        <v>нуждается в помощи</v>
      </c>
    </row>
    <row r="321" spans="1:10" x14ac:dyDescent="0.2">
      <c r="A321" s="4">
        <v>2350</v>
      </c>
      <c r="B321" t="s">
        <v>0</v>
      </c>
      <c r="C321">
        <v>1000</v>
      </c>
      <c r="D321">
        <v>4</v>
      </c>
      <c r="E321" t="s">
        <v>10</v>
      </c>
      <c r="F321" s="6">
        <f t="shared" si="20"/>
        <v>250</v>
      </c>
      <c r="G321" s="7">
        <f t="shared" si="21"/>
        <v>22.123893805309734</v>
      </c>
      <c r="H321" s="7">
        <f t="shared" si="22"/>
        <v>0.73746312684365778</v>
      </c>
      <c r="I321" s="5" t="str">
        <f t="shared" si="23"/>
        <v>крайняя бедность</v>
      </c>
      <c r="J321" t="str">
        <f t="shared" si="24"/>
        <v>не нуждается в помощи</v>
      </c>
    </row>
    <row r="322" spans="1:10" x14ac:dyDescent="0.2">
      <c r="A322" s="4">
        <v>2480</v>
      </c>
      <c r="B322" t="s">
        <v>0</v>
      </c>
      <c r="C322">
        <v>2500</v>
      </c>
      <c r="D322">
        <v>4</v>
      </c>
      <c r="E322" t="s">
        <v>11</v>
      </c>
      <c r="F322" s="6">
        <f t="shared" ref="F322:F385" si="25">C322/D322</f>
        <v>625</v>
      </c>
      <c r="G322" s="7">
        <f t="shared" ref="G322:G385" si="26">(C322/D322)/rate</f>
        <v>55.309734513274336</v>
      </c>
      <c r="H322" s="7">
        <f t="shared" ref="H322:H385" si="27">((C322/D322)/30)/rate</f>
        <v>1.8436578171091442</v>
      </c>
      <c r="I322" s="5" t="str">
        <f t="shared" ref="I322:I385" si="28">IF(H322&lt;0.89, "крайняя бедность", IF(AND(H322&gt;0.89, H322&lt;1.33), "бедность", IF(AND(H322&gt;1.33,H322&lt;2.5),"ниже среднего", IF(AND(H322&gt;2.5,H322&lt;4), "средний", IF(H322&gt;4,"в достатке",0)))))</f>
        <v>ниже среднего</v>
      </c>
      <c r="J322" t="str">
        <f t="shared" si="24"/>
        <v>не нуждается в помощи</v>
      </c>
    </row>
    <row r="323" spans="1:10" x14ac:dyDescent="0.2">
      <c r="A323" s="4">
        <v>2743</v>
      </c>
      <c r="B323" t="s">
        <v>2</v>
      </c>
      <c r="C323">
        <v>1900</v>
      </c>
      <c r="D323">
        <v>4</v>
      </c>
      <c r="E323" t="s">
        <v>10</v>
      </c>
      <c r="F323" s="6">
        <f t="shared" si="25"/>
        <v>475</v>
      </c>
      <c r="G323" s="7">
        <f t="shared" si="26"/>
        <v>42.035398230088489</v>
      </c>
      <c r="H323" s="7">
        <f t="shared" si="27"/>
        <v>1.4011799410029497</v>
      </c>
      <c r="I323" s="5" t="str">
        <f t="shared" si="28"/>
        <v>ниже среднего</v>
      </c>
      <c r="J323" t="str">
        <f t="shared" ref="J323:J386" si="29">IF(AND(I332="крайняя бедность",E332="Нет"), "нуждается в помощи", "не нуждается в помощи")</f>
        <v>не нуждается в помощи</v>
      </c>
    </row>
    <row r="324" spans="1:10" x14ac:dyDescent="0.2">
      <c r="A324" s="4">
        <v>3275</v>
      </c>
      <c r="B324" s="1" t="s">
        <v>1</v>
      </c>
      <c r="C324">
        <v>500</v>
      </c>
      <c r="D324">
        <v>4</v>
      </c>
      <c r="E324" t="s">
        <v>11</v>
      </c>
      <c r="F324" s="6">
        <f t="shared" si="25"/>
        <v>125</v>
      </c>
      <c r="G324" s="7">
        <f t="shared" si="26"/>
        <v>11.061946902654867</v>
      </c>
      <c r="H324" s="7">
        <f t="shared" si="27"/>
        <v>0.36873156342182889</v>
      </c>
      <c r="I324" s="5" t="str">
        <f t="shared" si="28"/>
        <v>крайняя бедность</v>
      </c>
      <c r="J324" t="str">
        <f t="shared" si="29"/>
        <v>не нуждается в помощи</v>
      </c>
    </row>
    <row r="325" spans="1:10" x14ac:dyDescent="0.2">
      <c r="A325" s="4">
        <v>1978</v>
      </c>
      <c r="B325" s="1" t="s">
        <v>3</v>
      </c>
      <c r="C325">
        <v>620</v>
      </c>
      <c r="D325">
        <v>4</v>
      </c>
      <c r="E325" t="s">
        <v>11</v>
      </c>
      <c r="F325" s="6">
        <f t="shared" si="25"/>
        <v>155</v>
      </c>
      <c r="G325" s="7">
        <f t="shared" si="26"/>
        <v>13.716814159292035</v>
      </c>
      <c r="H325" s="7">
        <f t="shared" si="27"/>
        <v>0.45722713864306785</v>
      </c>
      <c r="I325" s="5" t="str">
        <f t="shared" si="28"/>
        <v>крайняя бедность</v>
      </c>
      <c r="J325" t="str">
        <f t="shared" si="29"/>
        <v>не нуждается в помощи</v>
      </c>
    </row>
    <row r="326" spans="1:10" x14ac:dyDescent="0.2">
      <c r="A326" s="4">
        <v>1720</v>
      </c>
      <c r="B326" s="1" t="s">
        <v>3</v>
      </c>
      <c r="C326">
        <v>600</v>
      </c>
      <c r="D326">
        <v>4</v>
      </c>
      <c r="E326" t="s">
        <v>11</v>
      </c>
      <c r="F326" s="6">
        <f t="shared" si="25"/>
        <v>150</v>
      </c>
      <c r="G326" s="7">
        <f t="shared" si="26"/>
        <v>13.274336283185839</v>
      </c>
      <c r="H326" s="7">
        <f t="shared" si="27"/>
        <v>0.44247787610619466</v>
      </c>
      <c r="I326" s="5" t="str">
        <f t="shared" si="28"/>
        <v>крайняя бедность</v>
      </c>
      <c r="J326" t="str">
        <f t="shared" si="29"/>
        <v>не нуждается в помощи</v>
      </c>
    </row>
    <row r="327" spans="1:10" x14ac:dyDescent="0.2">
      <c r="A327" s="4">
        <v>1739</v>
      </c>
      <c r="B327" s="1" t="s">
        <v>3</v>
      </c>
      <c r="C327">
        <v>600</v>
      </c>
      <c r="D327">
        <v>4</v>
      </c>
      <c r="E327" t="s">
        <v>10</v>
      </c>
      <c r="F327" s="6">
        <f t="shared" si="25"/>
        <v>150</v>
      </c>
      <c r="G327" s="7">
        <f t="shared" si="26"/>
        <v>13.274336283185839</v>
      </c>
      <c r="H327" s="7">
        <f t="shared" si="27"/>
        <v>0.44247787610619466</v>
      </c>
      <c r="I327" s="5" t="str">
        <f t="shared" si="28"/>
        <v>крайняя бедность</v>
      </c>
      <c r="J327" t="str">
        <f t="shared" si="29"/>
        <v>не нуждается в помощи</v>
      </c>
    </row>
    <row r="328" spans="1:10" x14ac:dyDescent="0.2">
      <c r="A328" s="4">
        <v>1738</v>
      </c>
      <c r="B328" s="1" t="s">
        <v>3</v>
      </c>
      <c r="C328">
        <v>600</v>
      </c>
      <c r="D328">
        <v>4</v>
      </c>
      <c r="E328" t="s">
        <v>10</v>
      </c>
      <c r="F328" s="6">
        <f t="shared" si="25"/>
        <v>150</v>
      </c>
      <c r="G328" s="7">
        <f t="shared" si="26"/>
        <v>13.274336283185839</v>
      </c>
      <c r="H328" s="7">
        <f t="shared" si="27"/>
        <v>0.44247787610619466</v>
      </c>
      <c r="I328" s="5" t="str">
        <f t="shared" si="28"/>
        <v>крайняя бедность</v>
      </c>
      <c r="J328" t="str">
        <f t="shared" si="29"/>
        <v>не нуждается в помощи</v>
      </c>
    </row>
    <row r="329" spans="1:10" x14ac:dyDescent="0.2">
      <c r="A329" s="4">
        <v>1260</v>
      </c>
      <c r="B329" s="1" t="s">
        <v>4</v>
      </c>
      <c r="C329">
        <v>600</v>
      </c>
      <c r="D329">
        <v>4</v>
      </c>
      <c r="E329" t="s">
        <v>10</v>
      </c>
      <c r="F329" s="6">
        <f t="shared" si="25"/>
        <v>150</v>
      </c>
      <c r="G329" s="7">
        <f t="shared" si="26"/>
        <v>13.274336283185839</v>
      </c>
      <c r="H329" s="7">
        <f t="shared" si="27"/>
        <v>0.44247787610619466</v>
      </c>
      <c r="I329" s="5" t="str">
        <f t="shared" si="28"/>
        <v>крайняя бедность</v>
      </c>
      <c r="J329" t="str">
        <f t="shared" si="29"/>
        <v>не нуждается в помощи</v>
      </c>
    </row>
    <row r="330" spans="1:10" x14ac:dyDescent="0.2">
      <c r="A330" s="4">
        <v>2692</v>
      </c>
      <c r="B330" s="1" t="s">
        <v>2</v>
      </c>
      <c r="C330">
        <v>600</v>
      </c>
      <c r="D330">
        <v>4</v>
      </c>
      <c r="E330" t="s">
        <v>11</v>
      </c>
      <c r="F330" s="6">
        <f t="shared" si="25"/>
        <v>150</v>
      </c>
      <c r="G330" s="7">
        <f t="shared" si="26"/>
        <v>13.274336283185839</v>
      </c>
      <c r="H330" s="7">
        <f t="shared" si="27"/>
        <v>0.44247787610619466</v>
      </c>
      <c r="I330" s="5" t="str">
        <f t="shared" si="28"/>
        <v>крайняя бедность</v>
      </c>
      <c r="J330" t="str">
        <f t="shared" si="29"/>
        <v>не нуждается в помощи</v>
      </c>
    </row>
    <row r="331" spans="1:10" x14ac:dyDescent="0.2">
      <c r="A331" s="4">
        <v>2811</v>
      </c>
      <c r="B331" s="1" t="s">
        <v>2</v>
      </c>
      <c r="C331">
        <v>5100</v>
      </c>
      <c r="D331">
        <v>4</v>
      </c>
      <c r="E331" t="s">
        <v>11</v>
      </c>
      <c r="F331" s="6">
        <f t="shared" si="25"/>
        <v>1275</v>
      </c>
      <c r="G331" s="7">
        <f t="shared" si="26"/>
        <v>112.83185840707964</v>
      </c>
      <c r="H331" s="7">
        <f t="shared" si="27"/>
        <v>3.7610619469026547</v>
      </c>
      <c r="I331" s="5" t="str">
        <f t="shared" si="28"/>
        <v>средний</v>
      </c>
      <c r="J331" t="str">
        <f t="shared" si="29"/>
        <v>не нуждается в помощи</v>
      </c>
    </row>
    <row r="332" spans="1:10" x14ac:dyDescent="0.2">
      <c r="A332" s="4">
        <v>3118</v>
      </c>
      <c r="B332" s="1" t="s">
        <v>1</v>
      </c>
      <c r="C332">
        <v>2000</v>
      </c>
      <c r="D332">
        <v>4</v>
      </c>
      <c r="E332" t="s">
        <v>10</v>
      </c>
      <c r="F332" s="6">
        <f t="shared" si="25"/>
        <v>500</v>
      </c>
      <c r="G332" s="7">
        <f t="shared" si="26"/>
        <v>44.247787610619469</v>
      </c>
      <c r="H332" s="7">
        <f t="shared" si="27"/>
        <v>1.4749262536873156</v>
      </c>
      <c r="I332" s="5" t="str">
        <f t="shared" si="28"/>
        <v>ниже среднего</v>
      </c>
      <c r="J332" t="str">
        <f t="shared" si="29"/>
        <v>не нуждается в помощи</v>
      </c>
    </row>
    <row r="333" spans="1:10" x14ac:dyDescent="0.2">
      <c r="A333" s="4">
        <v>3226</v>
      </c>
      <c r="B333" s="1" t="s">
        <v>1</v>
      </c>
      <c r="C333">
        <v>4500</v>
      </c>
      <c r="D333">
        <v>4</v>
      </c>
      <c r="E333" t="s">
        <v>10</v>
      </c>
      <c r="F333" s="6">
        <f t="shared" si="25"/>
        <v>1125</v>
      </c>
      <c r="G333" s="7">
        <f t="shared" si="26"/>
        <v>99.557522123893804</v>
      </c>
      <c r="H333" s="7">
        <f t="shared" si="27"/>
        <v>3.3185840707964598</v>
      </c>
      <c r="I333" s="5" t="str">
        <f t="shared" si="28"/>
        <v>средний</v>
      </c>
      <c r="J333" t="str">
        <f t="shared" si="29"/>
        <v>не нуждается в помощи</v>
      </c>
    </row>
    <row r="334" spans="1:10" x14ac:dyDescent="0.2">
      <c r="A334" s="4">
        <v>2065</v>
      </c>
      <c r="B334" s="1" t="s">
        <v>3</v>
      </c>
      <c r="C334">
        <v>620</v>
      </c>
      <c r="D334">
        <v>4</v>
      </c>
      <c r="E334" t="s">
        <v>11</v>
      </c>
      <c r="F334" s="6">
        <f t="shared" si="25"/>
        <v>155</v>
      </c>
      <c r="G334" s="7">
        <f t="shared" si="26"/>
        <v>13.716814159292035</v>
      </c>
      <c r="H334" s="7">
        <f t="shared" si="27"/>
        <v>0.45722713864306785</v>
      </c>
      <c r="I334" s="5" t="str">
        <f t="shared" si="28"/>
        <v>крайняя бедность</v>
      </c>
      <c r="J334" t="str">
        <f t="shared" si="29"/>
        <v>не нуждается в помощи</v>
      </c>
    </row>
    <row r="335" spans="1:10" x14ac:dyDescent="0.2">
      <c r="A335" s="4">
        <v>2080</v>
      </c>
      <c r="B335" s="1" t="s">
        <v>3</v>
      </c>
      <c r="C335">
        <v>1750</v>
      </c>
      <c r="D335">
        <v>4</v>
      </c>
      <c r="E335" t="s">
        <v>11</v>
      </c>
      <c r="F335" s="6">
        <f t="shared" si="25"/>
        <v>437.5</v>
      </c>
      <c r="G335" s="7">
        <f t="shared" si="26"/>
        <v>38.716814159292035</v>
      </c>
      <c r="H335" s="7">
        <f t="shared" si="27"/>
        <v>1.2905604719764012</v>
      </c>
      <c r="I335" s="5" t="str">
        <f t="shared" si="28"/>
        <v>бедность</v>
      </c>
      <c r="J335" t="str">
        <f t="shared" si="29"/>
        <v>не нуждается в помощи</v>
      </c>
    </row>
    <row r="336" spans="1:10" x14ac:dyDescent="0.2">
      <c r="A336" s="4">
        <v>6667</v>
      </c>
      <c r="B336" s="1" t="s">
        <v>3</v>
      </c>
      <c r="C336">
        <v>1750</v>
      </c>
      <c r="D336">
        <v>4</v>
      </c>
      <c r="E336" t="s">
        <v>11</v>
      </c>
      <c r="F336" s="6">
        <f t="shared" si="25"/>
        <v>437.5</v>
      </c>
      <c r="G336" s="7">
        <f t="shared" si="26"/>
        <v>38.716814159292035</v>
      </c>
      <c r="H336" s="7">
        <f t="shared" si="27"/>
        <v>1.2905604719764012</v>
      </c>
      <c r="I336" s="5" t="str">
        <f t="shared" si="28"/>
        <v>бедность</v>
      </c>
      <c r="J336" t="str">
        <f t="shared" si="29"/>
        <v>не нуждается в помощи</v>
      </c>
    </row>
    <row r="337" spans="1:10" x14ac:dyDescent="0.2">
      <c r="A337" s="4">
        <v>2134</v>
      </c>
      <c r="B337" s="1" t="s">
        <v>3</v>
      </c>
      <c r="C337">
        <v>1000</v>
      </c>
      <c r="D337">
        <v>4</v>
      </c>
      <c r="E337" t="s">
        <v>11</v>
      </c>
      <c r="F337" s="6">
        <f t="shared" si="25"/>
        <v>250</v>
      </c>
      <c r="G337" s="7">
        <f t="shared" si="26"/>
        <v>22.123893805309734</v>
      </c>
      <c r="H337" s="7">
        <f t="shared" si="27"/>
        <v>0.73746312684365778</v>
      </c>
      <c r="I337" s="5" t="str">
        <f t="shared" si="28"/>
        <v>крайняя бедность</v>
      </c>
      <c r="J337" t="str">
        <f t="shared" si="29"/>
        <v>не нуждается в помощи</v>
      </c>
    </row>
    <row r="338" spans="1:10" x14ac:dyDescent="0.2">
      <c r="A338" s="4">
        <v>3081</v>
      </c>
      <c r="B338" s="1" t="s">
        <v>1</v>
      </c>
      <c r="C338">
        <v>700</v>
      </c>
      <c r="D338">
        <v>4</v>
      </c>
      <c r="E338" t="s">
        <v>11</v>
      </c>
      <c r="F338" s="6">
        <f t="shared" si="25"/>
        <v>175</v>
      </c>
      <c r="G338" s="7">
        <f t="shared" si="26"/>
        <v>15.486725663716813</v>
      </c>
      <c r="H338" s="7">
        <f t="shared" si="27"/>
        <v>0.51622418879056042</v>
      </c>
      <c r="I338" s="5" t="str">
        <f t="shared" si="28"/>
        <v>крайняя бедность</v>
      </c>
      <c r="J338" t="str">
        <f t="shared" si="29"/>
        <v>не нуждается в помощи</v>
      </c>
    </row>
    <row r="339" spans="1:10" x14ac:dyDescent="0.2">
      <c r="A339" s="4">
        <v>5162</v>
      </c>
      <c r="B339" s="1" t="s">
        <v>4</v>
      </c>
      <c r="C339">
        <v>1060</v>
      </c>
      <c r="D339">
        <v>4</v>
      </c>
      <c r="E339" t="s">
        <v>11</v>
      </c>
      <c r="F339" s="6">
        <f t="shared" si="25"/>
        <v>265</v>
      </c>
      <c r="G339" s="7">
        <f t="shared" si="26"/>
        <v>23.451327433628318</v>
      </c>
      <c r="H339" s="7">
        <f t="shared" si="27"/>
        <v>0.78171091445427732</v>
      </c>
      <c r="I339" s="5" t="str">
        <f t="shared" si="28"/>
        <v>крайняя бедность</v>
      </c>
      <c r="J339" t="str">
        <f t="shared" si="29"/>
        <v>не нуждается в помощи</v>
      </c>
    </row>
    <row r="340" spans="1:10" x14ac:dyDescent="0.2">
      <c r="A340" s="4">
        <v>1835</v>
      </c>
      <c r="B340" s="1" t="s">
        <v>3</v>
      </c>
      <c r="C340">
        <v>2220</v>
      </c>
      <c r="D340">
        <v>4</v>
      </c>
      <c r="E340" t="s">
        <v>11</v>
      </c>
      <c r="F340" s="6">
        <f t="shared" si="25"/>
        <v>555</v>
      </c>
      <c r="G340" s="7">
        <f t="shared" si="26"/>
        <v>49.115044247787608</v>
      </c>
      <c r="H340" s="7">
        <f t="shared" si="27"/>
        <v>1.6371681415929202</v>
      </c>
      <c r="I340" s="5" t="str">
        <f t="shared" si="28"/>
        <v>ниже среднего</v>
      </c>
      <c r="J340" t="str">
        <f t="shared" si="29"/>
        <v>нуждается в помощи</v>
      </c>
    </row>
    <row r="341" spans="1:10" x14ac:dyDescent="0.2">
      <c r="A341" s="4">
        <v>2732</v>
      </c>
      <c r="B341" s="1" t="s">
        <v>2</v>
      </c>
      <c r="C341">
        <v>800</v>
      </c>
      <c r="D341">
        <v>4</v>
      </c>
      <c r="E341" t="s">
        <v>11</v>
      </c>
      <c r="F341" s="6">
        <f t="shared" si="25"/>
        <v>200</v>
      </c>
      <c r="G341" s="7">
        <f t="shared" si="26"/>
        <v>17.699115044247787</v>
      </c>
      <c r="H341" s="7">
        <f t="shared" si="27"/>
        <v>0.58997050147492625</v>
      </c>
      <c r="I341" s="5" t="str">
        <f t="shared" si="28"/>
        <v>крайняя бедность</v>
      </c>
      <c r="J341" t="str">
        <f t="shared" si="29"/>
        <v>не нуждается в помощи</v>
      </c>
    </row>
    <row r="342" spans="1:10" x14ac:dyDescent="0.2">
      <c r="A342" s="4">
        <v>2802</v>
      </c>
      <c r="B342" s="1" t="s">
        <v>2</v>
      </c>
      <c r="C342">
        <v>1950</v>
      </c>
      <c r="D342">
        <v>4</v>
      </c>
      <c r="E342" t="s">
        <v>10</v>
      </c>
      <c r="F342" s="6">
        <f t="shared" si="25"/>
        <v>487.5</v>
      </c>
      <c r="G342" s="7">
        <f t="shared" si="26"/>
        <v>43.141592920353979</v>
      </c>
      <c r="H342" s="7">
        <f t="shared" si="27"/>
        <v>1.4380530973451326</v>
      </c>
      <c r="I342" s="5" t="str">
        <f t="shared" si="28"/>
        <v>ниже среднего</v>
      </c>
      <c r="J342" t="str">
        <f t="shared" si="29"/>
        <v>не нуждается в помощи</v>
      </c>
    </row>
    <row r="343" spans="1:10" x14ac:dyDescent="0.2">
      <c r="A343" s="4">
        <v>2004</v>
      </c>
      <c r="B343" s="1" t="s">
        <v>3</v>
      </c>
      <c r="C343">
        <v>1900</v>
      </c>
      <c r="D343">
        <v>4</v>
      </c>
      <c r="E343" t="s">
        <v>10</v>
      </c>
      <c r="F343" s="6">
        <f t="shared" si="25"/>
        <v>475</v>
      </c>
      <c r="G343" s="7">
        <f t="shared" si="26"/>
        <v>42.035398230088489</v>
      </c>
      <c r="H343" s="7">
        <f t="shared" si="27"/>
        <v>1.4011799410029497</v>
      </c>
      <c r="I343" s="5" t="str">
        <f t="shared" si="28"/>
        <v>ниже среднего</v>
      </c>
      <c r="J343" t="str">
        <f t="shared" si="29"/>
        <v>не нуждается в помощи</v>
      </c>
    </row>
    <row r="344" spans="1:10" x14ac:dyDescent="0.2">
      <c r="A344" s="4">
        <v>5102</v>
      </c>
      <c r="B344" s="1" t="s">
        <v>4</v>
      </c>
      <c r="C344">
        <v>900</v>
      </c>
      <c r="D344">
        <v>4</v>
      </c>
      <c r="E344" t="s">
        <v>11</v>
      </c>
      <c r="F344" s="6">
        <f t="shared" si="25"/>
        <v>225</v>
      </c>
      <c r="G344" s="7">
        <f t="shared" si="26"/>
        <v>19.911504424778759</v>
      </c>
      <c r="H344" s="7">
        <f t="shared" si="27"/>
        <v>0.66371681415929196</v>
      </c>
      <c r="I344" s="5" t="str">
        <f t="shared" si="28"/>
        <v>крайняя бедность</v>
      </c>
      <c r="J344" t="str">
        <f t="shared" si="29"/>
        <v>не нуждается в помощи</v>
      </c>
    </row>
    <row r="345" spans="1:10" x14ac:dyDescent="0.2">
      <c r="A345" s="4">
        <v>769</v>
      </c>
      <c r="B345" s="1" t="s">
        <v>4</v>
      </c>
      <c r="C345">
        <v>903</v>
      </c>
      <c r="D345">
        <v>4</v>
      </c>
      <c r="E345" t="s">
        <v>11</v>
      </c>
      <c r="F345" s="6">
        <f t="shared" si="25"/>
        <v>225.75</v>
      </c>
      <c r="G345" s="7">
        <f t="shared" si="26"/>
        <v>19.977876106194689</v>
      </c>
      <c r="H345" s="7">
        <f t="shared" si="27"/>
        <v>0.66592920353982299</v>
      </c>
      <c r="I345" s="5" t="str">
        <f t="shared" si="28"/>
        <v>крайняя бедность</v>
      </c>
      <c r="J345" t="str">
        <f t="shared" si="29"/>
        <v>не нуждается в помощи</v>
      </c>
    </row>
    <row r="346" spans="1:10" x14ac:dyDescent="0.2">
      <c r="A346" s="4">
        <v>2630</v>
      </c>
      <c r="B346" s="1" t="s">
        <v>0</v>
      </c>
      <c r="C346" s="1">
        <v>2400</v>
      </c>
      <c r="D346">
        <v>4</v>
      </c>
      <c r="E346" t="s">
        <v>10</v>
      </c>
      <c r="F346" s="6">
        <f t="shared" si="25"/>
        <v>600</v>
      </c>
      <c r="G346" s="7">
        <f t="shared" si="26"/>
        <v>53.097345132743357</v>
      </c>
      <c r="H346" s="7">
        <f t="shared" si="27"/>
        <v>1.7699115044247786</v>
      </c>
      <c r="I346" s="5" t="str">
        <f t="shared" si="28"/>
        <v>ниже среднего</v>
      </c>
      <c r="J346" t="str">
        <f t="shared" si="29"/>
        <v>не нуждается в помощи</v>
      </c>
    </row>
    <row r="347" spans="1:10" x14ac:dyDescent="0.2">
      <c r="A347" s="4">
        <v>530</v>
      </c>
      <c r="B347" t="s">
        <v>4</v>
      </c>
      <c r="C347" s="1">
        <v>1000</v>
      </c>
      <c r="D347">
        <v>4</v>
      </c>
      <c r="E347" t="s">
        <v>11</v>
      </c>
      <c r="F347" s="6">
        <f t="shared" si="25"/>
        <v>250</v>
      </c>
      <c r="G347" s="7">
        <f t="shared" si="26"/>
        <v>22.123893805309734</v>
      </c>
      <c r="H347" s="7">
        <f t="shared" si="27"/>
        <v>0.73746312684365778</v>
      </c>
      <c r="I347" s="5" t="str">
        <f t="shared" si="28"/>
        <v>крайняя бедность</v>
      </c>
      <c r="J347" t="str">
        <f t="shared" si="29"/>
        <v>не нуждается в помощи</v>
      </c>
    </row>
    <row r="348" spans="1:10" x14ac:dyDescent="0.2">
      <c r="A348" s="4">
        <v>1534</v>
      </c>
      <c r="B348" t="s">
        <v>5</v>
      </c>
      <c r="C348" s="1">
        <v>3450</v>
      </c>
      <c r="D348">
        <v>4</v>
      </c>
      <c r="E348" t="s">
        <v>11</v>
      </c>
      <c r="F348" s="6">
        <f t="shared" si="25"/>
        <v>862.5</v>
      </c>
      <c r="G348" s="7">
        <f t="shared" si="26"/>
        <v>76.327433628318573</v>
      </c>
      <c r="H348" s="7">
        <f t="shared" si="27"/>
        <v>2.5442477876106193</v>
      </c>
      <c r="I348" s="5" t="str">
        <f t="shared" si="28"/>
        <v>средний</v>
      </c>
      <c r="J348" t="str">
        <f t="shared" si="29"/>
        <v>не нуждается в помощи</v>
      </c>
    </row>
    <row r="349" spans="1:10" x14ac:dyDescent="0.2">
      <c r="A349" s="4">
        <v>1995</v>
      </c>
      <c r="B349" t="s">
        <v>3</v>
      </c>
      <c r="C349" s="1">
        <v>1000</v>
      </c>
      <c r="D349">
        <v>4</v>
      </c>
      <c r="E349" t="s">
        <v>10</v>
      </c>
      <c r="F349" s="6">
        <f t="shared" si="25"/>
        <v>250</v>
      </c>
      <c r="G349" s="7">
        <f t="shared" si="26"/>
        <v>22.123893805309734</v>
      </c>
      <c r="H349" s="7">
        <f t="shared" si="27"/>
        <v>0.73746312684365778</v>
      </c>
      <c r="I349" s="5" t="str">
        <f t="shared" si="28"/>
        <v>крайняя бедность</v>
      </c>
      <c r="J349" t="str">
        <f t="shared" si="29"/>
        <v>не нуждается в помощи</v>
      </c>
    </row>
    <row r="350" spans="1:10" x14ac:dyDescent="0.2">
      <c r="A350" s="4">
        <v>2033</v>
      </c>
      <c r="B350" t="s">
        <v>3</v>
      </c>
      <c r="C350" s="1">
        <v>2000</v>
      </c>
      <c r="D350">
        <v>4</v>
      </c>
      <c r="E350" t="s">
        <v>11</v>
      </c>
      <c r="F350" s="6">
        <f t="shared" si="25"/>
        <v>500</v>
      </c>
      <c r="G350" s="7">
        <f t="shared" si="26"/>
        <v>44.247787610619469</v>
      </c>
      <c r="H350" s="7">
        <f t="shared" si="27"/>
        <v>1.4749262536873156</v>
      </c>
      <c r="I350" s="5" t="str">
        <f t="shared" si="28"/>
        <v>ниже среднего</v>
      </c>
      <c r="J350" t="str">
        <f t="shared" si="29"/>
        <v>не нуждается в помощи</v>
      </c>
    </row>
    <row r="351" spans="1:10" x14ac:dyDescent="0.2">
      <c r="A351" s="4">
        <v>2680</v>
      </c>
      <c r="B351" t="s">
        <v>2</v>
      </c>
      <c r="C351" s="1">
        <v>1450</v>
      </c>
      <c r="D351">
        <v>4</v>
      </c>
      <c r="E351" t="s">
        <v>10</v>
      </c>
      <c r="F351" s="6">
        <f t="shared" si="25"/>
        <v>362.5</v>
      </c>
      <c r="G351" s="7">
        <f t="shared" si="26"/>
        <v>32.079646017699112</v>
      </c>
      <c r="H351" s="7">
        <f t="shared" si="27"/>
        <v>1.0693215339233038</v>
      </c>
      <c r="I351" s="5" t="str">
        <f t="shared" si="28"/>
        <v>бедность</v>
      </c>
      <c r="J351" t="str">
        <f t="shared" si="29"/>
        <v>не нуждается в помощи</v>
      </c>
    </row>
    <row r="352" spans="1:10" x14ac:dyDescent="0.2">
      <c r="A352" s="4">
        <v>2872</v>
      </c>
      <c r="B352" t="s">
        <v>2</v>
      </c>
      <c r="C352" s="1">
        <v>3960</v>
      </c>
      <c r="D352">
        <v>4</v>
      </c>
      <c r="E352" t="s">
        <v>11</v>
      </c>
      <c r="F352" s="6">
        <f t="shared" si="25"/>
        <v>990</v>
      </c>
      <c r="G352" s="7">
        <f t="shared" si="26"/>
        <v>87.610619469026545</v>
      </c>
      <c r="H352" s="7">
        <f t="shared" si="27"/>
        <v>2.9203539823008846</v>
      </c>
      <c r="I352" s="5" t="str">
        <f t="shared" si="28"/>
        <v>средний</v>
      </c>
      <c r="J352" t="str">
        <f t="shared" si="29"/>
        <v>не нуждается в помощи</v>
      </c>
    </row>
    <row r="353" spans="1:10" x14ac:dyDescent="0.2">
      <c r="A353" s="4">
        <v>2985</v>
      </c>
      <c r="B353" t="s">
        <v>1</v>
      </c>
      <c r="C353" s="1">
        <v>4130</v>
      </c>
      <c r="D353">
        <v>4</v>
      </c>
      <c r="E353" t="s">
        <v>10</v>
      </c>
      <c r="F353" s="6">
        <f t="shared" si="25"/>
        <v>1032.5</v>
      </c>
      <c r="G353" s="7">
        <f t="shared" si="26"/>
        <v>91.371681415929203</v>
      </c>
      <c r="H353" s="7">
        <f t="shared" si="27"/>
        <v>3.0457227138643064</v>
      </c>
      <c r="I353" s="5" t="str">
        <f t="shared" si="28"/>
        <v>средний</v>
      </c>
      <c r="J353" t="str">
        <f t="shared" si="29"/>
        <v>не нуждается в помощи</v>
      </c>
    </row>
    <row r="354" spans="1:10" x14ac:dyDescent="0.2">
      <c r="A354" s="4">
        <v>3249</v>
      </c>
      <c r="B354" t="s">
        <v>1</v>
      </c>
      <c r="C354" s="1">
        <v>2500</v>
      </c>
      <c r="D354">
        <v>4</v>
      </c>
      <c r="E354" t="s">
        <v>10</v>
      </c>
      <c r="F354" s="6">
        <f t="shared" si="25"/>
        <v>625</v>
      </c>
      <c r="G354" s="7">
        <f t="shared" si="26"/>
        <v>55.309734513274336</v>
      </c>
      <c r="H354" s="7">
        <f t="shared" si="27"/>
        <v>1.8436578171091442</v>
      </c>
      <c r="I354" s="5" t="str">
        <f t="shared" si="28"/>
        <v>ниже среднего</v>
      </c>
      <c r="J354" t="str">
        <f t="shared" si="29"/>
        <v>не нуждается в помощи</v>
      </c>
    </row>
    <row r="355" spans="1:10" x14ac:dyDescent="0.2">
      <c r="A355" s="4">
        <v>1712</v>
      </c>
      <c r="B355" t="s">
        <v>3</v>
      </c>
      <c r="C355" s="1">
        <v>1083</v>
      </c>
      <c r="D355">
        <v>4</v>
      </c>
      <c r="E355" t="s">
        <v>11</v>
      </c>
      <c r="F355" s="6">
        <f t="shared" si="25"/>
        <v>270.75</v>
      </c>
      <c r="G355" s="7">
        <f t="shared" si="26"/>
        <v>23.960176991150441</v>
      </c>
      <c r="H355" s="7">
        <f t="shared" si="27"/>
        <v>0.79867256637168138</v>
      </c>
      <c r="I355" s="5" t="str">
        <f t="shared" si="28"/>
        <v>крайняя бедность</v>
      </c>
      <c r="J355" t="str">
        <f t="shared" si="29"/>
        <v>не нуждается в помощи</v>
      </c>
    </row>
    <row r="356" spans="1:10" x14ac:dyDescent="0.2">
      <c r="A356" s="4">
        <v>1555</v>
      </c>
      <c r="B356" t="s">
        <v>5</v>
      </c>
      <c r="C356" s="1">
        <v>2900</v>
      </c>
      <c r="D356">
        <v>4</v>
      </c>
      <c r="E356" t="s">
        <v>10</v>
      </c>
      <c r="F356" s="6">
        <f t="shared" si="25"/>
        <v>725</v>
      </c>
      <c r="G356" s="7">
        <f t="shared" si="26"/>
        <v>64.159292035398224</v>
      </c>
      <c r="H356" s="7">
        <f t="shared" si="27"/>
        <v>2.1386430678466075</v>
      </c>
      <c r="I356" s="5" t="str">
        <f t="shared" si="28"/>
        <v>ниже среднего</v>
      </c>
      <c r="J356" t="str">
        <f t="shared" si="29"/>
        <v>не нуждается в помощи</v>
      </c>
    </row>
    <row r="357" spans="1:10" x14ac:dyDescent="0.2">
      <c r="A357" s="4">
        <v>1824</v>
      </c>
      <c r="B357" t="s">
        <v>3</v>
      </c>
      <c r="C357" s="1">
        <v>4450</v>
      </c>
      <c r="D357">
        <v>4</v>
      </c>
      <c r="E357" t="s">
        <v>10</v>
      </c>
      <c r="F357" s="6">
        <f t="shared" si="25"/>
        <v>1112.5</v>
      </c>
      <c r="G357" s="7">
        <f t="shared" si="26"/>
        <v>98.451327433628308</v>
      </c>
      <c r="H357" s="7">
        <f t="shared" si="27"/>
        <v>3.2817109144542771</v>
      </c>
      <c r="I357" s="5" t="str">
        <f t="shared" si="28"/>
        <v>средний</v>
      </c>
      <c r="J357" t="str">
        <f t="shared" si="29"/>
        <v>не нуждается в помощи</v>
      </c>
    </row>
    <row r="358" spans="1:10" x14ac:dyDescent="0.2">
      <c r="A358" s="4">
        <v>3057</v>
      </c>
      <c r="B358" t="s">
        <v>1</v>
      </c>
      <c r="C358" s="1">
        <v>1700</v>
      </c>
      <c r="D358">
        <v>4</v>
      </c>
      <c r="E358" t="s">
        <v>11</v>
      </c>
      <c r="F358" s="6">
        <f t="shared" si="25"/>
        <v>425</v>
      </c>
      <c r="G358" s="7">
        <f t="shared" si="26"/>
        <v>37.610619469026545</v>
      </c>
      <c r="H358" s="7">
        <f t="shared" si="27"/>
        <v>1.2536873156342181</v>
      </c>
      <c r="I358" s="5" t="str">
        <f t="shared" si="28"/>
        <v>бедность</v>
      </c>
      <c r="J358" t="str">
        <f t="shared" si="29"/>
        <v>не нуждается в помощи</v>
      </c>
    </row>
    <row r="359" spans="1:10" x14ac:dyDescent="0.2">
      <c r="A359" s="4">
        <v>3074</v>
      </c>
      <c r="B359" t="s">
        <v>1</v>
      </c>
      <c r="C359" s="1">
        <v>2400</v>
      </c>
      <c r="D359">
        <v>4</v>
      </c>
      <c r="E359" t="s">
        <v>11</v>
      </c>
      <c r="F359" s="6">
        <f t="shared" si="25"/>
        <v>600</v>
      </c>
      <c r="G359" s="7">
        <f t="shared" si="26"/>
        <v>53.097345132743357</v>
      </c>
      <c r="H359" s="7">
        <f t="shared" si="27"/>
        <v>1.7699115044247786</v>
      </c>
      <c r="I359" s="5" t="str">
        <f t="shared" si="28"/>
        <v>ниже среднего</v>
      </c>
      <c r="J359" t="str">
        <f t="shared" si="29"/>
        <v>не нуждается в помощи</v>
      </c>
    </row>
    <row r="360" spans="1:10" x14ac:dyDescent="0.2">
      <c r="A360" s="4">
        <v>3174</v>
      </c>
      <c r="B360" t="s">
        <v>1</v>
      </c>
      <c r="C360" s="1">
        <v>2700</v>
      </c>
      <c r="D360">
        <v>4</v>
      </c>
      <c r="E360" t="s">
        <v>11</v>
      </c>
      <c r="F360" s="6">
        <f t="shared" si="25"/>
        <v>675</v>
      </c>
      <c r="G360" s="7">
        <f t="shared" si="26"/>
        <v>59.73451327433628</v>
      </c>
      <c r="H360" s="7">
        <f t="shared" si="27"/>
        <v>1.9911504424778759</v>
      </c>
      <c r="I360" s="5" t="str">
        <f t="shared" si="28"/>
        <v>ниже среднего</v>
      </c>
      <c r="J360" t="str">
        <f t="shared" si="29"/>
        <v>не нуждается в помощи</v>
      </c>
    </row>
    <row r="361" spans="1:10" x14ac:dyDescent="0.2">
      <c r="A361" s="4">
        <v>1937</v>
      </c>
      <c r="B361" t="s">
        <v>3</v>
      </c>
      <c r="C361" s="1">
        <v>1400</v>
      </c>
      <c r="D361">
        <v>4</v>
      </c>
      <c r="E361" t="s">
        <v>10</v>
      </c>
      <c r="F361" s="6">
        <f t="shared" si="25"/>
        <v>350</v>
      </c>
      <c r="G361" s="7">
        <f t="shared" si="26"/>
        <v>30.973451327433626</v>
      </c>
      <c r="H361" s="7">
        <f t="shared" si="27"/>
        <v>1.0324483775811208</v>
      </c>
      <c r="I361" s="5" t="str">
        <f t="shared" si="28"/>
        <v>бедность</v>
      </c>
      <c r="J361" t="str">
        <f t="shared" si="29"/>
        <v>не нуждается в помощи</v>
      </c>
    </row>
    <row r="362" spans="1:10" x14ac:dyDescent="0.2">
      <c r="A362" s="4">
        <v>2236</v>
      </c>
      <c r="B362" t="s">
        <v>3</v>
      </c>
      <c r="C362" s="1">
        <v>1400</v>
      </c>
      <c r="D362">
        <v>4</v>
      </c>
      <c r="E362" t="s">
        <v>11</v>
      </c>
      <c r="F362" s="6">
        <f t="shared" si="25"/>
        <v>350</v>
      </c>
      <c r="G362" s="7">
        <f t="shared" si="26"/>
        <v>30.973451327433626</v>
      </c>
      <c r="H362" s="7">
        <f t="shared" si="27"/>
        <v>1.0324483775811208</v>
      </c>
      <c r="I362" s="5" t="str">
        <f t="shared" si="28"/>
        <v>бедность</v>
      </c>
      <c r="J362" t="str">
        <f t="shared" si="29"/>
        <v>не нуждается в помощи</v>
      </c>
    </row>
    <row r="363" spans="1:10" x14ac:dyDescent="0.2">
      <c r="A363" s="4">
        <v>2281</v>
      </c>
      <c r="B363" t="s">
        <v>3</v>
      </c>
      <c r="C363" s="1">
        <v>4400</v>
      </c>
      <c r="D363">
        <v>4</v>
      </c>
      <c r="E363" t="s">
        <v>11</v>
      </c>
      <c r="F363" s="6">
        <f t="shared" si="25"/>
        <v>1100</v>
      </c>
      <c r="G363" s="7">
        <f t="shared" si="26"/>
        <v>97.345132743362825</v>
      </c>
      <c r="H363" s="7">
        <f t="shared" si="27"/>
        <v>3.244837758112094</v>
      </c>
      <c r="I363" s="5" t="str">
        <f t="shared" si="28"/>
        <v>средний</v>
      </c>
      <c r="J363" t="str">
        <f t="shared" si="29"/>
        <v>не нуждается в помощи</v>
      </c>
    </row>
    <row r="364" spans="1:10" x14ac:dyDescent="0.2">
      <c r="A364" s="4">
        <v>2672</v>
      </c>
      <c r="B364" t="s">
        <v>2</v>
      </c>
      <c r="C364" s="1">
        <v>3320</v>
      </c>
      <c r="D364">
        <v>4</v>
      </c>
      <c r="E364" t="s">
        <v>11</v>
      </c>
      <c r="F364" s="6">
        <f t="shared" si="25"/>
        <v>830</v>
      </c>
      <c r="G364" s="7">
        <f t="shared" si="26"/>
        <v>73.451327433628308</v>
      </c>
      <c r="H364" s="7">
        <f t="shared" si="27"/>
        <v>2.4483775811209441</v>
      </c>
      <c r="I364" s="5" t="str">
        <f t="shared" si="28"/>
        <v>ниже среднего</v>
      </c>
      <c r="J364" t="str">
        <f t="shared" si="29"/>
        <v>не нуждается в помощи</v>
      </c>
    </row>
    <row r="365" spans="1:10" x14ac:dyDescent="0.2">
      <c r="A365" s="4">
        <v>2760</v>
      </c>
      <c r="B365" t="s">
        <v>2</v>
      </c>
      <c r="C365" s="1">
        <v>4000</v>
      </c>
      <c r="D365">
        <v>4</v>
      </c>
      <c r="E365" t="s">
        <v>10</v>
      </c>
      <c r="F365" s="6">
        <f t="shared" si="25"/>
        <v>1000</v>
      </c>
      <c r="G365" s="7">
        <f t="shared" si="26"/>
        <v>88.495575221238937</v>
      </c>
      <c r="H365" s="7">
        <f t="shared" si="27"/>
        <v>2.9498525073746311</v>
      </c>
      <c r="I365" s="5" t="str">
        <f t="shared" si="28"/>
        <v>средний</v>
      </c>
      <c r="J365" t="str">
        <f t="shared" si="29"/>
        <v>не нуждается в помощи</v>
      </c>
    </row>
    <row r="366" spans="1:10" x14ac:dyDescent="0.2">
      <c r="A366" s="4">
        <v>2763</v>
      </c>
      <c r="B366" t="s">
        <v>2</v>
      </c>
      <c r="C366" s="1">
        <v>1500</v>
      </c>
      <c r="D366">
        <v>4</v>
      </c>
      <c r="E366" t="s">
        <v>10</v>
      </c>
      <c r="F366" s="6">
        <f t="shared" si="25"/>
        <v>375</v>
      </c>
      <c r="G366" s="7">
        <f t="shared" si="26"/>
        <v>33.185840707964601</v>
      </c>
      <c r="H366" s="7">
        <f t="shared" si="27"/>
        <v>1.1061946902654867</v>
      </c>
      <c r="I366" s="5" t="str">
        <f t="shared" si="28"/>
        <v>бедность</v>
      </c>
      <c r="J366" t="str">
        <f t="shared" si="29"/>
        <v>не нуждается в помощи</v>
      </c>
    </row>
    <row r="367" spans="1:10" x14ac:dyDescent="0.2">
      <c r="A367" s="4">
        <v>2294</v>
      </c>
      <c r="B367" t="s">
        <v>3</v>
      </c>
      <c r="C367" s="1">
        <v>1500</v>
      </c>
      <c r="D367">
        <v>4</v>
      </c>
      <c r="E367" t="s">
        <v>10</v>
      </c>
      <c r="F367" s="6">
        <f t="shared" si="25"/>
        <v>375</v>
      </c>
      <c r="G367" s="7">
        <f t="shared" si="26"/>
        <v>33.185840707964601</v>
      </c>
      <c r="H367" s="7">
        <f t="shared" si="27"/>
        <v>1.1061946902654867</v>
      </c>
      <c r="I367" s="5" t="str">
        <f t="shared" si="28"/>
        <v>бедность</v>
      </c>
      <c r="J367" t="str">
        <f t="shared" si="29"/>
        <v>не нуждается в помощи</v>
      </c>
    </row>
    <row r="368" spans="1:10" x14ac:dyDescent="0.2">
      <c r="A368" s="4">
        <v>2047</v>
      </c>
      <c r="B368" t="s">
        <v>3</v>
      </c>
      <c r="C368" s="1">
        <v>1500</v>
      </c>
      <c r="D368">
        <v>4</v>
      </c>
      <c r="E368" t="s">
        <v>11</v>
      </c>
      <c r="F368" s="6">
        <f t="shared" si="25"/>
        <v>375</v>
      </c>
      <c r="G368" s="7">
        <f t="shared" si="26"/>
        <v>33.185840707964601</v>
      </c>
      <c r="H368" s="7">
        <f t="shared" si="27"/>
        <v>1.1061946902654867</v>
      </c>
      <c r="I368" s="5" t="str">
        <f t="shared" si="28"/>
        <v>бедность</v>
      </c>
      <c r="J368" t="str">
        <f t="shared" si="29"/>
        <v>не нуждается в помощи</v>
      </c>
    </row>
    <row r="369" spans="1:10" x14ac:dyDescent="0.2">
      <c r="A369" s="4">
        <v>2051</v>
      </c>
      <c r="B369" t="s">
        <v>3</v>
      </c>
      <c r="C369" s="1">
        <v>1800</v>
      </c>
      <c r="D369">
        <v>4</v>
      </c>
      <c r="E369" t="s">
        <v>10</v>
      </c>
      <c r="F369" s="6">
        <f t="shared" si="25"/>
        <v>450</v>
      </c>
      <c r="G369" s="7">
        <f t="shared" si="26"/>
        <v>39.823008849557517</v>
      </c>
      <c r="H369" s="7">
        <f t="shared" si="27"/>
        <v>1.3274336283185839</v>
      </c>
      <c r="I369" s="5" t="str">
        <f t="shared" si="28"/>
        <v>бедность</v>
      </c>
      <c r="J369" t="str">
        <f t="shared" si="29"/>
        <v>не нуждается в помощи</v>
      </c>
    </row>
    <row r="370" spans="1:10" x14ac:dyDescent="0.2">
      <c r="A370" s="4">
        <v>2216</v>
      </c>
      <c r="B370" t="s">
        <v>3</v>
      </c>
      <c r="C370" s="1">
        <v>1500</v>
      </c>
      <c r="D370">
        <v>4</v>
      </c>
      <c r="E370" t="s">
        <v>11</v>
      </c>
      <c r="F370" s="6">
        <f t="shared" si="25"/>
        <v>375</v>
      </c>
      <c r="G370" s="7">
        <f t="shared" si="26"/>
        <v>33.185840707964601</v>
      </c>
      <c r="H370" s="7">
        <f t="shared" si="27"/>
        <v>1.1061946902654867</v>
      </c>
      <c r="I370" s="5" t="str">
        <f t="shared" si="28"/>
        <v>бедность</v>
      </c>
      <c r="J370" t="str">
        <f t="shared" si="29"/>
        <v>не нуждается в помощи</v>
      </c>
    </row>
    <row r="371" spans="1:10" x14ac:dyDescent="0.2">
      <c r="A371" s="4">
        <v>1705</v>
      </c>
      <c r="B371" t="s">
        <v>3</v>
      </c>
      <c r="C371" s="1">
        <v>1500</v>
      </c>
      <c r="D371">
        <v>4</v>
      </c>
      <c r="E371" t="s">
        <v>10</v>
      </c>
      <c r="F371" s="6">
        <f t="shared" si="25"/>
        <v>375</v>
      </c>
      <c r="G371" s="7">
        <f t="shared" si="26"/>
        <v>33.185840707964601</v>
      </c>
      <c r="H371" s="7">
        <f t="shared" si="27"/>
        <v>1.1061946902654867</v>
      </c>
      <c r="I371" s="5" t="str">
        <f t="shared" si="28"/>
        <v>бедность</v>
      </c>
      <c r="J371" t="str">
        <f t="shared" si="29"/>
        <v>не нуждается в помощи</v>
      </c>
    </row>
    <row r="372" spans="1:10" x14ac:dyDescent="0.2">
      <c r="A372" s="4">
        <v>1950</v>
      </c>
      <c r="B372" t="s">
        <v>3</v>
      </c>
      <c r="C372" s="1">
        <v>2700</v>
      </c>
      <c r="D372">
        <v>4</v>
      </c>
      <c r="E372" t="s">
        <v>11</v>
      </c>
      <c r="F372" s="6">
        <f t="shared" si="25"/>
        <v>675</v>
      </c>
      <c r="G372" s="7">
        <f t="shared" si="26"/>
        <v>59.73451327433628</v>
      </c>
      <c r="H372" s="7">
        <f t="shared" si="27"/>
        <v>1.9911504424778759</v>
      </c>
      <c r="I372" s="5" t="str">
        <f t="shared" si="28"/>
        <v>ниже среднего</v>
      </c>
      <c r="J372" t="str">
        <f t="shared" si="29"/>
        <v>не нуждается в помощи</v>
      </c>
    </row>
    <row r="373" spans="1:10" x14ac:dyDescent="0.2">
      <c r="A373" s="4">
        <v>2813</v>
      </c>
      <c r="B373" t="s">
        <v>2</v>
      </c>
      <c r="C373" s="1">
        <v>2100</v>
      </c>
      <c r="D373">
        <v>4</v>
      </c>
      <c r="E373" t="s">
        <v>11</v>
      </c>
      <c r="F373" s="6">
        <f t="shared" si="25"/>
        <v>525</v>
      </c>
      <c r="G373" s="7">
        <f t="shared" si="26"/>
        <v>46.460176991150441</v>
      </c>
      <c r="H373" s="7">
        <f t="shared" si="27"/>
        <v>1.5486725663716814</v>
      </c>
      <c r="I373" s="5" t="str">
        <f t="shared" si="28"/>
        <v>ниже среднего</v>
      </c>
      <c r="J373" t="str">
        <f t="shared" si="29"/>
        <v>не нуждается в помощи</v>
      </c>
    </row>
    <row r="374" spans="1:10" x14ac:dyDescent="0.2">
      <c r="A374" s="4">
        <v>5262</v>
      </c>
      <c r="B374" t="s">
        <v>5</v>
      </c>
      <c r="C374" s="1">
        <v>3900</v>
      </c>
      <c r="D374">
        <v>4</v>
      </c>
      <c r="E374" t="s">
        <v>11</v>
      </c>
      <c r="F374" s="6">
        <f t="shared" si="25"/>
        <v>975</v>
      </c>
      <c r="G374" s="7">
        <f t="shared" si="26"/>
        <v>86.283185840707958</v>
      </c>
      <c r="H374" s="7">
        <f t="shared" si="27"/>
        <v>2.8761061946902653</v>
      </c>
      <c r="I374" s="5" t="str">
        <f t="shared" si="28"/>
        <v>средний</v>
      </c>
      <c r="J374" t="str">
        <f t="shared" si="29"/>
        <v>не нуждается в помощи</v>
      </c>
    </row>
    <row r="375" spans="1:10" x14ac:dyDescent="0.2">
      <c r="A375" s="4">
        <v>2027</v>
      </c>
      <c r="B375" t="s">
        <v>3</v>
      </c>
      <c r="C375" s="1">
        <v>2460</v>
      </c>
      <c r="D375">
        <v>4</v>
      </c>
      <c r="E375" t="s">
        <v>10</v>
      </c>
      <c r="F375" s="6">
        <f t="shared" si="25"/>
        <v>615</v>
      </c>
      <c r="G375" s="7">
        <f t="shared" si="26"/>
        <v>54.424778761061944</v>
      </c>
      <c r="H375" s="7">
        <f t="shared" si="27"/>
        <v>1.8141592920353982</v>
      </c>
      <c r="I375" s="5" t="str">
        <f t="shared" si="28"/>
        <v>ниже среднего</v>
      </c>
      <c r="J375" t="str">
        <f t="shared" si="29"/>
        <v>не нуждается в помощи</v>
      </c>
    </row>
    <row r="376" spans="1:10" x14ac:dyDescent="0.2">
      <c r="A376" s="4">
        <v>2684</v>
      </c>
      <c r="B376" t="s">
        <v>2</v>
      </c>
      <c r="C376" s="1">
        <v>1800</v>
      </c>
      <c r="D376">
        <v>4</v>
      </c>
      <c r="E376" t="s">
        <v>10</v>
      </c>
      <c r="F376" s="6">
        <f t="shared" si="25"/>
        <v>450</v>
      </c>
      <c r="G376" s="7">
        <f t="shared" si="26"/>
        <v>39.823008849557517</v>
      </c>
      <c r="H376" s="7">
        <f t="shared" si="27"/>
        <v>1.3274336283185839</v>
      </c>
      <c r="I376" s="5" t="str">
        <f t="shared" si="28"/>
        <v>бедность</v>
      </c>
      <c r="J376" t="str">
        <f t="shared" si="29"/>
        <v>не нуждается в помощи</v>
      </c>
    </row>
    <row r="377" spans="1:10" x14ac:dyDescent="0.2">
      <c r="A377" s="4">
        <v>2151</v>
      </c>
      <c r="B377" t="s">
        <v>3</v>
      </c>
      <c r="C377" s="1">
        <v>4200</v>
      </c>
      <c r="D377">
        <v>4</v>
      </c>
      <c r="E377" t="s">
        <v>11</v>
      </c>
      <c r="F377" s="6">
        <f t="shared" si="25"/>
        <v>1050</v>
      </c>
      <c r="G377" s="7">
        <f t="shared" si="26"/>
        <v>92.920353982300881</v>
      </c>
      <c r="H377" s="7">
        <f t="shared" si="27"/>
        <v>3.0973451327433628</v>
      </c>
      <c r="I377" s="5" t="str">
        <f t="shared" si="28"/>
        <v>средний</v>
      </c>
      <c r="J377" t="str">
        <f t="shared" si="29"/>
        <v>не нуждается в помощи</v>
      </c>
    </row>
    <row r="378" spans="1:10" x14ac:dyDescent="0.2">
      <c r="A378" s="4">
        <v>3235</v>
      </c>
      <c r="B378" t="s">
        <v>1</v>
      </c>
      <c r="C378" s="1">
        <v>4732</v>
      </c>
      <c r="D378">
        <v>4</v>
      </c>
      <c r="E378" t="s">
        <v>11</v>
      </c>
      <c r="F378" s="6">
        <f t="shared" si="25"/>
        <v>1183</v>
      </c>
      <c r="G378" s="7">
        <f t="shared" si="26"/>
        <v>104.69026548672565</v>
      </c>
      <c r="H378" s="7">
        <f t="shared" si="27"/>
        <v>3.4896755162241884</v>
      </c>
      <c r="I378" s="5" t="str">
        <f t="shared" si="28"/>
        <v>средний</v>
      </c>
      <c r="J378" t="str">
        <f t="shared" si="29"/>
        <v>не нуждается в помощи</v>
      </c>
    </row>
    <row r="379" spans="1:10" x14ac:dyDescent="0.2">
      <c r="A379" s="4">
        <v>1621</v>
      </c>
      <c r="B379" t="s">
        <v>5</v>
      </c>
      <c r="C379" s="1">
        <v>2000</v>
      </c>
      <c r="D379">
        <v>4</v>
      </c>
      <c r="E379" t="s">
        <v>11</v>
      </c>
      <c r="F379" s="6">
        <f t="shared" si="25"/>
        <v>500</v>
      </c>
      <c r="G379" s="7">
        <f t="shared" si="26"/>
        <v>44.247787610619469</v>
      </c>
      <c r="H379" s="7">
        <f t="shared" si="27"/>
        <v>1.4749262536873156</v>
      </c>
      <c r="I379" s="5" t="str">
        <f t="shared" si="28"/>
        <v>ниже среднего</v>
      </c>
      <c r="J379" t="str">
        <f t="shared" si="29"/>
        <v>не нуждается в помощи</v>
      </c>
    </row>
    <row r="380" spans="1:10" x14ac:dyDescent="0.2">
      <c r="A380" s="4">
        <v>2671</v>
      </c>
      <c r="B380" t="s">
        <v>2</v>
      </c>
      <c r="C380" s="1">
        <v>3200</v>
      </c>
      <c r="D380">
        <v>4</v>
      </c>
      <c r="E380" t="s">
        <v>11</v>
      </c>
      <c r="F380" s="6">
        <f t="shared" si="25"/>
        <v>800</v>
      </c>
      <c r="G380" s="7">
        <f t="shared" si="26"/>
        <v>70.796460176991147</v>
      </c>
      <c r="H380" s="7">
        <f t="shared" si="27"/>
        <v>2.359882005899705</v>
      </c>
      <c r="I380" s="5" t="str">
        <f t="shared" si="28"/>
        <v>ниже среднего</v>
      </c>
      <c r="J380" t="str">
        <f t="shared" si="29"/>
        <v>не нуждается в помощи</v>
      </c>
    </row>
    <row r="381" spans="1:10" x14ac:dyDescent="0.2">
      <c r="A381" s="4">
        <v>2677</v>
      </c>
      <c r="B381" t="s">
        <v>2</v>
      </c>
      <c r="C381" s="1">
        <v>4275</v>
      </c>
      <c r="D381">
        <v>4</v>
      </c>
      <c r="E381" t="s">
        <v>10</v>
      </c>
      <c r="F381" s="6">
        <f t="shared" si="25"/>
        <v>1068.75</v>
      </c>
      <c r="G381" s="7">
        <f t="shared" si="26"/>
        <v>94.579646017699105</v>
      </c>
      <c r="H381" s="7">
        <f t="shared" si="27"/>
        <v>3.1526548672566368</v>
      </c>
      <c r="I381" s="5" t="str">
        <f t="shared" si="28"/>
        <v>средний</v>
      </c>
      <c r="J381" t="str">
        <f t="shared" si="29"/>
        <v>не нуждается в помощи</v>
      </c>
    </row>
    <row r="382" spans="1:10" x14ac:dyDescent="0.2">
      <c r="A382" s="4">
        <v>6580</v>
      </c>
      <c r="B382" t="s">
        <v>3</v>
      </c>
      <c r="C382" s="1">
        <v>3500</v>
      </c>
      <c r="D382">
        <v>4</v>
      </c>
      <c r="E382" t="s">
        <v>10</v>
      </c>
      <c r="F382" s="6">
        <f t="shared" si="25"/>
        <v>875</v>
      </c>
      <c r="G382" s="7">
        <f t="shared" si="26"/>
        <v>77.43362831858407</v>
      </c>
      <c r="H382" s="7">
        <f t="shared" si="27"/>
        <v>2.5811209439528024</v>
      </c>
      <c r="I382" s="5" t="str">
        <f t="shared" si="28"/>
        <v>средний</v>
      </c>
      <c r="J382" t="str">
        <f t="shared" si="29"/>
        <v>не нуждается в помощи</v>
      </c>
    </row>
    <row r="383" spans="1:10" x14ac:dyDescent="0.2">
      <c r="A383" s="4">
        <v>2190</v>
      </c>
      <c r="B383" t="s">
        <v>3</v>
      </c>
      <c r="C383" s="1">
        <v>2300</v>
      </c>
      <c r="D383">
        <v>4</v>
      </c>
      <c r="E383" t="s">
        <v>10</v>
      </c>
      <c r="F383" s="6">
        <f t="shared" si="25"/>
        <v>575</v>
      </c>
      <c r="G383" s="7">
        <f t="shared" si="26"/>
        <v>50.884955752212385</v>
      </c>
      <c r="H383" s="7">
        <f t="shared" si="27"/>
        <v>1.696165191740413</v>
      </c>
      <c r="I383" s="5" t="str">
        <f t="shared" si="28"/>
        <v>ниже среднего</v>
      </c>
      <c r="J383" t="str">
        <f t="shared" si="29"/>
        <v>не нуждается в помощи</v>
      </c>
    </row>
    <row r="384" spans="1:10" x14ac:dyDescent="0.2">
      <c r="A384" s="4">
        <v>6746</v>
      </c>
      <c r="B384" t="s">
        <v>3</v>
      </c>
      <c r="C384" s="1">
        <v>2850</v>
      </c>
      <c r="D384">
        <v>4</v>
      </c>
      <c r="E384" t="s">
        <v>11</v>
      </c>
      <c r="F384" s="6">
        <f t="shared" si="25"/>
        <v>712.5</v>
      </c>
      <c r="G384" s="7">
        <f t="shared" si="26"/>
        <v>63.053097345132741</v>
      </c>
      <c r="H384" s="7">
        <f t="shared" si="27"/>
        <v>2.1017699115044248</v>
      </c>
      <c r="I384" s="5" t="str">
        <f t="shared" si="28"/>
        <v>ниже среднего</v>
      </c>
      <c r="J384" t="str">
        <f t="shared" si="29"/>
        <v>не нуждается в помощи</v>
      </c>
    </row>
    <row r="385" spans="1:10" x14ac:dyDescent="0.2">
      <c r="A385" s="4">
        <v>3104</v>
      </c>
      <c r="B385" t="s">
        <v>1</v>
      </c>
      <c r="C385" s="1">
        <v>2400</v>
      </c>
      <c r="D385">
        <v>4</v>
      </c>
      <c r="E385" t="s">
        <v>11</v>
      </c>
      <c r="F385" s="6">
        <f t="shared" si="25"/>
        <v>600</v>
      </c>
      <c r="G385" s="7">
        <f t="shared" si="26"/>
        <v>53.097345132743357</v>
      </c>
      <c r="H385" s="7">
        <f t="shared" si="27"/>
        <v>1.7699115044247786</v>
      </c>
      <c r="I385" s="5" t="str">
        <f t="shared" si="28"/>
        <v>ниже среднего</v>
      </c>
      <c r="J385" t="str">
        <f t="shared" si="29"/>
        <v>не нуждается в помощи</v>
      </c>
    </row>
    <row r="386" spans="1:10" x14ac:dyDescent="0.2">
      <c r="A386" s="4">
        <v>3043</v>
      </c>
      <c r="B386" t="s">
        <v>1</v>
      </c>
      <c r="C386" s="1">
        <v>6500</v>
      </c>
      <c r="D386">
        <v>4</v>
      </c>
      <c r="E386" t="s">
        <v>11</v>
      </c>
      <c r="F386" s="6">
        <f t="shared" ref="F386:F449" si="30">C386/D386</f>
        <v>1625</v>
      </c>
      <c r="G386" s="7">
        <f t="shared" ref="G386:G449" si="31">(C386/D386)/rate</f>
        <v>143.80530973451326</v>
      </c>
      <c r="H386" s="7">
        <f t="shared" ref="H386:H449" si="32">((C386/D386)/30)/rate</f>
        <v>4.7935103244837753</v>
      </c>
      <c r="I386" s="5" t="str">
        <f t="shared" ref="I386:I449" si="33">IF(H386&lt;0.89, "крайняя бедность", IF(AND(H386&gt;0.89, H386&lt;1.33), "бедность", IF(AND(H386&gt;1.33,H386&lt;2.5),"ниже среднего", IF(AND(H386&gt;2.5,H386&lt;4), "средний", IF(H386&gt;4,"в достатке",0)))))</f>
        <v>в достатке</v>
      </c>
      <c r="J386" t="str">
        <f t="shared" si="29"/>
        <v>не нуждается в помощи</v>
      </c>
    </row>
    <row r="387" spans="1:10" x14ac:dyDescent="0.2">
      <c r="A387" s="4">
        <v>2965</v>
      </c>
      <c r="B387" t="s">
        <v>1</v>
      </c>
      <c r="C387" s="1">
        <v>3300</v>
      </c>
      <c r="D387">
        <v>4</v>
      </c>
      <c r="E387" t="s">
        <v>10</v>
      </c>
      <c r="F387" s="6">
        <f t="shared" si="30"/>
        <v>825</v>
      </c>
      <c r="G387" s="7">
        <f t="shared" si="31"/>
        <v>73.008849557522126</v>
      </c>
      <c r="H387" s="7">
        <f t="shared" si="32"/>
        <v>2.4336283185840708</v>
      </c>
      <c r="I387" s="5" t="str">
        <f t="shared" si="33"/>
        <v>ниже среднего</v>
      </c>
      <c r="J387" t="str">
        <f t="shared" ref="J387:J450" si="34">IF(AND(I396="крайняя бедность",E396="Нет"), "нуждается в помощи", "не нуждается в помощи")</f>
        <v>не нуждается в помощи</v>
      </c>
    </row>
    <row r="388" spans="1:10" x14ac:dyDescent="0.2">
      <c r="A388" s="4">
        <v>3099</v>
      </c>
      <c r="B388" t="s">
        <v>1</v>
      </c>
      <c r="C388" s="1">
        <v>7500</v>
      </c>
      <c r="D388">
        <v>4</v>
      </c>
      <c r="E388" t="s">
        <v>11</v>
      </c>
      <c r="F388" s="6">
        <f t="shared" si="30"/>
        <v>1875</v>
      </c>
      <c r="G388" s="7">
        <f t="shared" si="31"/>
        <v>165.92920353982299</v>
      </c>
      <c r="H388" s="7">
        <f t="shared" si="32"/>
        <v>5.5309734513274336</v>
      </c>
      <c r="I388" s="5" t="str">
        <f t="shared" si="33"/>
        <v>в достатке</v>
      </c>
      <c r="J388" t="str">
        <f t="shared" si="34"/>
        <v>не нуждается в помощи</v>
      </c>
    </row>
    <row r="389" spans="1:10" x14ac:dyDescent="0.2">
      <c r="A389" s="4">
        <v>2285</v>
      </c>
      <c r="B389" t="s">
        <v>3</v>
      </c>
      <c r="C389" s="1">
        <v>3350</v>
      </c>
      <c r="D389">
        <v>4</v>
      </c>
      <c r="E389" t="s">
        <v>10</v>
      </c>
      <c r="F389" s="6">
        <f t="shared" si="30"/>
        <v>837.5</v>
      </c>
      <c r="G389" s="7">
        <f t="shared" si="31"/>
        <v>74.115044247787608</v>
      </c>
      <c r="H389" s="7">
        <f t="shared" si="32"/>
        <v>2.4705014749262535</v>
      </c>
      <c r="I389" s="5" t="str">
        <f t="shared" si="33"/>
        <v>ниже среднего</v>
      </c>
      <c r="J389" t="str">
        <f t="shared" si="34"/>
        <v>не нуждается в помощи</v>
      </c>
    </row>
    <row r="390" spans="1:10" x14ac:dyDescent="0.2">
      <c r="A390" s="4">
        <v>1719</v>
      </c>
      <c r="B390" t="s">
        <v>3</v>
      </c>
      <c r="C390" s="1">
        <v>3740</v>
      </c>
      <c r="D390">
        <v>4</v>
      </c>
      <c r="E390" t="s">
        <v>10</v>
      </c>
      <c r="F390" s="6">
        <f t="shared" si="30"/>
        <v>935</v>
      </c>
      <c r="G390" s="7">
        <f t="shared" si="31"/>
        <v>82.743362831858406</v>
      </c>
      <c r="H390" s="7">
        <f t="shared" si="32"/>
        <v>2.7581120943952802</v>
      </c>
      <c r="I390" s="5" t="str">
        <f t="shared" si="33"/>
        <v>средний</v>
      </c>
      <c r="J390" t="str">
        <f t="shared" si="34"/>
        <v>не нуждается в помощи</v>
      </c>
    </row>
    <row r="391" spans="1:10" x14ac:dyDescent="0.2">
      <c r="A391" s="4">
        <v>2251</v>
      </c>
      <c r="B391" t="s">
        <v>3</v>
      </c>
      <c r="C391" s="1">
        <v>8000</v>
      </c>
      <c r="D391">
        <v>4</v>
      </c>
      <c r="E391" t="s">
        <v>10</v>
      </c>
      <c r="F391" s="6">
        <f t="shared" si="30"/>
        <v>2000</v>
      </c>
      <c r="G391" s="7">
        <f t="shared" si="31"/>
        <v>176.99115044247787</v>
      </c>
      <c r="H391" s="7">
        <f t="shared" si="32"/>
        <v>5.8997050147492622</v>
      </c>
      <c r="I391" s="5" t="str">
        <f t="shared" si="33"/>
        <v>в достатке</v>
      </c>
      <c r="J391" t="str">
        <f t="shared" si="34"/>
        <v>не нуждается в помощи</v>
      </c>
    </row>
    <row r="392" spans="1:10" x14ac:dyDescent="0.2">
      <c r="A392" s="4">
        <v>2253</v>
      </c>
      <c r="B392" t="s">
        <v>3</v>
      </c>
      <c r="C392" s="1">
        <v>6000</v>
      </c>
      <c r="D392">
        <v>4</v>
      </c>
      <c r="E392" t="s">
        <v>11</v>
      </c>
      <c r="F392" s="6">
        <f t="shared" si="30"/>
        <v>1500</v>
      </c>
      <c r="G392" s="7">
        <f t="shared" si="31"/>
        <v>132.74336283185841</v>
      </c>
      <c r="H392" s="7">
        <f t="shared" si="32"/>
        <v>4.4247787610619467</v>
      </c>
      <c r="I392" s="5" t="str">
        <f t="shared" si="33"/>
        <v>в достатке</v>
      </c>
      <c r="J392" t="str">
        <f t="shared" si="34"/>
        <v>не нуждается в помощи</v>
      </c>
    </row>
    <row r="393" spans="1:10" x14ac:dyDescent="0.2">
      <c r="A393" s="4">
        <v>3192</v>
      </c>
      <c r="B393" t="s">
        <v>1</v>
      </c>
      <c r="C393" s="1">
        <v>3700</v>
      </c>
      <c r="D393">
        <v>4</v>
      </c>
      <c r="E393" t="s">
        <v>11</v>
      </c>
      <c r="F393" s="6">
        <f t="shared" si="30"/>
        <v>925</v>
      </c>
      <c r="G393" s="7">
        <f t="shared" si="31"/>
        <v>81.858407079646014</v>
      </c>
      <c r="H393" s="7">
        <f t="shared" si="32"/>
        <v>2.7286135693215336</v>
      </c>
      <c r="I393" s="5" t="str">
        <f t="shared" si="33"/>
        <v>средний</v>
      </c>
      <c r="J393" t="str">
        <f t="shared" si="34"/>
        <v>не нуждается в помощи</v>
      </c>
    </row>
    <row r="394" spans="1:10" x14ac:dyDescent="0.2">
      <c r="A394" s="4">
        <v>5241</v>
      </c>
      <c r="B394" t="s">
        <v>5</v>
      </c>
      <c r="C394" s="1">
        <v>4280</v>
      </c>
      <c r="D394">
        <v>4</v>
      </c>
      <c r="E394" t="s">
        <v>11</v>
      </c>
      <c r="F394" s="6">
        <f t="shared" si="30"/>
        <v>1070</v>
      </c>
      <c r="G394" s="7">
        <f t="shared" si="31"/>
        <v>94.690265486725664</v>
      </c>
      <c r="H394" s="7">
        <f t="shared" si="32"/>
        <v>3.1563421828908549</v>
      </c>
      <c r="I394" s="5" t="str">
        <f t="shared" si="33"/>
        <v>средний</v>
      </c>
      <c r="J394" t="str">
        <f t="shared" si="34"/>
        <v>не нуждается в помощи</v>
      </c>
    </row>
    <row r="395" spans="1:10" x14ac:dyDescent="0.2">
      <c r="A395" s="4">
        <v>1529</v>
      </c>
      <c r="B395" t="s">
        <v>5</v>
      </c>
      <c r="C395" s="1">
        <v>8500</v>
      </c>
      <c r="D395">
        <v>4</v>
      </c>
      <c r="E395" t="s">
        <v>11</v>
      </c>
      <c r="F395" s="6">
        <f t="shared" si="30"/>
        <v>2125</v>
      </c>
      <c r="G395" s="7">
        <f t="shared" si="31"/>
        <v>188.05309734513273</v>
      </c>
      <c r="H395" s="7">
        <f t="shared" si="32"/>
        <v>6.2684365781710909</v>
      </c>
      <c r="I395" s="5" t="str">
        <f t="shared" si="33"/>
        <v>в достатке</v>
      </c>
      <c r="J395" t="str">
        <f t="shared" si="34"/>
        <v>не нуждается в помощи</v>
      </c>
    </row>
    <row r="396" spans="1:10" x14ac:dyDescent="0.2">
      <c r="A396" s="4">
        <v>2179</v>
      </c>
      <c r="B396" t="s">
        <v>3</v>
      </c>
      <c r="C396" s="1">
        <v>8000</v>
      </c>
      <c r="D396">
        <v>4</v>
      </c>
      <c r="E396" t="s">
        <v>11</v>
      </c>
      <c r="F396" s="6">
        <f t="shared" si="30"/>
        <v>2000</v>
      </c>
      <c r="G396" s="7">
        <f t="shared" si="31"/>
        <v>176.99115044247787</v>
      </c>
      <c r="H396" s="7">
        <f t="shared" si="32"/>
        <v>5.8997050147492622</v>
      </c>
      <c r="I396" s="5" t="str">
        <f t="shared" si="33"/>
        <v>в достатке</v>
      </c>
      <c r="J396" t="str">
        <f t="shared" si="34"/>
        <v>не нуждается в помощи</v>
      </c>
    </row>
    <row r="397" spans="1:10" x14ac:dyDescent="0.2">
      <c r="A397" s="4">
        <v>2513</v>
      </c>
      <c r="B397" t="s">
        <v>0</v>
      </c>
      <c r="C397" s="1">
        <v>3500</v>
      </c>
      <c r="D397">
        <v>4</v>
      </c>
      <c r="E397" t="s">
        <v>10</v>
      </c>
      <c r="F397" s="6">
        <f t="shared" si="30"/>
        <v>875</v>
      </c>
      <c r="G397" s="7">
        <f t="shared" si="31"/>
        <v>77.43362831858407</v>
      </c>
      <c r="H397" s="7">
        <f t="shared" si="32"/>
        <v>2.5811209439528024</v>
      </c>
      <c r="I397" s="5" t="str">
        <f t="shared" si="33"/>
        <v>средний</v>
      </c>
      <c r="J397" t="str">
        <f t="shared" si="34"/>
        <v>нуждается в помощи</v>
      </c>
    </row>
    <row r="398" spans="1:10" x14ac:dyDescent="0.2">
      <c r="A398" s="4">
        <v>2234</v>
      </c>
      <c r="B398" t="s">
        <v>3</v>
      </c>
      <c r="C398" s="1">
        <v>6390</v>
      </c>
      <c r="D398">
        <v>4</v>
      </c>
      <c r="E398" t="s">
        <v>11</v>
      </c>
      <c r="F398" s="6">
        <f t="shared" si="30"/>
        <v>1597.5</v>
      </c>
      <c r="G398" s="7">
        <f t="shared" si="31"/>
        <v>141.3716814159292</v>
      </c>
      <c r="H398" s="7">
        <f t="shared" si="32"/>
        <v>4.7123893805309729</v>
      </c>
      <c r="I398" s="5" t="str">
        <f t="shared" si="33"/>
        <v>в достатке</v>
      </c>
      <c r="J398" t="str">
        <f t="shared" si="34"/>
        <v>не нуждается в помощи</v>
      </c>
    </row>
    <row r="399" spans="1:10" x14ac:dyDescent="0.2">
      <c r="A399" s="4">
        <v>5621</v>
      </c>
      <c r="B399" t="s">
        <v>0</v>
      </c>
      <c r="C399" s="1">
        <v>3700</v>
      </c>
      <c r="D399">
        <v>4</v>
      </c>
      <c r="E399" t="s">
        <v>11</v>
      </c>
      <c r="F399" s="6">
        <f t="shared" si="30"/>
        <v>925</v>
      </c>
      <c r="G399" s="7">
        <f t="shared" si="31"/>
        <v>81.858407079646014</v>
      </c>
      <c r="H399" s="7">
        <f t="shared" si="32"/>
        <v>2.7286135693215336</v>
      </c>
      <c r="I399" s="5" t="str">
        <f t="shared" si="33"/>
        <v>средний</v>
      </c>
      <c r="J399" t="str">
        <f t="shared" si="34"/>
        <v>нуждается в помощи</v>
      </c>
    </row>
    <row r="400" spans="1:10" x14ac:dyDescent="0.2">
      <c r="A400" s="4">
        <v>2098</v>
      </c>
      <c r="B400" t="s">
        <v>3</v>
      </c>
      <c r="C400" s="1">
        <v>8500</v>
      </c>
      <c r="D400">
        <v>4</v>
      </c>
      <c r="E400" t="s">
        <v>11</v>
      </c>
      <c r="F400" s="6">
        <f t="shared" si="30"/>
        <v>2125</v>
      </c>
      <c r="G400" s="7">
        <f t="shared" si="31"/>
        <v>188.05309734513273</v>
      </c>
      <c r="H400" s="7">
        <f t="shared" si="32"/>
        <v>6.2684365781710909</v>
      </c>
      <c r="I400" s="5" t="str">
        <f t="shared" si="33"/>
        <v>в достатке</v>
      </c>
      <c r="J400" t="str">
        <f t="shared" si="34"/>
        <v>не нуждается в помощи</v>
      </c>
    </row>
    <row r="401" spans="1:10" x14ac:dyDescent="0.2">
      <c r="A401" s="4">
        <v>1571</v>
      </c>
      <c r="B401" t="s">
        <v>5</v>
      </c>
      <c r="C401" s="1">
        <v>6300</v>
      </c>
      <c r="D401">
        <v>4</v>
      </c>
      <c r="E401" t="s">
        <v>11</v>
      </c>
      <c r="F401" s="6">
        <f t="shared" si="30"/>
        <v>1575</v>
      </c>
      <c r="G401" s="7">
        <f t="shared" si="31"/>
        <v>139.38053097345133</v>
      </c>
      <c r="H401" s="7">
        <f t="shared" si="32"/>
        <v>4.6460176991150437</v>
      </c>
      <c r="I401" s="5" t="str">
        <f t="shared" si="33"/>
        <v>в достатке</v>
      </c>
      <c r="J401" t="str">
        <f t="shared" si="34"/>
        <v>не нуждается в помощи</v>
      </c>
    </row>
    <row r="402" spans="1:10" x14ac:dyDescent="0.2">
      <c r="A402" s="4">
        <v>2101</v>
      </c>
      <c r="B402" t="s">
        <v>3</v>
      </c>
      <c r="C402" s="1">
        <v>5000</v>
      </c>
      <c r="D402">
        <v>4</v>
      </c>
      <c r="E402" t="s">
        <v>11</v>
      </c>
      <c r="F402" s="6">
        <f t="shared" si="30"/>
        <v>1250</v>
      </c>
      <c r="G402" s="7">
        <f t="shared" si="31"/>
        <v>110.61946902654867</v>
      </c>
      <c r="H402" s="7">
        <f t="shared" si="32"/>
        <v>3.6873156342182885</v>
      </c>
      <c r="I402" s="5" t="str">
        <f t="shared" si="33"/>
        <v>средний</v>
      </c>
      <c r="J402" t="str">
        <f t="shared" si="34"/>
        <v>нуждается в помощи</v>
      </c>
    </row>
    <row r="403" spans="1:10" x14ac:dyDescent="0.2">
      <c r="A403" s="4">
        <v>1669</v>
      </c>
      <c r="B403" t="s">
        <v>5</v>
      </c>
      <c r="C403" s="1">
        <v>14406</v>
      </c>
      <c r="D403">
        <v>4</v>
      </c>
      <c r="E403" t="s">
        <v>11</v>
      </c>
      <c r="F403" s="6">
        <f t="shared" si="30"/>
        <v>3601.5</v>
      </c>
      <c r="G403" s="7">
        <f t="shared" si="31"/>
        <v>318.71681415929203</v>
      </c>
      <c r="H403" s="7">
        <f t="shared" si="32"/>
        <v>10.623893805309734</v>
      </c>
      <c r="I403" s="5" t="str">
        <f t="shared" si="33"/>
        <v>в достатке</v>
      </c>
      <c r="J403" t="str">
        <f t="shared" si="34"/>
        <v>нуждается в помощи</v>
      </c>
    </row>
    <row r="404" spans="1:10" x14ac:dyDescent="0.2">
      <c r="A404" s="4">
        <v>2769</v>
      </c>
      <c r="B404" t="s">
        <v>2</v>
      </c>
      <c r="C404" s="1">
        <v>15000</v>
      </c>
      <c r="D404">
        <v>4</v>
      </c>
      <c r="E404" t="s">
        <v>10</v>
      </c>
      <c r="F404" s="6">
        <f t="shared" si="30"/>
        <v>3750</v>
      </c>
      <c r="G404" s="7">
        <f t="shared" si="31"/>
        <v>331.85840707964599</v>
      </c>
      <c r="H404" s="7">
        <f t="shared" si="32"/>
        <v>11.061946902654867</v>
      </c>
      <c r="I404" s="5" t="str">
        <f t="shared" si="33"/>
        <v>в достатке</v>
      </c>
      <c r="J404" t="str">
        <f t="shared" si="34"/>
        <v>не нуждается в помощи</v>
      </c>
    </row>
    <row r="405" spans="1:10" x14ac:dyDescent="0.2">
      <c r="A405" s="4">
        <v>5189</v>
      </c>
      <c r="B405" t="s">
        <v>4</v>
      </c>
      <c r="C405" s="1">
        <v>18000</v>
      </c>
      <c r="D405">
        <v>4</v>
      </c>
      <c r="E405" t="s">
        <v>11</v>
      </c>
      <c r="F405" s="6">
        <f t="shared" si="30"/>
        <v>4500</v>
      </c>
      <c r="G405" s="7">
        <f t="shared" si="31"/>
        <v>398.23008849557522</v>
      </c>
      <c r="H405" s="7">
        <f t="shared" si="32"/>
        <v>13.274336283185839</v>
      </c>
      <c r="I405" s="5" t="str">
        <f t="shared" si="33"/>
        <v>в достатке</v>
      </c>
      <c r="J405" t="str">
        <f t="shared" si="34"/>
        <v>не нуждается в помощи</v>
      </c>
    </row>
    <row r="406" spans="1:10" x14ac:dyDescent="0.2">
      <c r="A406" s="4">
        <v>2744</v>
      </c>
      <c r="B406" t="s">
        <v>2</v>
      </c>
      <c r="C406">
        <v>75</v>
      </c>
      <c r="D406">
        <v>3</v>
      </c>
      <c r="E406" t="s">
        <v>10</v>
      </c>
      <c r="F406" s="6">
        <f t="shared" si="30"/>
        <v>25</v>
      </c>
      <c r="G406" s="7">
        <f t="shared" si="31"/>
        <v>2.2123893805309733</v>
      </c>
      <c r="H406" s="7">
        <f t="shared" si="32"/>
        <v>7.3746312684365781E-2</v>
      </c>
      <c r="I406" s="5" t="str">
        <f t="shared" si="33"/>
        <v>крайняя бедность</v>
      </c>
      <c r="J406" t="str">
        <f t="shared" si="34"/>
        <v>не нуждается в помощи</v>
      </c>
    </row>
    <row r="407" spans="1:10" x14ac:dyDescent="0.2">
      <c r="A407" s="4">
        <v>2189</v>
      </c>
      <c r="B407" t="s">
        <v>3</v>
      </c>
      <c r="C407">
        <v>630</v>
      </c>
      <c r="D407">
        <v>3</v>
      </c>
      <c r="E407" t="s">
        <v>11</v>
      </c>
      <c r="F407" s="6">
        <f t="shared" si="30"/>
        <v>210</v>
      </c>
      <c r="G407" s="7">
        <f t="shared" si="31"/>
        <v>18.584070796460175</v>
      </c>
      <c r="H407" s="7">
        <f t="shared" si="32"/>
        <v>0.61946902654867253</v>
      </c>
      <c r="I407" s="5" t="str">
        <f t="shared" si="33"/>
        <v>крайняя бедность</v>
      </c>
      <c r="J407" t="str">
        <f t="shared" si="34"/>
        <v>не нуждается в помощи</v>
      </c>
    </row>
    <row r="408" spans="1:10" x14ac:dyDescent="0.2">
      <c r="A408" s="4">
        <v>2990</v>
      </c>
      <c r="B408" t="s">
        <v>1</v>
      </c>
      <c r="C408">
        <v>185</v>
      </c>
      <c r="D408">
        <v>3</v>
      </c>
      <c r="E408" t="s">
        <v>10</v>
      </c>
      <c r="F408" s="6">
        <f t="shared" si="30"/>
        <v>61.666666666666664</v>
      </c>
      <c r="G408" s="7">
        <f t="shared" si="31"/>
        <v>5.4572271386430673</v>
      </c>
      <c r="H408" s="7">
        <f t="shared" si="32"/>
        <v>0.18190757128810223</v>
      </c>
      <c r="I408" s="5" t="str">
        <f t="shared" si="33"/>
        <v>крайняя бедность</v>
      </c>
      <c r="J408" t="str">
        <f t="shared" si="34"/>
        <v>нуждается в помощи</v>
      </c>
    </row>
    <row r="409" spans="1:10" x14ac:dyDescent="0.2">
      <c r="A409" s="4">
        <v>1777</v>
      </c>
      <c r="B409" t="s">
        <v>3</v>
      </c>
      <c r="C409">
        <v>100</v>
      </c>
      <c r="D409">
        <v>3</v>
      </c>
      <c r="E409" t="s">
        <v>11</v>
      </c>
      <c r="F409" s="6">
        <f t="shared" si="30"/>
        <v>33.333333333333336</v>
      </c>
      <c r="G409" s="7">
        <f t="shared" si="31"/>
        <v>2.9498525073746311</v>
      </c>
      <c r="H409" s="7">
        <f t="shared" si="32"/>
        <v>9.8328416912487712E-2</v>
      </c>
      <c r="I409" s="5" t="str">
        <f t="shared" si="33"/>
        <v>крайняя бедность</v>
      </c>
      <c r="J409" t="str">
        <f t="shared" si="34"/>
        <v>не нуждается в помощи</v>
      </c>
    </row>
    <row r="410" spans="1:10" x14ac:dyDescent="0.2">
      <c r="A410" s="4">
        <v>1932</v>
      </c>
      <c r="B410" t="s">
        <v>3</v>
      </c>
      <c r="C410">
        <v>100</v>
      </c>
      <c r="D410">
        <v>3</v>
      </c>
      <c r="E410" t="s">
        <v>11</v>
      </c>
      <c r="F410" s="6">
        <f t="shared" si="30"/>
        <v>33.333333333333336</v>
      </c>
      <c r="G410" s="7">
        <f t="shared" si="31"/>
        <v>2.9498525073746311</v>
      </c>
      <c r="H410" s="7">
        <f t="shared" si="32"/>
        <v>9.8328416912487712E-2</v>
      </c>
      <c r="I410" s="5" t="str">
        <f t="shared" si="33"/>
        <v>крайняя бедность</v>
      </c>
      <c r="J410" t="str">
        <f t="shared" si="34"/>
        <v>нуждается в помощи</v>
      </c>
    </row>
    <row r="411" spans="1:10" x14ac:dyDescent="0.2">
      <c r="A411" s="4">
        <v>2422</v>
      </c>
      <c r="B411" t="s">
        <v>0</v>
      </c>
      <c r="C411">
        <v>100</v>
      </c>
      <c r="D411">
        <v>3</v>
      </c>
      <c r="E411" t="s">
        <v>10</v>
      </c>
      <c r="F411" s="6">
        <f t="shared" si="30"/>
        <v>33.333333333333336</v>
      </c>
      <c r="G411" s="7">
        <f t="shared" si="31"/>
        <v>2.9498525073746311</v>
      </c>
      <c r="H411" s="7">
        <f t="shared" si="32"/>
        <v>9.8328416912487712E-2</v>
      </c>
      <c r="I411" s="5" t="str">
        <f t="shared" si="33"/>
        <v>крайняя бедность</v>
      </c>
      <c r="J411" t="str">
        <f t="shared" si="34"/>
        <v>не нуждается в помощи</v>
      </c>
    </row>
    <row r="412" spans="1:10" x14ac:dyDescent="0.2">
      <c r="A412" s="4">
        <v>2438</v>
      </c>
      <c r="B412" t="s">
        <v>0</v>
      </c>
      <c r="C412">
        <v>370</v>
      </c>
      <c r="D412">
        <v>3</v>
      </c>
      <c r="E412" t="s">
        <v>10</v>
      </c>
      <c r="F412" s="6">
        <f t="shared" si="30"/>
        <v>123.33333333333333</v>
      </c>
      <c r="G412" s="7">
        <f t="shared" si="31"/>
        <v>10.914454277286135</v>
      </c>
      <c r="H412" s="7">
        <f t="shared" si="32"/>
        <v>0.36381514257620445</v>
      </c>
      <c r="I412" s="5" t="str">
        <f t="shared" si="33"/>
        <v>крайняя бедность</v>
      </c>
      <c r="J412" t="str">
        <f t="shared" si="34"/>
        <v>нуждается в помощи</v>
      </c>
    </row>
    <row r="413" spans="1:10" x14ac:dyDescent="0.2">
      <c r="A413" s="4">
        <v>2505</v>
      </c>
      <c r="B413" t="s">
        <v>0</v>
      </c>
      <c r="C413">
        <v>2120</v>
      </c>
      <c r="D413">
        <v>3</v>
      </c>
      <c r="E413" t="s">
        <v>11</v>
      </c>
      <c r="F413" s="6">
        <f t="shared" si="30"/>
        <v>706.66666666666663</v>
      </c>
      <c r="G413" s="7">
        <f t="shared" si="31"/>
        <v>62.536873156342175</v>
      </c>
      <c r="H413" s="7">
        <f t="shared" si="32"/>
        <v>2.0845624385447392</v>
      </c>
      <c r="I413" s="5" t="str">
        <f t="shared" si="33"/>
        <v>ниже среднего</v>
      </c>
      <c r="J413" t="str">
        <f t="shared" si="34"/>
        <v>не нуждается в помощи</v>
      </c>
    </row>
    <row r="414" spans="1:10" x14ac:dyDescent="0.2">
      <c r="A414" s="4">
        <v>1969</v>
      </c>
      <c r="B414" t="s">
        <v>3</v>
      </c>
      <c r="C414">
        <v>150</v>
      </c>
      <c r="D414">
        <v>3</v>
      </c>
      <c r="E414" t="s">
        <v>11</v>
      </c>
      <c r="F414" s="6">
        <f t="shared" si="30"/>
        <v>50</v>
      </c>
      <c r="G414" s="7">
        <f t="shared" si="31"/>
        <v>4.4247787610619467</v>
      </c>
      <c r="H414" s="7">
        <f t="shared" si="32"/>
        <v>0.14749262536873156</v>
      </c>
      <c r="I414" s="5" t="str">
        <f t="shared" si="33"/>
        <v>крайняя бедность</v>
      </c>
      <c r="J414" t="str">
        <f t="shared" si="34"/>
        <v>не нуждается в помощи</v>
      </c>
    </row>
    <row r="415" spans="1:10" x14ac:dyDescent="0.2">
      <c r="A415" s="4">
        <v>1919</v>
      </c>
      <c r="B415" t="s">
        <v>3</v>
      </c>
      <c r="C415">
        <v>150</v>
      </c>
      <c r="D415">
        <v>3</v>
      </c>
      <c r="E415" t="s">
        <v>11</v>
      </c>
      <c r="F415" s="6">
        <f t="shared" si="30"/>
        <v>50</v>
      </c>
      <c r="G415" s="7">
        <f t="shared" si="31"/>
        <v>4.4247787610619467</v>
      </c>
      <c r="H415" s="7">
        <f t="shared" si="32"/>
        <v>0.14749262536873156</v>
      </c>
      <c r="I415" s="5" t="str">
        <f t="shared" si="33"/>
        <v>крайняя бедность</v>
      </c>
      <c r="J415" t="str">
        <f t="shared" si="34"/>
        <v>не нуждается в помощи</v>
      </c>
    </row>
    <row r="416" spans="1:10" x14ac:dyDescent="0.2">
      <c r="A416" s="4">
        <v>2570</v>
      </c>
      <c r="B416" t="s">
        <v>0</v>
      </c>
      <c r="C416">
        <v>150</v>
      </c>
      <c r="D416">
        <v>3</v>
      </c>
      <c r="E416" t="s">
        <v>11</v>
      </c>
      <c r="F416" s="6">
        <f t="shared" si="30"/>
        <v>50</v>
      </c>
      <c r="G416" s="7">
        <f t="shared" si="31"/>
        <v>4.4247787610619467</v>
      </c>
      <c r="H416" s="7">
        <f t="shared" si="32"/>
        <v>0.14749262536873156</v>
      </c>
      <c r="I416" s="5" t="str">
        <f t="shared" si="33"/>
        <v>крайняя бедность</v>
      </c>
      <c r="J416" t="str">
        <f t="shared" si="34"/>
        <v>не нуждается в помощи</v>
      </c>
    </row>
    <row r="417" spans="1:10" x14ac:dyDescent="0.2">
      <c r="A417" s="4">
        <v>2423</v>
      </c>
      <c r="B417" t="s">
        <v>0</v>
      </c>
      <c r="C417">
        <v>380</v>
      </c>
      <c r="D417">
        <v>3</v>
      </c>
      <c r="E417" t="s">
        <v>10</v>
      </c>
      <c r="F417" s="6">
        <f t="shared" si="30"/>
        <v>126.66666666666667</v>
      </c>
      <c r="G417" s="7">
        <f t="shared" si="31"/>
        <v>11.209439528023598</v>
      </c>
      <c r="H417" s="7">
        <f t="shared" si="32"/>
        <v>0.37364798426745327</v>
      </c>
      <c r="I417" s="5" t="str">
        <f t="shared" si="33"/>
        <v>крайняя бедность</v>
      </c>
      <c r="J417" t="str">
        <f t="shared" si="34"/>
        <v>не нуждается в помощи</v>
      </c>
    </row>
    <row r="418" spans="1:10" x14ac:dyDescent="0.2">
      <c r="A418" s="4">
        <v>1943</v>
      </c>
      <c r="B418" t="s">
        <v>3</v>
      </c>
      <c r="C418">
        <v>570</v>
      </c>
      <c r="D418">
        <v>3</v>
      </c>
      <c r="E418" t="s">
        <v>11</v>
      </c>
      <c r="F418" s="6">
        <f t="shared" si="30"/>
        <v>190</v>
      </c>
      <c r="G418" s="7">
        <f t="shared" si="31"/>
        <v>16.814159292035399</v>
      </c>
      <c r="H418" s="7">
        <f t="shared" si="32"/>
        <v>0.56047197640117985</v>
      </c>
      <c r="I418" s="5" t="str">
        <f t="shared" si="33"/>
        <v>крайняя бедность</v>
      </c>
      <c r="J418" t="str">
        <f t="shared" si="34"/>
        <v>не нуждается в помощи</v>
      </c>
    </row>
    <row r="419" spans="1:10" x14ac:dyDescent="0.2">
      <c r="A419" s="4">
        <v>2343</v>
      </c>
      <c r="B419" t="s">
        <v>0</v>
      </c>
      <c r="C419">
        <v>200</v>
      </c>
      <c r="D419">
        <v>3</v>
      </c>
      <c r="E419" t="s">
        <v>10</v>
      </c>
      <c r="F419" s="6">
        <f t="shared" si="30"/>
        <v>66.666666666666671</v>
      </c>
      <c r="G419" s="7">
        <f t="shared" si="31"/>
        <v>5.8997050147492622</v>
      </c>
      <c r="H419" s="7">
        <f t="shared" si="32"/>
        <v>0.19665683382497542</v>
      </c>
      <c r="I419" s="5" t="str">
        <f t="shared" si="33"/>
        <v>крайняя бедность</v>
      </c>
      <c r="J419" t="str">
        <f t="shared" si="34"/>
        <v>нуждается в помощи</v>
      </c>
    </row>
    <row r="420" spans="1:10" x14ac:dyDescent="0.2">
      <c r="A420" s="4">
        <v>2356</v>
      </c>
      <c r="B420" t="s">
        <v>0</v>
      </c>
      <c r="C420">
        <v>200</v>
      </c>
      <c r="D420">
        <v>3</v>
      </c>
      <c r="E420" t="s">
        <v>11</v>
      </c>
      <c r="F420" s="6">
        <f t="shared" si="30"/>
        <v>66.666666666666671</v>
      </c>
      <c r="G420" s="7">
        <f t="shared" si="31"/>
        <v>5.8997050147492622</v>
      </c>
      <c r="H420" s="7">
        <f t="shared" si="32"/>
        <v>0.19665683382497542</v>
      </c>
      <c r="I420" s="5" t="str">
        <f t="shared" si="33"/>
        <v>крайняя бедность</v>
      </c>
      <c r="J420" t="str">
        <f t="shared" si="34"/>
        <v>нуждается в помощи</v>
      </c>
    </row>
    <row r="421" spans="1:10" x14ac:dyDescent="0.2">
      <c r="A421" s="4">
        <v>2402</v>
      </c>
      <c r="B421" t="s">
        <v>0</v>
      </c>
      <c r="C421">
        <v>200</v>
      </c>
      <c r="D421">
        <v>3</v>
      </c>
      <c r="E421" t="s">
        <v>10</v>
      </c>
      <c r="F421" s="6">
        <f t="shared" si="30"/>
        <v>66.666666666666671</v>
      </c>
      <c r="G421" s="7">
        <f t="shared" si="31"/>
        <v>5.8997050147492622</v>
      </c>
      <c r="H421" s="7">
        <f t="shared" si="32"/>
        <v>0.19665683382497542</v>
      </c>
      <c r="I421" s="5" t="str">
        <f t="shared" si="33"/>
        <v>крайняя бедность</v>
      </c>
      <c r="J421" t="str">
        <f t="shared" si="34"/>
        <v>не нуждается в помощи</v>
      </c>
    </row>
    <row r="422" spans="1:10" x14ac:dyDescent="0.2">
      <c r="A422" s="4">
        <v>2488</v>
      </c>
      <c r="B422" t="s">
        <v>0</v>
      </c>
      <c r="C422">
        <v>200</v>
      </c>
      <c r="D422">
        <v>3</v>
      </c>
      <c r="E422" t="s">
        <v>11</v>
      </c>
      <c r="F422" s="6">
        <f t="shared" si="30"/>
        <v>66.666666666666671</v>
      </c>
      <c r="G422" s="7">
        <f t="shared" si="31"/>
        <v>5.8997050147492622</v>
      </c>
      <c r="H422" s="7">
        <f t="shared" si="32"/>
        <v>0.19665683382497542</v>
      </c>
      <c r="I422" s="5" t="str">
        <f t="shared" si="33"/>
        <v>крайняя бедность</v>
      </c>
      <c r="J422" t="str">
        <f t="shared" si="34"/>
        <v>не нуждается в помощи</v>
      </c>
    </row>
    <row r="423" spans="1:10" x14ac:dyDescent="0.2">
      <c r="A423" s="4">
        <v>2967</v>
      </c>
      <c r="B423" t="s">
        <v>1</v>
      </c>
      <c r="C423">
        <v>700</v>
      </c>
      <c r="D423">
        <v>3</v>
      </c>
      <c r="E423" t="s">
        <v>11</v>
      </c>
      <c r="F423" s="6">
        <f t="shared" si="30"/>
        <v>233.33333333333334</v>
      </c>
      <c r="G423" s="7">
        <f t="shared" si="31"/>
        <v>20.64896755162242</v>
      </c>
      <c r="H423" s="7">
        <f t="shared" si="32"/>
        <v>0.68829891838741386</v>
      </c>
      <c r="I423" s="5" t="str">
        <f t="shared" si="33"/>
        <v>крайняя бедность</v>
      </c>
      <c r="J423" t="str">
        <f t="shared" si="34"/>
        <v>не нуждается в помощи</v>
      </c>
    </row>
    <row r="424" spans="1:10" x14ac:dyDescent="0.2">
      <c r="A424" s="4">
        <v>3283</v>
      </c>
      <c r="B424" t="s">
        <v>1</v>
      </c>
      <c r="C424">
        <v>400</v>
      </c>
      <c r="D424">
        <v>3</v>
      </c>
      <c r="E424" t="s">
        <v>11</v>
      </c>
      <c r="F424" s="6">
        <f t="shared" si="30"/>
        <v>133.33333333333334</v>
      </c>
      <c r="G424" s="7">
        <f t="shared" si="31"/>
        <v>11.799410029498524</v>
      </c>
      <c r="H424" s="7">
        <f t="shared" si="32"/>
        <v>0.39331366764995085</v>
      </c>
      <c r="I424" s="5" t="str">
        <f t="shared" si="33"/>
        <v>крайняя бедность</v>
      </c>
      <c r="J424" t="str">
        <f t="shared" si="34"/>
        <v>не нуждается в помощи</v>
      </c>
    </row>
    <row r="425" spans="1:10" x14ac:dyDescent="0.2">
      <c r="A425" s="4">
        <v>2687</v>
      </c>
      <c r="B425" t="s">
        <v>2</v>
      </c>
      <c r="C425">
        <v>1440</v>
      </c>
      <c r="D425">
        <v>3</v>
      </c>
      <c r="E425" t="s">
        <v>10</v>
      </c>
      <c r="F425" s="6">
        <f t="shared" si="30"/>
        <v>480</v>
      </c>
      <c r="G425" s="7">
        <f t="shared" si="31"/>
        <v>42.477876106194685</v>
      </c>
      <c r="H425" s="7">
        <f t="shared" si="32"/>
        <v>1.415929203539823</v>
      </c>
      <c r="I425" s="5" t="str">
        <f t="shared" si="33"/>
        <v>ниже среднего</v>
      </c>
      <c r="J425" t="str">
        <f t="shared" si="34"/>
        <v>нуждается в помощи</v>
      </c>
    </row>
    <row r="426" spans="1:10" x14ac:dyDescent="0.2">
      <c r="A426" s="4">
        <v>1786</v>
      </c>
      <c r="B426" t="s">
        <v>3</v>
      </c>
      <c r="C426">
        <v>250</v>
      </c>
      <c r="D426">
        <v>3</v>
      </c>
      <c r="E426" t="s">
        <v>11</v>
      </c>
      <c r="F426" s="6">
        <f t="shared" si="30"/>
        <v>83.333333333333329</v>
      </c>
      <c r="G426" s="7">
        <f t="shared" si="31"/>
        <v>7.3746312684365769</v>
      </c>
      <c r="H426" s="7">
        <f t="shared" si="32"/>
        <v>0.24582104228121926</v>
      </c>
      <c r="I426" s="5" t="str">
        <f t="shared" si="33"/>
        <v>крайняя бедность</v>
      </c>
      <c r="J426" t="str">
        <f t="shared" si="34"/>
        <v>не нуждается в помощи</v>
      </c>
    </row>
    <row r="427" spans="1:10" x14ac:dyDescent="0.2">
      <c r="A427" s="4">
        <v>6562</v>
      </c>
      <c r="B427" t="s">
        <v>3</v>
      </c>
      <c r="C427">
        <v>3250</v>
      </c>
      <c r="D427">
        <v>3</v>
      </c>
      <c r="E427" t="s">
        <v>10</v>
      </c>
      <c r="F427" s="6">
        <f t="shared" si="30"/>
        <v>1083.3333333333333</v>
      </c>
      <c r="G427" s="7">
        <f t="shared" si="31"/>
        <v>95.87020648967551</v>
      </c>
      <c r="H427" s="7">
        <f t="shared" si="32"/>
        <v>3.1956735496558499</v>
      </c>
      <c r="I427" s="5" t="str">
        <f t="shared" si="33"/>
        <v>средний</v>
      </c>
      <c r="J427" t="str">
        <f t="shared" si="34"/>
        <v>не нуждается в помощи</v>
      </c>
    </row>
    <row r="428" spans="1:10" x14ac:dyDescent="0.2">
      <c r="A428" s="4">
        <v>2621</v>
      </c>
      <c r="B428" t="s">
        <v>0</v>
      </c>
      <c r="C428">
        <v>900</v>
      </c>
      <c r="D428">
        <v>3</v>
      </c>
      <c r="E428" t="s">
        <v>10</v>
      </c>
      <c r="F428" s="6">
        <f t="shared" si="30"/>
        <v>300</v>
      </c>
      <c r="G428" s="7">
        <f t="shared" si="31"/>
        <v>26.548672566371678</v>
      </c>
      <c r="H428" s="7">
        <f t="shared" si="32"/>
        <v>0.88495575221238931</v>
      </c>
      <c r="I428" s="5" t="str">
        <f t="shared" si="33"/>
        <v>крайняя бедность</v>
      </c>
      <c r="J428" t="str">
        <f t="shared" si="34"/>
        <v>не нуждается в помощи</v>
      </c>
    </row>
    <row r="429" spans="1:10" x14ac:dyDescent="0.2">
      <c r="A429" s="4">
        <v>1931</v>
      </c>
      <c r="B429" t="s">
        <v>3</v>
      </c>
      <c r="C429">
        <v>300</v>
      </c>
      <c r="D429">
        <v>3</v>
      </c>
      <c r="E429" t="s">
        <v>10</v>
      </c>
      <c r="F429" s="6">
        <f t="shared" si="30"/>
        <v>100</v>
      </c>
      <c r="G429" s="7">
        <f t="shared" si="31"/>
        <v>8.8495575221238933</v>
      </c>
      <c r="H429" s="7">
        <f t="shared" si="32"/>
        <v>0.29498525073746312</v>
      </c>
      <c r="I429" s="5" t="str">
        <f t="shared" si="33"/>
        <v>крайняя бедность</v>
      </c>
      <c r="J429" t="str">
        <f t="shared" si="34"/>
        <v>не нуждается в помощи</v>
      </c>
    </row>
    <row r="430" spans="1:10" x14ac:dyDescent="0.2">
      <c r="A430" s="4">
        <v>2034</v>
      </c>
      <c r="B430" t="s">
        <v>3</v>
      </c>
      <c r="C430">
        <v>2800</v>
      </c>
      <c r="D430">
        <v>3</v>
      </c>
      <c r="E430" t="s">
        <v>10</v>
      </c>
      <c r="F430" s="6">
        <f t="shared" si="30"/>
        <v>933.33333333333337</v>
      </c>
      <c r="G430" s="7">
        <f t="shared" si="31"/>
        <v>82.595870206489678</v>
      </c>
      <c r="H430" s="7">
        <f t="shared" si="32"/>
        <v>2.7531956735496554</v>
      </c>
      <c r="I430" s="5" t="str">
        <f t="shared" si="33"/>
        <v>средний</v>
      </c>
      <c r="J430" t="str">
        <f t="shared" si="34"/>
        <v>не нуждается в помощи</v>
      </c>
    </row>
    <row r="431" spans="1:10" x14ac:dyDescent="0.2">
      <c r="A431" s="4">
        <v>2589</v>
      </c>
      <c r="B431" t="s">
        <v>0</v>
      </c>
      <c r="C431">
        <v>1220</v>
      </c>
      <c r="D431">
        <v>3</v>
      </c>
      <c r="E431" t="s">
        <v>11</v>
      </c>
      <c r="F431" s="6">
        <f t="shared" si="30"/>
        <v>406.66666666666669</v>
      </c>
      <c r="G431" s="7">
        <f t="shared" si="31"/>
        <v>35.988200589970504</v>
      </c>
      <c r="H431" s="7">
        <f t="shared" si="32"/>
        <v>1.19960668633235</v>
      </c>
      <c r="I431" s="5" t="str">
        <f t="shared" si="33"/>
        <v>бедность</v>
      </c>
      <c r="J431" t="str">
        <f t="shared" si="34"/>
        <v>нуждается в помощи</v>
      </c>
    </row>
    <row r="432" spans="1:10" x14ac:dyDescent="0.2">
      <c r="A432" s="4">
        <v>2664</v>
      </c>
      <c r="B432" t="s">
        <v>2</v>
      </c>
      <c r="C432">
        <v>300</v>
      </c>
      <c r="D432">
        <v>3</v>
      </c>
      <c r="E432" t="s">
        <v>11</v>
      </c>
      <c r="F432" s="6">
        <f t="shared" si="30"/>
        <v>100</v>
      </c>
      <c r="G432" s="7">
        <f t="shared" si="31"/>
        <v>8.8495575221238933</v>
      </c>
      <c r="H432" s="7">
        <f t="shared" si="32"/>
        <v>0.29498525073746312</v>
      </c>
      <c r="I432" s="5" t="str">
        <f t="shared" si="33"/>
        <v>крайняя бедность</v>
      </c>
      <c r="J432" t="str">
        <f t="shared" si="34"/>
        <v>не нуждается в помощи</v>
      </c>
    </row>
    <row r="433" spans="1:10" x14ac:dyDescent="0.2">
      <c r="A433" s="4">
        <v>2665</v>
      </c>
      <c r="B433" t="s">
        <v>2</v>
      </c>
      <c r="C433">
        <v>800</v>
      </c>
      <c r="D433">
        <v>3</v>
      </c>
      <c r="E433" t="s">
        <v>11</v>
      </c>
      <c r="F433" s="6">
        <f t="shared" si="30"/>
        <v>266.66666666666669</v>
      </c>
      <c r="G433" s="7">
        <f t="shared" si="31"/>
        <v>23.598820058997049</v>
      </c>
      <c r="H433" s="7">
        <f t="shared" si="32"/>
        <v>0.7866273352999017</v>
      </c>
      <c r="I433" s="5" t="str">
        <f t="shared" si="33"/>
        <v>крайняя бедность</v>
      </c>
      <c r="J433" t="str">
        <f t="shared" si="34"/>
        <v>не нуждается в помощи</v>
      </c>
    </row>
    <row r="434" spans="1:10" x14ac:dyDescent="0.2">
      <c r="A434" s="4">
        <v>2766</v>
      </c>
      <c r="B434" t="s">
        <v>2</v>
      </c>
      <c r="C434">
        <v>300</v>
      </c>
      <c r="D434">
        <v>3</v>
      </c>
      <c r="E434" t="s">
        <v>10</v>
      </c>
      <c r="F434" s="6">
        <f t="shared" si="30"/>
        <v>100</v>
      </c>
      <c r="G434" s="7">
        <f t="shared" si="31"/>
        <v>8.8495575221238933</v>
      </c>
      <c r="H434" s="7">
        <f t="shared" si="32"/>
        <v>0.29498525073746312</v>
      </c>
      <c r="I434" s="5" t="str">
        <f t="shared" si="33"/>
        <v>крайняя бедность</v>
      </c>
      <c r="J434" t="str">
        <f t="shared" si="34"/>
        <v>не нуждается в помощи</v>
      </c>
    </row>
    <row r="435" spans="1:10" x14ac:dyDescent="0.2">
      <c r="A435" s="4">
        <v>2774</v>
      </c>
      <c r="B435" t="s">
        <v>2</v>
      </c>
      <c r="C435">
        <v>300</v>
      </c>
      <c r="D435">
        <v>3</v>
      </c>
      <c r="E435" t="s">
        <v>11</v>
      </c>
      <c r="F435" s="6">
        <f t="shared" si="30"/>
        <v>100</v>
      </c>
      <c r="G435" s="7">
        <f t="shared" si="31"/>
        <v>8.8495575221238933</v>
      </c>
      <c r="H435" s="7">
        <f t="shared" si="32"/>
        <v>0.29498525073746312</v>
      </c>
      <c r="I435" s="5" t="str">
        <f t="shared" si="33"/>
        <v>крайняя бедность</v>
      </c>
      <c r="J435" t="str">
        <f t="shared" si="34"/>
        <v>не нуждается в помощи</v>
      </c>
    </row>
    <row r="436" spans="1:10" x14ac:dyDescent="0.2">
      <c r="A436" s="4">
        <v>6242</v>
      </c>
      <c r="B436" t="s">
        <v>1</v>
      </c>
      <c r="C436">
        <v>3355</v>
      </c>
      <c r="D436">
        <v>3</v>
      </c>
      <c r="E436" t="s">
        <v>11</v>
      </c>
      <c r="F436" s="6">
        <f t="shared" si="30"/>
        <v>1118.3333333333333</v>
      </c>
      <c r="G436" s="7">
        <f t="shared" si="31"/>
        <v>98.967551622418867</v>
      </c>
      <c r="H436" s="7">
        <f t="shared" si="32"/>
        <v>3.2989183874139627</v>
      </c>
      <c r="I436" s="5" t="str">
        <f t="shared" si="33"/>
        <v>средний</v>
      </c>
      <c r="J436" t="str">
        <f t="shared" si="34"/>
        <v>нуждается в помощи</v>
      </c>
    </row>
    <row r="437" spans="1:10" x14ac:dyDescent="0.2">
      <c r="A437" s="4">
        <v>6743</v>
      </c>
      <c r="B437" t="s">
        <v>3</v>
      </c>
      <c r="C437">
        <v>500</v>
      </c>
      <c r="D437">
        <v>3</v>
      </c>
      <c r="E437" t="s">
        <v>11</v>
      </c>
      <c r="F437" s="6">
        <f t="shared" si="30"/>
        <v>166.66666666666666</v>
      </c>
      <c r="G437" s="7">
        <f t="shared" si="31"/>
        <v>14.749262536873154</v>
      </c>
      <c r="H437" s="7">
        <f t="shared" si="32"/>
        <v>0.49164208456243852</v>
      </c>
      <c r="I437" s="5" t="str">
        <f t="shared" si="33"/>
        <v>крайняя бедность</v>
      </c>
      <c r="J437" t="str">
        <f t="shared" si="34"/>
        <v>не нуждается в помощи</v>
      </c>
    </row>
    <row r="438" spans="1:10" x14ac:dyDescent="0.2">
      <c r="A438" s="4">
        <v>1911</v>
      </c>
      <c r="B438" t="s">
        <v>3</v>
      </c>
      <c r="C438">
        <v>510</v>
      </c>
      <c r="D438">
        <v>3</v>
      </c>
      <c r="E438" t="s">
        <v>11</v>
      </c>
      <c r="F438" s="6">
        <f t="shared" si="30"/>
        <v>170</v>
      </c>
      <c r="G438" s="7">
        <f t="shared" si="31"/>
        <v>15.044247787610619</v>
      </c>
      <c r="H438" s="7">
        <f t="shared" si="32"/>
        <v>0.50147492625368728</v>
      </c>
      <c r="I438" s="5" t="str">
        <f t="shared" si="33"/>
        <v>крайняя бедность</v>
      </c>
      <c r="J438" t="str">
        <f t="shared" si="34"/>
        <v>не нуждается в помощи</v>
      </c>
    </row>
    <row r="439" spans="1:10" x14ac:dyDescent="0.2">
      <c r="A439" s="4">
        <v>2182</v>
      </c>
      <c r="B439" t="s">
        <v>3</v>
      </c>
      <c r="C439">
        <v>350</v>
      </c>
      <c r="D439">
        <v>3</v>
      </c>
      <c r="E439" t="s">
        <v>11</v>
      </c>
      <c r="F439" s="6">
        <f t="shared" si="30"/>
        <v>116.66666666666667</v>
      </c>
      <c r="G439" s="7">
        <f t="shared" si="31"/>
        <v>10.32448377581121</v>
      </c>
      <c r="H439" s="7">
        <f t="shared" si="32"/>
        <v>0.34414945919370693</v>
      </c>
      <c r="I439" s="5" t="str">
        <f t="shared" si="33"/>
        <v>крайняя бедность</v>
      </c>
      <c r="J439" t="str">
        <f t="shared" si="34"/>
        <v>не нуждается в помощи</v>
      </c>
    </row>
    <row r="440" spans="1:10" x14ac:dyDescent="0.2">
      <c r="A440" s="4">
        <v>910</v>
      </c>
      <c r="B440" t="s">
        <v>4</v>
      </c>
      <c r="C440">
        <v>350</v>
      </c>
      <c r="D440">
        <v>3</v>
      </c>
      <c r="E440" t="s">
        <v>10</v>
      </c>
      <c r="F440" s="6">
        <f t="shared" si="30"/>
        <v>116.66666666666667</v>
      </c>
      <c r="G440" s="7">
        <f t="shared" si="31"/>
        <v>10.32448377581121</v>
      </c>
      <c r="H440" s="7">
        <f t="shared" si="32"/>
        <v>0.34414945919370693</v>
      </c>
      <c r="I440" s="5" t="str">
        <f t="shared" si="33"/>
        <v>крайняя бедность</v>
      </c>
      <c r="J440" t="str">
        <f t="shared" si="34"/>
        <v>не нуждается в помощи</v>
      </c>
    </row>
    <row r="441" spans="1:10" x14ac:dyDescent="0.2">
      <c r="A441" s="4">
        <v>2115</v>
      </c>
      <c r="B441" t="s">
        <v>3</v>
      </c>
      <c r="C441">
        <v>350</v>
      </c>
      <c r="D441">
        <v>3</v>
      </c>
      <c r="E441" t="s">
        <v>11</v>
      </c>
      <c r="F441" s="6">
        <f t="shared" si="30"/>
        <v>116.66666666666667</v>
      </c>
      <c r="G441" s="7">
        <f t="shared" si="31"/>
        <v>10.32448377581121</v>
      </c>
      <c r="H441" s="7">
        <f t="shared" si="32"/>
        <v>0.34414945919370693</v>
      </c>
      <c r="I441" s="5" t="str">
        <f t="shared" si="33"/>
        <v>крайняя бедность</v>
      </c>
      <c r="J441" t="str">
        <f t="shared" si="34"/>
        <v>нуждается в помощи</v>
      </c>
    </row>
    <row r="442" spans="1:10" x14ac:dyDescent="0.2">
      <c r="A442" s="4">
        <v>2576</v>
      </c>
      <c r="B442" t="s">
        <v>0</v>
      </c>
      <c r="C442">
        <v>350</v>
      </c>
      <c r="D442">
        <v>3</v>
      </c>
      <c r="E442" t="s">
        <v>11</v>
      </c>
      <c r="F442" s="6">
        <f t="shared" si="30"/>
        <v>116.66666666666667</v>
      </c>
      <c r="G442" s="7">
        <f t="shared" si="31"/>
        <v>10.32448377581121</v>
      </c>
      <c r="H442" s="7">
        <f t="shared" si="32"/>
        <v>0.34414945919370693</v>
      </c>
      <c r="I442" s="5" t="str">
        <f t="shared" si="33"/>
        <v>крайняя бедность</v>
      </c>
      <c r="J442" t="str">
        <f t="shared" si="34"/>
        <v>не нуждается в помощи</v>
      </c>
    </row>
    <row r="443" spans="1:10" x14ac:dyDescent="0.2">
      <c r="A443" s="4">
        <v>2591</v>
      </c>
      <c r="B443" t="s">
        <v>0</v>
      </c>
      <c r="C443">
        <v>700</v>
      </c>
      <c r="D443">
        <v>3</v>
      </c>
      <c r="E443" t="s">
        <v>11</v>
      </c>
      <c r="F443" s="6">
        <f t="shared" si="30"/>
        <v>233.33333333333334</v>
      </c>
      <c r="G443" s="7">
        <f t="shared" si="31"/>
        <v>20.64896755162242</v>
      </c>
      <c r="H443" s="7">
        <f t="shared" si="32"/>
        <v>0.68829891838741386</v>
      </c>
      <c r="I443" s="5" t="str">
        <f t="shared" si="33"/>
        <v>крайняя бедность</v>
      </c>
      <c r="J443" t="str">
        <f t="shared" si="34"/>
        <v>не нуждается в помощи</v>
      </c>
    </row>
    <row r="444" spans="1:10" x14ac:dyDescent="0.2">
      <c r="A444" s="4">
        <v>548</v>
      </c>
      <c r="B444" t="s">
        <v>4</v>
      </c>
      <c r="C444">
        <v>390</v>
      </c>
      <c r="D444">
        <v>3</v>
      </c>
      <c r="E444" t="s">
        <v>11</v>
      </c>
      <c r="F444" s="6">
        <f t="shared" si="30"/>
        <v>130</v>
      </c>
      <c r="G444" s="7">
        <f t="shared" si="31"/>
        <v>11.504424778761061</v>
      </c>
      <c r="H444" s="7">
        <f t="shared" si="32"/>
        <v>0.38348082595870203</v>
      </c>
      <c r="I444" s="5" t="str">
        <f t="shared" si="33"/>
        <v>крайняя бедность</v>
      </c>
      <c r="J444" t="str">
        <f t="shared" si="34"/>
        <v>не нуждается в помощи</v>
      </c>
    </row>
    <row r="445" spans="1:10" x14ac:dyDescent="0.2">
      <c r="A445" s="4">
        <v>5222</v>
      </c>
      <c r="B445" t="s">
        <v>5</v>
      </c>
      <c r="C445">
        <v>400</v>
      </c>
      <c r="D445">
        <v>3</v>
      </c>
      <c r="E445" t="s">
        <v>10</v>
      </c>
      <c r="F445" s="6">
        <f t="shared" si="30"/>
        <v>133.33333333333334</v>
      </c>
      <c r="G445" s="7">
        <f t="shared" si="31"/>
        <v>11.799410029498524</v>
      </c>
      <c r="H445" s="7">
        <f t="shared" si="32"/>
        <v>0.39331366764995085</v>
      </c>
      <c r="I445" s="5" t="str">
        <f t="shared" si="33"/>
        <v>крайняя бедность</v>
      </c>
      <c r="J445" t="str">
        <f t="shared" si="34"/>
        <v>не нуждается в помощи</v>
      </c>
    </row>
    <row r="446" spans="1:10" x14ac:dyDescent="0.2">
      <c r="A446" s="4">
        <v>1953</v>
      </c>
      <c r="B446" t="s">
        <v>3</v>
      </c>
      <c r="C446">
        <v>400</v>
      </c>
      <c r="D446">
        <v>3</v>
      </c>
      <c r="E446" t="s">
        <v>11</v>
      </c>
      <c r="F446" s="6">
        <f t="shared" si="30"/>
        <v>133.33333333333334</v>
      </c>
      <c r="G446" s="7">
        <f t="shared" si="31"/>
        <v>11.799410029498524</v>
      </c>
      <c r="H446" s="7">
        <f t="shared" si="32"/>
        <v>0.39331366764995085</v>
      </c>
      <c r="I446" s="5" t="str">
        <f t="shared" si="33"/>
        <v>крайняя бедность</v>
      </c>
      <c r="J446" t="str">
        <f t="shared" si="34"/>
        <v>не нуждается в помощи</v>
      </c>
    </row>
    <row r="447" spans="1:10" x14ac:dyDescent="0.2">
      <c r="A447" s="4">
        <v>523</v>
      </c>
      <c r="B447" t="s">
        <v>4</v>
      </c>
      <c r="C447">
        <v>1750</v>
      </c>
      <c r="D447">
        <v>3</v>
      </c>
      <c r="E447" t="s">
        <v>10</v>
      </c>
      <c r="F447" s="6">
        <f t="shared" si="30"/>
        <v>583.33333333333337</v>
      </c>
      <c r="G447" s="7">
        <f t="shared" si="31"/>
        <v>51.622418879056049</v>
      </c>
      <c r="H447" s="7">
        <f t="shared" si="32"/>
        <v>1.720747295968535</v>
      </c>
      <c r="I447" s="5" t="str">
        <f t="shared" si="33"/>
        <v>ниже среднего</v>
      </c>
      <c r="J447" t="str">
        <f t="shared" si="34"/>
        <v>нуждается в помощи</v>
      </c>
    </row>
    <row r="448" spans="1:10" x14ac:dyDescent="0.2">
      <c r="A448" s="4">
        <v>1961</v>
      </c>
      <c r="B448" t="s">
        <v>3</v>
      </c>
      <c r="C448">
        <v>1400</v>
      </c>
      <c r="D448">
        <v>3</v>
      </c>
      <c r="E448" t="s">
        <v>11</v>
      </c>
      <c r="F448" s="6">
        <f t="shared" si="30"/>
        <v>466.66666666666669</v>
      </c>
      <c r="G448" s="7">
        <f t="shared" si="31"/>
        <v>41.297935103244839</v>
      </c>
      <c r="H448" s="7">
        <f t="shared" si="32"/>
        <v>1.3765978367748277</v>
      </c>
      <c r="I448" s="5" t="str">
        <f t="shared" si="33"/>
        <v>ниже среднего</v>
      </c>
      <c r="J448" t="str">
        <f t="shared" si="34"/>
        <v>не нуждается в помощи</v>
      </c>
    </row>
    <row r="449" spans="1:10" x14ac:dyDescent="0.2">
      <c r="A449" s="4">
        <v>2820</v>
      </c>
      <c r="B449" t="s">
        <v>2</v>
      </c>
      <c r="C449">
        <v>900</v>
      </c>
      <c r="D449">
        <v>3</v>
      </c>
      <c r="E449" t="s">
        <v>11</v>
      </c>
      <c r="F449" s="6">
        <f t="shared" si="30"/>
        <v>300</v>
      </c>
      <c r="G449" s="7">
        <f t="shared" si="31"/>
        <v>26.548672566371678</v>
      </c>
      <c r="H449" s="7">
        <f t="shared" si="32"/>
        <v>0.88495575221238931</v>
      </c>
      <c r="I449" s="5" t="str">
        <f t="shared" si="33"/>
        <v>крайняя бедность</v>
      </c>
      <c r="J449" t="str">
        <f t="shared" si="34"/>
        <v>не нуждается в помощи</v>
      </c>
    </row>
    <row r="450" spans="1:10" x14ac:dyDescent="0.2">
      <c r="A450" s="4">
        <v>6231</v>
      </c>
      <c r="B450" t="s">
        <v>1</v>
      </c>
      <c r="C450">
        <v>400</v>
      </c>
      <c r="D450">
        <v>3</v>
      </c>
      <c r="E450" t="s">
        <v>10</v>
      </c>
      <c r="F450" s="6">
        <f t="shared" ref="F450:F513" si="35">C450/D450</f>
        <v>133.33333333333334</v>
      </c>
      <c r="G450" s="7">
        <f t="shared" ref="G450:G513" si="36">(C450/D450)/rate</f>
        <v>11.799410029498524</v>
      </c>
      <c r="H450" s="7">
        <f t="shared" ref="H450:H513" si="37">((C450/D450)/30)/rate</f>
        <v>0.39331366764995085</v>
      </c>
      <c r="I450" s="5" t="str">
        <f t="shared" ref="I450:I513" si="38">IF(H450&lt;0.89, "крайняя бедность", IF(AND(H450&gt;0.89, H450&lt;1.33), "бедность", IF(AND(H450&gt;1.33,H450&lt;2.5),"ниже среднего", IF(AND(H450&gt;2.5,H450&lt;4), "средний", IF(H450&gt;4,"в достатке",0)))))</f>
        <v>крайняя бедность</v>
      </c>
      <c r="J450" t="str">
        <f t="shared" si="34"/>
        <v>не нуждается в помощи</v>
      </c>
    </row>
    <row r="451" spans="1:10" x14ac:dyDescent="0.2">
      <c r="A451" s="4">
        <v>6666</v>
      </c>
      <c r="B451" t="s">
        <v>3</v>
      </c>
      <c r="C451">
        <v>900</v>
      </c>
      <c r="D451">
        <v>3</v>
      </c>
      <c r="E451" t="s">
        <v>11</v>
      </c>
      <c r="F451" s="6">
        <f t="shared" si="35"/>
        <v>300</v>
      </c>
      <c r="G451" s="7">
        <f t="shared" si="36"/>
        <v>26.548672566371678</v>
      </c>
      <c r="H451" s="7">
        <f t="shared" si="37"/>
        <v>0.88495575221238931</v>
      </c>
      <c r="I451" s="5" t="str">
        <f t="shared" si="38"/>
        <v>крайняя бедность</v>
      </c>
      <c r="J451" t="str">
        <f t="shared" ref="J451:J514" si="39">IF(AND(I460="крайняя бедность",E460="Нет"), "нуждается в помощи", "не нуждается в помощи")</f>
        <v>не нуждается в помощи</v>
      </c>
    </row>
    <row r="452" spans="1:10" x14ac:dyDescent="0.2">
      <c r="A452" s="4">
        <v>3262</v>
      </c>
      <c r="B452" t="s">
        <v>1</v>
      </c>
      <c r="C452">
        <v>412</v>
      </c>
      <c r="D452">
        <v>3</v>
      </c>
      <c r="E452" t="s">
        <v>11</v>
      </c>
      <c r="F452" s="6">
        <f t="shared" si="35"/>
        <v>137.33333333333334</v>
      </c>
      <c r="G452" s="7">
        <f t="shared" si="36"/>
        <v>12.153392330383481</v>
      </c>
      <c r="H452" s="7">
        <f t="shared" si="37"/>
        <v>0.40511307767944937</v>
      </c>
      <c r="I452" s="5" t="str">
        <f t="shared" si="38"/>
        <v>крайняя бедность</v>
      </c>
      <c r="J452" t="str">
        <f t="shared" si="39"/>
        <v>не нуждается в помощи</v>
      </c>
    </row>
    <row r="453" spans="1:10" x14ac:dyDescent="0.2">
      <c r="A453" s="4">
        <v>5981</v>
      </c>
      <c r="B453" t="s">
        <v>1</v>
      </c>
      <c r="C453">
        <v>420</v>
      </c>
      <c r="D453">
        <v>3</v>
      </c>
      <c r="E453" t="s">
        <v>11</v>
      </c>
      <c r="F453" s="6">
        <f t="shared" si="35"/>
        <v>140</v>
      </c>
      <c r="G453" s="7">
        <f t="shared" si="36"/>
        <v>12.389380530973451</v>
      </c>
      <c r="H453" s="7">
        <f t="shared" si="37"/>
        <v>0.41297935103244837</v>
      </c>
      <c r="I453" s="5" t="str">
        <f t="shared" si="38"/>
        <v>крайняя бедность</v>
      </c>
      <c r="J453" t="str">
        <f t="shared" si="39"/>
        <v>нуждается в помощи</v>
      </c>
    </row>
    <row r="454" spans="1:10" x14ac:dyDescent="0.2">
      <c r="A454" s="4">
        <v>541</v>
      </c>
      <c r="B454" t="s">
        <v>4</v>
      </c>
      <c r="C454">
        <v>430</v>
      </c>
      <c r="D454">
        <v>3</v>
      </c>
      <c r="E454" t="s">
        <v>11</v>
      </c>
      <c r="F454" s="6">
        <f t="shared" si="35"/>
        <v>143.33333333333334</v>
      </c>
      <c r="G454" s="7">
        <f t="shared" si="36"/>
        <v>12.684365781710914</v>
      </c>
      <c r="H454" s="7">
        <f t="shared" si="37"/>
        <v>0.42281219272369713</v>
      </c>
      <c r="I454" s="5" t="str">
        <f t="shared" si="38"/>
        <v>крайняя бедность</v>
      </c>
      <c r="J454" t="str">
        <f t="shared" si="39"/>
        <v>не нуждается в помощи</v>
      </c>
    </row>
    <row r="455" spans="1:10" x14ac:dyDescent="0.2">
      <c r="A455" s="4">
        <v>2183</v>
      </c>
      <c r="B455" t="s">
        <v>3</v>
      </c>
      <c r="C455">
        <v>900</v>
      </c>
      <c r="D455">
        <v>3</v>
      </c>
      <c r="E455" t="s">
        <v>11</v>
      </c>
      <c r="F455" s="6">
        <f t="shared" si="35"/>
        <v>300</v>
      </c>
      <c r="G455" s="7">
        <f t="shared" si="36"/>
        <v>26.548672566371678</v>
      </c>
      <c r="H455" s="7">
        <f t="shared" si="37"/>
        <v>0.88495575221238931</v>
      </c>
      <c r="I455" s="5" t="str">
        <f t="shared" si="38"/>
        <v>крайняя бедность</v>
      </c>
      <c r="J455" t="str">
        <f t="shared" si="39"/>
        <v>не нуждается в помощи</v>
      </c>
    </row>
    <row r="456" spans="1:10" x14ac:dyDescent="0.2">
      <c r="A456" s="4">
        <v>2613</v>
      </c>
      <c r="B456" t="s">
        <v>0</v>
      </c>
      <c r="C456">
        <v>450</v>
      </c>
      <c r="D456">
        <v>3</v>
      </c>
      <c r="E456" t="s">
        <v>10</v>
      </c>
      <c r="F456" s="6">
        <f t="shared" si="35"/>
        <v>150</v>
      </c>
      <c r="G456" s="7">
        <f t="shared" si="36"/>
        <v>13.274336283185839</v>
      </c>
      <c r="H456" s="7">
        <f t="shared" si="37"/>
        <v>0.44247787610619466</v>
      </c>
      <c r="I456" s="5" t="str">
        <f t="shared" si="38"/>
        <v>крайняя бедность</v>
      </c>
      <c r="J456" t="str">
        <f t="shared" si="39"/>
        <v>не нуждается в помощи</v>
      </c>
    </row>
    <row r="457" spans="1:10" x14ac:dyDescent="0.2">
      <c r="A457" s="4">
        <v>2152</v>
      </c>
      <c r="B457" t="s">
        <v>3</v>
      </c>
      <c r="C457">
        <v>460</v>
      </c>
      <c r="D457">
        <v>3</v>
      </c>
      <c r="E457" t="s">
        <v>11</v>
      </c>
      <c r="F457" s="6">
        <f t="shared" si="35"/>
        <v>153.33333333333334</v>
      </c>
      <c r="G457" s="7">
        <f t="shared" si="36"/>
        <v>13.569321533923304</v>
      </c>
      <c r="H457" s="7">
        <f t="shared" si="37"/>
        <v>0.45231071779744347</v>
      </c>
      <c r="I457" s="5" t="str">
        <f t="shared" si="38"/>
        <v>крайняя бедность</v>
      </c>
      <c r="J457" t="str">
        <f t="shared" si="39"/>
        <v>не нуждается в помощи</v>
      </c>
    </row>
    <row r="458" spans="1:10" x14ac:dyDescent="0.2">
      <c r="A458" s="4">
        <v>1803</v>
      </c>
      <c r="B458" t="s">
        <v>3</v>
      </c>
      <c r="C458">
        <v>700</v>
      </c>
      <c r="D458">
        <v>3</v>
      </c>
      <c r="E458" t="s">
        <v>11</v>
      </c>
      <c r="F458" s="6">
        <f t="shared" si="35"/>
        <v>233.33333333333334</v>
      </c>
      <c r="G458" s="7">
        <f t="shared" si="36"/>
        <v>20.64896755162242</v>
      </c>
      <c r="H458" s="7">
        <f t="shared" si="37"/>
        <v>0.68829891838741386</v>
      </c>
      <c r="I458" s="5" t="str">
        <f t="shared" si="38"/>
        <v>крайняя бедность</v>
      </c>
      <c r="J458" t="str">
        <f t="shared" si="39"/>
        <v>нуждается в помощи</v>
      </c>
    </row>
    <row r="459" spans="1:10" x14ac:dyDescent="0.2">
      <c r="A459" s="4">
        <v>2839</v>
      </c>
      <c r="B459" t="s">
        <v>2</v>
      </c>
      <c r="C459">
        <v>1100</v>
      </c>
      <c r="D459">
        <v>3</v>
      </c>
      <c r="E459" t="s">
        <v>10</v>
      </c>
      <c r="F459" s="6">
        <f t="shared" si="35"/>
        <v>366.66666666666669</v>
      </c>
      <c r="G459" s="7">
        <f t="shared" si="36"/>
        <v>32.448377581120944</v>
      </c>
      <c r="H459" s="7">
        <f t="shared" si="37"/>
        <v>1.0816125860373649</v>
      </c>
      <c r="I459" s="5" t="str">
        <f t="shared" si="38"/>
        <v>бедность</v>
      </c>
      <c r="J459" t="str">
        <f t="shared" si="39"/>
        <v>не нуждается в помощи</v>
      </c>
    </row>
    <row r="460" spans="1:10" x14ac:dyDescent="0.2">
      <c r="A460" s="4">
        <v>1627</v>
      </c>
      <c r="B460" t="s">
        <v>5</v>
      </c>
      <c r="C460">
        <v>500</v>
      </c>
      <c r="D460">
        <v>3</v>
      </c>
      <c r="E460" t="s">
        <v>11</v>
      </c>
      <c r="F460" s="6">
        <f t="shared" si="35"/>
        <v>166.66666666666666</v>
      </c>
      <c r="G460" s="7">
        <f t="shared" si="36"/>
        <v>14.749262536873154</v>
      </c>
      <c r="H460" s="7">
        <f t="shared" si="37"/>
        <v>0.49164208456243852</v>
      </c>
      <c r="I460" s="5" t="str">
        <f t="shared" si="38"/>
        <v>крайняя бедность</v>
      </c>
      <c r="J460" t="str">
        <f t="shared" si="39"/>
        <v>не нуждается в помощи</v>
      </c>
    </row>
    <row r="461" spans="1:10" x14ac:dyDescent="0.2">
      <c r="A461" s="4">
        <v>1681</v>
      </c>
      <c r="B461" t="s">
        <v>5</v>
      </c>
      <c r="C461">
        <v>1200</v>
      </c>
      <c r="D461">
        <v>3</v>
      </c>
      <c r="E461" t="s">
        <v>11</v>
      </c>
      <c r="F461" s="6">
        <f t="shared" si="35"/>
        <v>400</v>
      </c>
      <c r="G461" s="7">
        <f t="shared" si="36"/>
        <v>35.398230088495573</v>
      </c>
      <c r="H461" s="7">
        <f t="shared" si="37"/>
        <v>1.1799410029498525</v>
      </c>
      <c r="I461" s="5" t="str">
        <f t="shared" si="38"/>
        <v>бедность</v>
      </c>
      <c r="J461" t="str">
        <f t="shared" si="39"/>
        <v>не нуждается в помощи</v>
      </c>
    </row>
    <row r="462" spans="1:10" x14ac:dyDescent="0.2">
      <c r="A462" s="4">
        <v>2012</v>
      </c>
      <c r="B462" t="s">
        <v>3</v>
      </c>
      <c r="C462">
        <v>500</v>
      </c>
      <c r="D462">
        <v>3</v>
      </c>
      <c r="E462" t="s">
        <v>10</v>
      </c>
      <c r="F462" s="6">
        <f t="shared" si="35"/>
        <v>166.66666666666666</v>
      </c>
      <c r="G462" s="7">
        <f t="shared" si="36"/>
        <v>14.749262536873154</v>
      </c>
      <c r="H462" s="7">
        <f t="shared" si="37"/>
        <v>0.49164208456243852</v>
      </c>
      <c r="I462" s="5" t="str">
        <f t="shared" si="38"/>
        <v>крайняя бедность</v>
      </c>
      <c r="J462" t="str">
        <f t="shared" si="39"/>
        <v>не нуждается в помощи</v>
      </c>
    </row>
    <row r="463" spans="1:10" x14ac:dyDescent="0.2">
      <c r="A463" s="4">
        <v>2161</v>
      </c>
      <c r="B463" t="s">
        <v>3</v>
      </c>
      <c r="C463">
        <v>1255</v>
      </c>
      <c r="D463">
        <v>3</v>
      </c>
      <c r="E463" t="s">
        <v>11</v>
      </c>
      <c r="F463" s="6">
        <f t="shared" si="35"/>
        <v>418.33333333333331</v>
      </c>
      <c r="G463" s="7">
        <f t="shared" si="36"/>
        <v>37.020648967551615</v>
      </c>
      <c r="H463" s="7">
        <f t="shared" si="37"/>
        <v>1.2340216322517208</v>
      </c>
      <c r="I463" s="5" t="str">
        <f t="shared" si="38"/>
        <v>бедность</v>
      </c>
      <c r="J463" t="str">
        <f t="shared" si="39"/>
        <v>не нуждается в помощи</v>
      </c>
    </row>
    <row r="464" spans="1:10" x14ac:dyDescent="0.2">
      <c r="A464" s="4">
        <v>2390</v>
      </c>
      <c r="B464" t="s">
        <v>0</v>
      </c>
      <c r="C464">
        <v>500</v>
      </c>
      <c r="D464">
        <v>3</v>
      </c>
      <c r="E464" t="s">
        <v>11</v>
      </c>
      <c r="F464" s="6">
        <f t="shared" si="35"/>
        <v>166.66666666666666</v>
      </c>
      <c r="G464" s="7">
        <f t="shared" si="36"/>
        <v>14.749262536873154</v>
      </c>
      <c r="H464" s="7">
        <f t="shared" si="37"/>
        <v>0.49164208456243852</v>
      </c>
      <c r="I464" s="5" t="str">
        <f t="shared" si="38"/>
        <v>крайняя бедность</v>
      </c>
      <c r="J464" t="str">
        <f t="shared" si="39"/>
        <v>не нуждается в помощи</v>
      </c>
    </row>
    <row r="465" spans="1:10" x14ac:dyDescent="0.2">
      <c r="A465" s="4">
        <v>2710</v>
      </c>
      <c r="B465" t="s">
        <v>2</v>
      </c>
      <c r="C465">
        <v>500</v>
      </c>
      <c r="D465">
        <v>3</v>
      </c>
      <c r="E465" t="s">
        <v>11</v>
      </c>
      <c r="F465" s="6">
        <f t="shared" si="35"/>
        <v>166.66666666666666</v>
      </c>
      <c r="G465" s="7">
        <f t="shared" si="36"/>
        <v>14.749262536873154</v>
      </c>
      <c r="H465" s="7">
        <f t="shared" si="37"/>
        <v>0.49164208456243852</v>
      </c>
      <c r="I465" s="5" t="str">
        <f t="shared" si="38"/>
        <v>крайняя бедность</v>
      </c>
      <c r="J465" t="str">
        <f t="shared" si="39"/>
        <v>не нуждается в помощи</v>
      </c>
    </row>
    <row r="466" spans="1:10" x14ac:dyDescent="0.2">
      <c r="A466" s="4">
        <v>2753</v>
      </c>
      <c r="B466" t="s">
        <v>2</v>
      </c>
      <c r="C466">
        <v>500</v>
      </c>
      <c r="D466">
        <v>3</v>
      </c>
      <c r="E466" t="s">
        <v>11</v>
      </c>
      <c r="F466" s="6">
        <f t="shared" si="35"/>
        <v>166.66666666666666</v>
      </c>
      <c r="G466" s="7">
        <f t="shared" si="36"/>
        <v>14.749262536873154</v>
      </c>
      <c r="H466" s="7">
        <f t="shared" si="37"/>
        <v>0.49164208456243852</v>
      </c>
      <c r="I466" s="5" t="str">
        <f t="shared" si="38"/>
        <v>крайняя бедность</v>
      </c>
      <c r="J466" t="str">
        <f t="shared" si="39"/>
        <v>не нуждается в помощи</v>
      </c>
    </row>
    <row r="467" spans="1:10" x14ac:dyDescent="0.2">
      <c r="A467" s="4">
        <v>2790</v>
      </c>
      <c r="B467" t="s">
        <v>2</v>
      </c>
      <c r="C467">
        <v>500</v>
      </c>
      <c r="D467">
        <v>3</v>
      </c>
      <c r="E467" t="s">
        <v>10</v>
      </c>
      <c r="F467" s="6">
        <f t="shared" si="35"/>
        <v>166.66666666666666</v>
      </c>
      <c r="G467" s="7">
        <f t="shared" si="36"/>
        <v>14.749262536873154</v>
      </c>
      <c r="H467" s="7">
        <f t="shared" si="37"/>
        <v>0.49164208456243852</v>
      </c>
      <c r="I467" s="5" t="str">
        <f t="shared" si="38"/>
        <v>крайняя бедность</v>
      </c>
      <c r="J467" t="str">
        <f t="shared" si="39"/>
        <v>не нуждается в помощи</v>
      </c>
    </row>
    <row r="468" spans="1:10" x14ac:dyDescent="0.2">
      <c r="A468" s="4">
        <v>2870</v>
      </c>
      <c r="B468" t="s">
        <v>2</v>
      </c>
      <c r="C468">
        <v>500</v>
      </c>
      <c r="D468">
        <v>3</v>
      </c>
      <c r="E468" t="s">
        <v>11</v>
      </c>
      <c r="F468" s="6">
        <f t="shared" si="35"/>
        <v>166.66666666666666</v>
      </c>
      <c r="G468" s="7">
        <f t="shared" si="36"/>
        <v>14.749262536873154</v>
      </c>
      <c r="H468" s="7">
        <f t="shared" si="37"/>
        <v>0.49164208456243852</v>
      </c>
      <c r="I468" s="5" t="str">
        <f t="shared" si="38"/>
        <v>крайняя бедность</v>
      </c>
      <c r="J468" t="str">
        <f t="shared" si="39"/>
        <v>не нуждается в помощи</v>
      </c>
    </row>
    <row r="469" spans="1:10" x14ac:dyDescent="0.2">
      <c r="A469" s="4">
        <v>3102</v>
      </c>
      <c r="B469" s="1" t="s">
        <v>1</v>
      </c>
      <c r="C469">
        <v>1500</v>
      </c>
      <c r="D469">
        <v>3</v>
      </c>
      <c r="E469" t="s">
        <v>10</v>
      </c>
      <c r="F469" s="6">
        <f t="shared" si="35"/>
        <v>500</v>
      </c>
      <c r="G469" s="7">
        <f t="shared" si="36"/>
        <v>44.247787610619469</v>
      </c>
      <c r="H469" s="7">
        <f t="shared" si="37"/>
        <v>1.4749262536873156</v>
      </c>
      <c r="I469" s="5" t="str">
        <f t="shared" si="38"/>
        <v>ниже среднего</v>
      </c>
      <c r="J469" t="str">
        <f t="shared" si="39"/>
        <v>не нуждается в помощи</v>
      </c>
    </row>
    <row r="470" spans="1:10" x14ac:dyDescent="0.2">
      <c r="A470" s="4">
        <v>3269</v>
      </c>
      <c r="B470" s="1" t="s">
        <v>1</v>
      </c>
      <c r="C470">
        <v>500</v>
      </c>
      <c r="D470">
        <v>3</v>
      </c>
      <c r="E470" t="s">
        <v>11</v>
      </c>
      <c r="F470" s="6">
        <f t="shared" si="35"/>
        <v>166.66666666666666</v>
      </c>
      <c r="G470" s="7">
        <f t="shared" si="36"/>
        <v>14.749262536873154</v>
      </c>
      <c r="H470" s="7">
        <f t="shared" si="37"/>
        <v>0.49164208456243852</v>
      </c>
      <c r="I470" s="5" t="str">
        <f t="shared" si="38"/>
        <v>крайняя бедность</v>
      </c>
      <c r="J470" t="str">
        <f t="shared" si="39"/>
        <v>не нуждается в помощи</v>
      </c>
    </row>
    <row r="471" spans="1:10" x14ac:dyDescent="0.2">
      <c r="A471" s="4">
        <v>5024</v>
      </c>
      <c r="B471" s="1" t="s">
        <v>4</v>
      </c>
      <c r="C471">
        <v>500</v>
      </c>
      <c r="D471">
        <v>3</v>
      </c>
      <c r="E471" t="s">
        <v>11</v>
      </c>
      <c r="F471" s="6">
        <f t="shared" si="35"/>
        <v>166.66666666666666</v>
      </c>
      <c r="G471" s="7">
        <f t="shared" si="36"/>
        <v>14.749262536873154</v>
      </c>
      <c r="H471" s="7">
        <f t="shared" si="37"/>
        <v>0.49164208456243852</v>
      </c>
      <c r="I471" s="5" t="str">
        <f t="shared" si="38"/>
        <v>крайняя бедность</v>
      </c>
      <c r="J471" t="str">
        <f t="shared" si="39"/>
        <v>не нуждается в помощи</v>
      </c>
    </row>
    <row r="472" spans="1:10" x14ac:dyDescent="0.2">
      <c r="A472" s="4">
        <v>2077</v>
      </c>
      <c r="B472" s="1" t="s">
        <v>3</v>
      </c>
      <c r="C472">
        <v>550</v>
      </c>
      <c r="D472">
        <v>3</v>
      </c>
      <c r="E472" t="s">
        <v>11</v>
      </c>
      <c r="F472" s="6">
        <f t="shared" si="35"/>
        <v>183.33333333333334</v>
      </c>
      <c r="G472" s="7">
        <f t="shared" si="36"/>
        <v>16.224188790560472</v>
      </c>
      <c r="H472" s="7">
        <f t="shared" si="37"/>
        <v>0.54080629301868244</v>
      </c>
      <c r="I472" s="5" t="str">
        <f t="shared" si="38"/>
        <v>крайняя бедность</v>
      </c>
      <c r="J472" t="str">
        <f t="shared" si="39"/>
        <v>не нуждается в помощи</v>
      </c>
    </row>
    <row r="473" spans="1:10" x14ac:dyDescent="0.2">
      <c r="A473" s="4">
        <v>2321</v>
      </c>
      <c r="B473" s="1" t="s">
        <v>0</v>
      </c>
      <c r="C473">
        <v>2150</v>
      </c>
      <c r="D473">
        <v>3</v>
      </c>
      <c r="E473" t="s">
        <v>10</v>
      </c>
      <c r="F473" s="6">
        <f t="shared" si="35"/>
        <v>716.66666666666663</v>
      </c>
      <c r="G473" s="7">
        <f t="shared" si="36"/>
        <v>63.421828908554566</v>
      </c>
      <c r="H473" s="7">
        <f t="shared" si="37"/>
        <v>2.1140609636184857</v>
      </c>
      <c r="I473" s="5" t="str">
        <f t="shared" si="38"/>
        <v>ниже среднего</v>
      </c>
      <c r="J473" t="str">
        <f t="shared" si="39"/>
        <v>не нуждается в помощи</v>
      </c>
    </row>
    <row r="474" spans="1:10" x14ac:dyDescent="0.2">
      <c r="A474" s="4">
        <v>5105</v>
      </c>
      <c r="B474" s="1" t="s">
        <v>4</v>
      </c>
      <c r="C474">
        <v>560</v>
      </c>
      <c r="D474">
        <v>3</v>
      </c>
      <c r="E474" t="s">
        <v>11</v>
      </c>
      <c r="F474" s="6">
        <f t="shared" si="35"/>
        <v>186.66666666666666</v>
      </c>
      <c r="G474" s="7">
        <f t="shared" si="36"/>
        <v>16.519174041297934</v>
      </c>
      <c r="H474" s="7">
        <f t="shared" si="37"/>
        <v>0.5506391347099312</v>
      </c>
      <c r="I474" s="5" t="str">
        <f t="shared" si="38"/>
        <v>крайняя бедность</v>
      </c>
      <c r="J474" t="str">
        <f t="shared" si="39"/>
        <v>не нуждается в помощи</v>
      </c>
    </row>
    <row r="475" spans="1:10" x14ac:dyDescent="0.2">
      <c r="A475" s="4">
        <v>6161</v>
      </c>
      <c r="B475" s="1" t="s">
        <v>1</v>
      </c>
      <c r="C475">
        <v>2192</v>
      </c>
      <c r="D475">
        <v>3</v>
      </c>
      <c r="E475" t="s">
        <v>10</v>
      </c>
      <c r="F475" s="6">
        <f t="shared" si="35"/>
        <v>730.66666666666663</v>
      </c>
      <c r="G475" s="7">
        <f t="shared" si="36"/>
        <v>64.660766961651916</v>
      </c>
      <c r="H475" s="7">
        <f t="shared" si="37"/>
        <v>2.1553588987217305</v>
      </c>
      <c r="I475" s="5" t="str">
        <f t="shared" si="38"/>
        <v>ниже среднего</v>
      </c>
      <c r="J475" t="str">
        <f t="shared" si="39"/>
        <v>не нуждается в помощи</v>
      </c>
    </row>
    <row r="476" spans="1:10" x14ac:dyDescent="0.2">
      <c r="A476" s="4">
        <v>2631</v>
      </c>
      <c r="B476" s="1" t="s">
        <v>0</v>
      </c>
      <c r="C476">
        <v>570</v>
      </c>
      <c r="D476">
        <v>3</v>
      </c>
      <c r="E476" t="s">
        <v>11</v>
      </c>
      <c r="F476" s="6">
        <f t="shared" si="35"/>
        <v>190</v>
      </c>
      <c r="G476" s="7">
        <f t="shared" si="36"/>
        <v>16.814159292035399</v>
      </c>
      <c r="H476" s="7">
        <f t="shared" si="37"/>
        <v>0.56047197640117985</v>
      </c>
      <c r="I476" s="5" t="str">
        <f t="shared" si="38"/>
        <v>крайняя бедность</v>
      </c>
      <c r="J476" t="str">
        <f t="shared" si="39"/>
        <v>не нуждается в помощи</v>
      </c>
    </row>
    <row r="477" spans="1:10" x14ac:dyDescent="0.2">
      <c r="A477" s="4">
        <v>1825</v>
      </c>
      <c r="B477" s="1" t="s">
        <v>3</v>
      </c>
      <c r="C477">
        <v>1200</v>
      </c>
      <c r="D477">
        <v>3</v>
      </c>
      <c r="E477" t="s">
        <v>11</v>
      </c>
      <c r="F477" s="6">
        <f t="shared" si="35"/>
        <v>400</v>
      </c>
      <c r="G477" s="7">
        <f t="shared" si="36"/>
        <v>35.398230088495573</v>
      </c>
      <c r="H477" s="7">
        <f t="shared" si="37"/>
        <v>1.1799410029498525</v>
      </c>
      <c r="I477" s="5" t="str">
        <f t="shared" si="38"/>
        <v>бедность</v>
      </c>
      <c r="J477" t="str">
        <f t="shared" si="39"/>
        <v>не нуждается в помощи</v>
      </c>
    </row>
    <row r="478" spans="1:10" x14ac:dyDescent="0.2">
      <c r="A478" s="4">
        <v>1960</v>
      </c>
      <c r="B478" s="1" t="s">
        <v>3</v>
      </c>
      <c r="C478">
        <v>600</v>
      </c>
      <c r="D478">
        <v>3</v>
      </c>
      <c r="E478" t="s">
        <v>11</v>
      </c>
      <c r="F478" s="6">
        <f t="shared" si="35"/>
        <v>200</v>
      </c>
      <c r="G478" s="7">
        <f t="shared" si="36"/>
        <v>17.699115044247787</v>
      </c>
      <c r="H478" s="7">
        <f t="shared" si="37"/>
        <v>0.58997050147492625</v>
      </c>
      <c r="I478" s="5" t="str">
        <f t="shared" si="38"/>
        <v>крайняя бедность</v>
      </c>
      <c r="J478" t="str">
        <f t="shared" si="39"/>
        <v>не нуждается в помощи</v>
      </c>
    </row>
    <row r="479" spans="1:10" x14ac:dyDescent="0.2">
      <c r="A479" s="4">
        <v>3140</v>
      </c>
      <c r="B479" s="1" t="s">
        <v>1</v>
      </c>
      <c r="C479">
        <v>2600</v>
      </c>
      <c r="D479">
        <v>3</v>
      </c>
      <c r="E479" t="s">
        <v>11</v>
      </c>
      <c r="F479" s="6">
        <f t="shared" si="35"/>
        <v>866.66666666666663</v>
      </c>
      <c r="G479" s="7">
        <f t="shared" si="36"/>
        <v>76.696165191740405</v>
      </c>
      <c r="H479" s="7">
        <f t="shared" si="37"/>
        <v>2.5565388397246802</v>
      </c>
      <c r="I479" s="5" t="str">
        <f t="shared" si="38"/>
        <v>средний</v>
      </c>
      <c r="J479" t="str">
        <f t="shared" si="39"/>
        <v>нуждается в помощи</v>
      </c>
    </row>
    <row r="480" spans="1:10" x14ac:dyDescent="0.2">
      <c r="A480" s="4">
        <v>2715</v>
      </c>
      <c r="B480" s="1" t="s">
        <v>2</v>
      </c>
      <c r="C480">
        <v>1300</v>
      </c>
      <c r="D480">
        <v>3</v>
      </c>
      <c r="E480" t="s">
        <v>11</v>
      </c>
      <c r="F480" s="6">
        <f t="shared" si="35"/>
        <v>433.33333333333331</v>
      </c>
      <c r="G480" s="7">
        <f t="shared" si="36"/>
        <v>38.348082595870203</v>
      </c>
      <c r="H480" s="7">
        <f t="shared" si="37"/>
        <v>1.2782694198623401</v>
      </c>
      <c r="I480" s="5" t="str">
        <f t="shared" si="38"/>
        <v>бедность</v>
      </c>
      <c r="J480" t="str">
        <f t="shared" si="39"/>
        <v>не нуждается в помощи</v>
      </c>
    </row>
    <row r="481" spans="1:10" x14ac:dyDescent="0.2">
      <c r="A481" s="4">
        <v>2000</v>
      </c>
      <c r="B481" s="1" t="s">
        <v>3</v>
      </c>
      <c r="C481">
        <v>600</v>
      </c>
      <c r="D481">
        <v>3</v>
      </c>
      <c r="E481" t="s">
        <v>11</v>
      </c>
      <c r="F481" s="6">
        <f t="shared" si="35"/>
        <v>200</v>
      </c>
      <c r="G481" s="7">
        <f t="shared" si="36"/>
        <v>17.699115044247787</v>
      </c>
      <c r="H481" s="7">
        <f t="shared" si="37"/>
        <v>0.58997050147492625</v>
      </c>
      <c r="I481" s="5" t="str">
        <f t="shared" si="38"/>
        <v>крайняя бедность</v>
      </c>
      <c r="J481" t="str">
        <f t="shared" si="39"/>
        <v>не нуждается в помощи</v>
      </c>
    </row>
    <row r="482" spans="1:10" x14ac:dyDescent="0.2">
      <c r="A482" s="4">
        <v>2019</v>
      </c>
      <c r="B482" s="1" t="s">
        <v>3</v>
      </c>
      <c r="C482">
        <v>800</v>
      </c>
      <c r="D482">
        <v>3</v>
      </c>
      <c r="E482" t="s">
        <v>11</v>
      </c>
      <c r="F482" s="6">
        <f t="shared" si="35"/>
        <v>266.66666666666669</v>
      </c>
      <c r="G482" s="7">
        <f t="shared" si="36"/>
        <v>23.598820058997049</v>
      </c>
      <c r="H482" s="7">
        <f t="shared" si="37"/>
        <v>0.7866273352999017</v>
      </c>
      <c r="I482" s="5" t="str">
        <f t="shared" si="38"/>
        <v>крайняя бедность</v>
      </c>
      <c r="J482" t="str">
        <f t="shared" si="39"/>
        <v>нуждается в помощи</v>
      </c>
    </row>
    <row r="483" spans="1:10" x14ac:dyDescent="0.2">
      <c r="A483" s="4">
        <v>2484</v>
      </c>
      <c r="B483" s="1" t="s">
        <v>0</v>
      </c>
      <c r="C483">
        <v>1500</v>
      </c>
      <c r="D483">
        <v>3</v>
      </c>
      <c r="E483" t="s">
        <v>11</v>
      </c>
      <c r="F483" s="6">
        <f t="shared" si="35"/>
        <v>500</v>
      </c>
      <c r="G483" s="7">
        <f t="shared" si="36"/>
        <v>44.247787610619469</v>
      </c>
      <c r="H483" s="7">
        <f t="shared" si="37"/>
        <v>1.4749262536873156</v>
      </c>
      <c r="I483" s="5" t="str">
        <f t="shared" si="38"/>
        <v>ниже среднего</v>
      </c>
      <c r="J483" t="str">
        <f t="shared" si="39"/>
        <v>нуждается в помощи</v>
      </c>
    </row>
    <row r="484" spans="1:10" x14ac:dyDescent="0.2">
      <c r="A484" s="4">
        <v>2697</v>
      </c>
      <c r="B484" s="1" t="s">
        <v>2</v>
      </c>
      <c r="C484">
        <v>600</v>
      </c>
      <c r="D484">
        <v>3</v>
      </c>
      <c r="E484" t="s">
        <v>11</v>
      </c>
      <c r="F484" s="6">
        <f t="shared" si="35"/>
        <v>200</v>
      </c>
      <c r="G484" s="7">
        <f t="shared" si="36"/>
        <v>17.699115044247787</v>
      </c>
      <c r="H484" s="7">
        <f t="shared" si="37"/>
        <v>0.58997050147492625</v>
      </c>
      <c r="I484" s="5" t="str">
        <f t="shared" si="38"/>
        <v>крайняя бедность</v>
      </c>
      <c r="J484" t="str">
        <f t="shared" si="39"/>
        <v>не нуждается в помощи</v>
      </c>
    </row>
    <row r="485" spans="1:10" x14ac:dyDescent="0.2">
      <c r="A485" s="4">
        <v>2810</v>
      </c>
      <c r="B485" s="1" t="s">
        <v>2</v>
      </c>
      <c r="C485">
        <v>1400</v>
      </c>
      <c r="D485">
        <v>3</v>
      </c>
      <c r="E485" t="s">
        <v>11</v>
      </c>
      <c r="F485" s="6">
        <f t="shared" si="35"/>
        <v>466.66666666666669</v>
      </c>
      <c r="G485" s="7">
        <f t="shared" si="36"/>
        <v>41.297935103244839</v>
      </c>
      <c r="H485" s="7">
        <f t="shared" si="37"/>
        <v>1.3765978367748277</v>
      </c>
      <c r="I485" s="5" t="str">
        <f t="shared" si="38"/>
        <v>ниже среднего</v>
      </c>
      <c r="J485" t="str">
        <f t="shared" si="39"/>
        <v>не нуждается в помощи</v>
      </c>
    </row>
    <row r="486" spans="1:10" x14ac:dyDescent="0.2">
      <c r="A486" s="4">
        <v>2898</v>
      </c>
      <c r="B486" s="1" t="s">
        <v>1</v>
      </c>
      <c r="C486">
        <v>2100</v>
      </c>
      <c r="D486">
        <v>3</v>
      </c>
      <c r="E486" t="s">
        <v>10</v>
      </c>
      <c r="F486" s="6">
        <f t="shared" si="35"/>
        <v>700</v>
      </c>
      <c r="G486" s="7">
        <f t="shared" si="36"/>
        <v>61.946902654867252</v>
      </c>
      <c r="H486" s="7">
        <f t="shared" si="37"/>
        <v>2.0648967551622417</v>
      </c>
      <c r="I486" s="5" t="str">
        <f t="shared" si="38"/>
        <v>ниже среднего</v>
      </c>
      <c r="J486" t="str">
        <f t="shared" si="39"/>
        <v>не нуждается в помощи</v>
      </c>
    </row>
    <row r="487" spans="1:10" x14ac:dyDescent="0.2">
      <c r="A487" s="4">
        <v>3124</v>
      </c>
      <c r="B487" s="1" t="s">
        <v>1</v>
      </c>
      <c r="C487">
        <v>700</v>
      </c>
      <c r="D487">
        <v>3</v>
      </c>
      <c r="E487" t="s">
        <v>11</v>
      </c>
      <c r="F487" s="6">
        <f t="shared" si="35"/>
        <v>233.33333333333334</v>
      </c>
      <c r="G487" s="7">
        <f t="shared" si="36"/>
        <v>20.64896755162242</v>
      </c>
      <c r="H487" s="7">
        <f t="shared" si="37"/>
        <v>0.68829891838741386</v>
      </c>
      <c r="I487" s="5" t="str">
        <f t="shared" si="38"/>
        <v>крайняя бедность</v>
      </c>
      <c r="J487" t="str">
        <f t="shared" si="39"/>
        <v>не нуждается в помощи</v>
      </c>
    </row>
    <row r="488" spans="1:10" x14ac:dyDescent="0.2">
      <c r="A488" s="4">
        <v>3245</v>
      </c>
      <c r="B488" s="1" t="s">
        <v>1</v>
      </c>
      <c r="C488">
        <v>600</v>
      </c>
      <c r="D488">
        <v>3</v>
      </c>
      <c r="E488" t="s">
        <v>10</v>
      </c>
      <c r="F488" s="6">
        <f t="shared" si="35"/>
        <v>200</v>
      </c>
      <c r="G488" s="7">
        <f t="shared" si="36"/>
        <v>17.699115044247787</v>
      </c>
      <c r="H488" s="7">
        <f t="shared" si="37"/>
        <v>0.58997050147492625</v>
      </c>
      <c r="I488" s="5" t="str">
        <f t="shared" si="38"/>
        <v>крайняя бедность</v>
      </c>
      <c r="J488" t="str">
        <f t="shared" si="39"/>
        <v>не нуждается в помощи</v>
      </c>
    </row>
    <row r="489" spans="1:10" x14ac:dyDescent="0.2">
      <c r="A489" s="4">
        <v>5562</v>
      </c>
      <c r="B489" s="1" t="s">
        <v>0</v>
      </c>
      <c r="C489">
        <v>600</v>
      </c>
      <c r="D489">
        <v>3</v>
      </c>
      <c r="E489" t="s">
        <v>11</v>
      </c>
      <c r="F489" s="6">
        <f t="shared" si="35"/>
        <v>200</v>
      </c>
      <c r="G489" s="7">
        <f t="shared" si="36"/>
        <v>17.699115044247787</v>
      </c>
      <c r="H489" s="7">
        <f t="shared" si="37"/>
        <v>0.58997050147492625</v>
      </c>
      <c r="I489" s="5" t="str">
        <f t="shared" si="38"/>
        <v>крайняя бедность</v>
      </c>
      <c r="J489" t="str">
        <f t="shared" si="39"/>
        <v>не нуждается в помощи</v>
      </c>
    </row>
    <row r="490" spans="1:10" x14ac:dyDescent="0.2">
      <c r="A490" s="4">
        <v>6342</v>
      </c>
      <c r="B490" s="1" t="s">
        <v>1</v>
      </c>
      <c r="C490">
        <v>600</v>
      </c>
      <c r="D490">
        <v>3</v>
      </c>
      <c r="E490" t="s">
        <v>11</v>
      </c>
      <c r="F490" s="6">
        <f t="shared" si="35"/>
        <v>200</v>
      </c>
      <c r="G490" s="7">
        <f t="shared" si="36"/>
        <v>17.699115044247787</v>
      </c>
      <c r="H490" s="7">
        <f t="shared" si="37"/>
        <v>0.58997050147492625</v>
      </c>
      <c r="I490" s="5" t="str">
        <f t="shared" si="38"/>
        <v>крайняя бедность</v>
      </c>
      <c r="J490" t="str">
        <f t="shared" si="39"/>
        <v>не нуждается в помощи</v>
      </c>
    </row>
    <row r="491" spans="1:10" x14ac:dyDescent="0.2">
      <c r="A491" s="4">
        <v>3300</v>
      </c>
      <c r="B491" s="1" t="s">
        <v>1</v>
      </c>
      <c r="C491">
        <v>650</v>
      </c>
      <c r="D491">
        <v>3</v>
      </c>
      <c r="E491" t="s">
        <v>10</v>
      </c>
      <c r="F491" s="6">
        <f t="shared" si="35"/>
        <v>216.66666666666666</v>
      </c>
      <c r="G491" s="7">
        <f t="shared" si="36"/>
        <v>19.174041297935101</v>
      </c>
      <c r="H491" s="7">
        <f t="shared" si="37"/>
        <v>0.63913470993117005</v>
      </c>
      <c r="I491" s="5" t="str">
        <f t="shared" si="38"/>
        <v>крайняя бедность</v>
      </c>
      <c r="J491" t="str">
        <f t="shared" si="39"/>
        <v>не нуждается в помощи</v>
      </c>
    </row>
    <row r="492" spans="1:10" x14ac:dyDescent="0.2">
      <c r="A492" s="4">
        <v>2399</v>
      </c>
      <c r="B492" s="1" t="s">
        <v>0</v>
      </c>
      <c r="C492">
        <v>700</v>
      </c>
      <c r="D492">
        <v>3</v>
      </c>
      <c r="E492" t="s">
        <v>10</v>
      </c>
      <c r="F492" s="6">
        <f t="shared" si="35"/>
        <v>233.33333333333334</v>
      </c>
      <c r="G492" s="7">
        <f t="shared" si="36"/>
        <v>20.64896755162242</v>
      </c>
      <c r="H492" s="7">
        <f t="shared" si="37"/>
        <v>0.68829891838741386</v>
      </c>
      <c r="I492" s="5" t="str">
        <f t="shared" si="38"/>
        <v>крайняя бедность</v>
      </c>
      <c r="J492" t="str">
        <f t="shared" si="39"/>
        <v>нуждается в помощи</v>
      </c>
    </row>
    <row r="493" spans="1:10" x14ac:dyDescent="0.2">
      <c r="A493" s="4">
        <v>2213</v>
      </c>
      <c r="B493" s="1" t="s">
        <v>3</v>
      </c>
      <c r="C493">
        <v>700</v>
      </c>
      <c r="D493">
        <v>3</v>
      </c>
      <c r="E493" t="s">
        <v>11</v>
      </c>
      <c r="F493" s="6">
        <f t="shared" si="35"/>
        <v>233.33333333333334</v>
      </c>
      <c r="G493" s="7">
        <f t="shared" si="36"/>
        <v>20.64896755162242</v>
      </c>
      <c r="H493" s="7">
        <f t="shared" si="37"/>
        <v>0.68829891838741386</v>
      </c>
      <c r="I493" s="5" t="str">
        <f t="shared" si="38"/>
        <v>крайняя бедность</v>
      </c>
      <c r="J493" t="str">
        <f t="shared" si="39"/>
        <v>не нуждается в помощи</v>
      </c>
    </row>
    <row r="494" spans="1:10" x14ac:dyDescent="0.2">
      <c r="A494" s="4">
        <v>1552</v>
      </c>
      <c r="B494" s="1" t="s">
        <v>5</v>
      </c>
      <c r="C494">
        <v>700</v>
      </c>
      <c r="D494">
        <v>3</v>
      </c>
      <c r="E494" t="s">
        <v>11</v>
      </c>
      <c r="F494" s="6">
        <f t="shared" si="35"/>
        <v>233.33333333333334</v>
      </c>
      <c r="G494" s="7">
        <f t="shared" si="36"/>
        <v>20.64896755162242</v>
      </c>
      <c r="H494" s="7">
        <f t="shared" si="37"/>
        <v>0.68829891838741386</v>
      </c>
      <c r="I494" s="5" t="str">
        <f t="shared" si="38"/>
        <v>крайняя бедность</v>
      </c>
      <c r="J494" t="str">
        <f t="shared" si="39"/>
        <v>не нуждается в помощи</v>
      </c>
    </row>
    <row r="495" spans="1:10" x14ac:dyDescent="0.2">
      <c r="A495" s="4">
        <v>1687</v>
      </c>
      <c r="B495" s="1" t="s">
        <v>5</v>
      </c>
      <c r="C495">
        <v>700</v>
      </c>
      <c r="D495">
        <v>3</v>
      </c>
      <c r="E495" t="s">
        <v>11</v>
      </c>
      <c r="F495" s="6">
        <f t="shared" si="35"/>
        <v>233.33333333333334</v>
      </c>
      <c r="G495" s="7">
        <f t="shared" si="36"/>
        <v>20.64896755162242</v>
      </c>
      <c r="H495" s="7">
        <f t="shared" si="37"/>
        <v>0.68829891838741386</v>
      </c>
      <c r="I495" s="5" t="str">
        <f t="shared" si="38"/>
        <v>крайняя бедность</v>
      </c>
      <c r="J495" t="str">
        <f t="shared" si="39"/>
        <v>не нуждается в помощи</v>
      </c>
    </row>
    <row r="496" spans="1:10" x14ac:dyDescent="0.2">
      <c r="A496" s="4">
        <v>1744</v>
      </c>
      <c r="B496" s="1" t="s">
        <v>3</v>
      </c>
      <c r="C496">
        <v>2600</v>
      </c>
      <c r="D496">
        <v>3</v>
      </c>
      <c r="E496" t="s">
        <v>10</v>
      </c>
      <c r="F496" s="6">
        <f t="shared" si="35"/>
        <v>866.66666666666663</v>
      </c>
      <c r="G496" s="7">
        <f t="shared" si="36"/>
        <v>76.696165191740405</v>
      </c>
      <c r="H496" s="7">
        <f t="shared" si="37"/>
        <v>2.5565388397246802</v>
      </c>
      <c r="I496" s="5" t="str">
        <f t="shared" si="38"/>
        <v>средний</v>
      </c>
      <c r="J496" t="str">
        <f t="shared" si="39"/>
        <v>нуждается в помощи</v>
      </c>
    </row>
    <row r="497" spans="1:10" x14ac:dyDescent="0.2">
      <c r="A497" s="4">
        <v>2416</v>
      </c>
      <c r="B497" s="1" t="s">
        <v>0</v>
      </c>
      <c r="C497">
        <v>2200</v>
      </c>
      <c r="D497">
        <v>3</v>
      </c>
      <c r="E497" t="s">
        <v>10</v>
      </c>
      <c r="F497" s="6">
        <f t="shared" si="35"/>
        <v>733.33333333333337</v>
      </c>
      <c r="G497" s="7">
        <f t="shared" si="36"/>
        <v>64.896755162241888</v>
      </c>
      <c r="H497" s="7">
        <f t="shared" si="37"/>
        <v>2.1632251720747298</v>
      </c>
      <c r="I497" s="5" t="str">
        <f t="shared" si="38"/>
        <v>ниже среднего</v>
      </c>
      <c r="J497" t="str">
        <f t="shared" si="39"/>
        <v>не нуждается в помощи</v>
      </c>
    </row>
    <row r="498" spans="1:10" x14ac:dyDescent="0.2">
      <c r="A498" s="4">
        <v>5125</v>
      </c>
      <c r="B498" s="1" t="s">
        <v>4</v>
      </c>
      <c r="C498">
        <v>1100</v>
      </c>
      <c r="D498">
        <v>3</v>
      </c>
      <c r="E498" t="s">
        <v>11</v>
      </c>
      <c r="F498" s="6">
        <f t="shared" si="35"/>
        <v>366.66666666666669</v>
      </c>
      <c r="G498" s="7">
        <f t="shared" si="36"/>
        <v>32.448377581120944</v>
      </c>
      <c r="H498" s="7">
        <f t="shared" si="37"/>
        <v>1.0816125860373649</v>
      </c>
      <c r="I498" s="5" t="str">
        <f t="shared" si="38"/>
        <v>бедность</v>
      </c>
      <c r="J498" t="str">
        <f t="shared" si="39"/>
        <v>не нуждается в помощи</v>
      </c>
    </row>
    <row r="499" spans="1:10" x14ac:dyDescent="0.2">
      <c r="A499" s="4">
        <v>5127</v>
      </c>
      <c r="B499" s="1" t="s">
        <v>4</v>
      </c>
      <c r="C499">
        <v>2700</v>
      </c>
      <c r="D499">
        <v>3</v>
      </c>
      <c r="E499" t="s">
        <v>11</v>
      </c>
      <c r="F499" s="6">
        <f t="shared" si="35"/>
        <v>900</v>
      </c>
      <c r="G499" s="7">
        <f t="shared" si="36"/>
        <v>79.646017699115035</v>
      </c>
      <c r="H499" s="7">
        <f t="shared" si="37"/>
        <v>2.6548672566371678</v>
      </c>
      <c r="I499" s="5" t="str">
        <f t="shared" si="38"/>
        <v>средний</v>
      </c>
      <c r="J499" t="str">
        <f t="shared" si="39"/>
        <v>не нуждается в помощи</v>
      </c>
    </row>
    <row r="500" spans="1:10" x14ac:dyDescent="0.2">
      <c r="A500" s="4">
        <v>2545</v>
      </c>
      <c r="B500" s="1" t="s">
        <v>0</v>
      </c>
      <c r="C500">
        <v>750</v>
      </c>
      <c r="D500">
        <v>3</v>
      </c>
      <c r="E500" t="s">
        <v>11</v>
      </c>
      <c r="F500" s="6">
        <f t="shared" si="35"/>
        <v>250</v>
      </c>
      <c r="G500" s="7">
        <f t="shared" si="36"/>
        <v>22.123893805309734</v>
      </c>
      <c r="H500" s="7">
        <f t="shared" si="37"/>
        <v>0.73746312684365778</v>
      </c>
      <c r="I500" s="5" t="str">
        <f t="shared" si="38"/>
        <v>крайняя бедность</v>
      </c>
      <c r="J500" t="str">
        <f t="shared" si="39"/>
        <v>не нуждается в помощи</v>
      </c>
    </row>
    <row r="501" spans="1:10" x14ac:dyDescent="0.2">
      <c r="A501" s="4">
        <v>2072</v>
      </c>
      <c r="B501" s="1" t="s">
        <v>3</v>
      </c>
      <c r="C501">
        <v>750</v>
      </c>
      <c r="D501">
        <v>3</v>
      </c>
      <c r="E501" t="s">
        <v>10</v>
      </c>
      <c r="F501" s="6">
        <f t="shared" si="35"/>
        <v>250</v>
      </c>
      <c r="G501" s="7">
        <f t="shared" si="36"/>
        <v>22.123893805309734</v>
      </c>
      <c r="H501" s="7">
        <f t="shared" si="37"/>
        <v>0.73746312684365778</v>
      </c>
      <c r="I501" s="5" t="str">
        <f t="shared" si="38"/>
        <v>крайняя бедность</v>
      </c>
      <c r="J501" t="str">
        <f t="shared" si="39"/>
        <v>не нуждается в помощи</v>
      </c>
    </row>
    <row r="502" spans="1:10" x14ac:dyDescent="0.2">
      <c r="A502" s="4">
        <v>2110</v>
      </c>
      <c r="B502" s="1" t="s">
        <v>3</v>
      </c>
      <c r="C502">
        <v>1650</v>
      </c>
      <c r="D502">
        <v>3</v>
      </c>
      <c r="E502" t="s">
        <v>10</v>
      </c>
      <c r="F502" s="6">
        <f t="shared" si="35"/>
        <v>550</v>
      </c>
      <c r="G502" s="7">
        <f t="shared" si="36"/>
        <v>48.672566371681413</v>
      </c>
      <c r="H502" s="7">
        <f t="shared" si="37"/>
        <v>1.622418879056047</v>
      </c>
      <c r="I502" s="5" t="str">
        <f t="shared" si="38"/>
        <v>ниже среднего</v>
      </c>
      <c r="J502" t="str">
        <f t="shared" si="39"/>
        <v>не нуждается в помощи</v>
      </c>
    </row>
    <row r="503" spans="1:10" x14ac:dyDescent="0.2">
      <c r="A503" s="4">
        <v>2780</v>
      </c>
      <c r="B503" s="1" t="s">
        <v>2</v>
      </c>
      <c r="C503">
        <v>3050</v>
      </c>
      <c r="D503">
        <v>3</v>
      </c>
      <c r="E503" t="s">
        <v>10</v>
      </c>
      <c r="F503" s="6">
        <f t="shared" si="35"/>
        <v>1016.6666666666666</v>
      </c>
      <c r="G503" s="7">
        <f t="shared" si="36"/>
        <v>89.970501474926252</v>
      </c>
      <c r="H503" s="7">
        <f t="shared" si="37"/>
        <v>2.9990167158308747</v>
      </c>
      <c r="I503" s="5" t="str">
        <f t="shared" si="38"/>
        <v>средний</v>
      </c>
      <c r="J503" t="str">
        <f t="shared" si="39"/>
        <v>не нуждается в помощи</v>
      </c>
    </row>
    <row r="504" spans="1:10" x14ac:dyDescent="0.2">
      <c r="A504" s="4">
        <v>2933</v>
      </c>
      <c r="B504" s="1" t="s">
        <v>1</v>
      </c>
      <c r="C504">
        <v>750</v>
      </c>
      <c r="D504">
        <v>3</v>
      </c>
      <c r="E504" t="s">
        <v>11</v>
      </c>
      <c r="F504" s="6">
        <f t="shared" si="35"/>
        <v>250</v>
      </c>
      <c r="G504" s="7">
        <f t="shared" si="36"/>
        <v>22.123893805309734</v>
      </c>
      <c r="H504" s="7">
        <f t="shared" si="37"/>
        <v>0.73746312684365778</v>
      </c>
      <c r="I504" s="5" t="str">
        <f t="shared" si="38"/>
        <v>крайняя бедность</v>
      </c>
      <c r="J504" t="str">
        <f t="shared" si="39"/>
        <v>не нуждается в помощи</v>
      </c>
    </row>
    <row r="505" spans="1:10" x14ac:dyDescent="0.2">
      <c r="A505" s="4">
        <v>6248</v>
      </c>
      <c r="B505" s="1" t="s">
        <v>1</v>
      </c>
      <c r="C505">
        <v>750</v>
      </c>
      <c r="D505">
        <v>3</v>
      </c>
      <c r="E505" t="s">
        <v>10</v>
      </c>
      <c r="F505" s="6">
        <f t="shared" si="35"/>
        <v>250</v>
      </c>
      <c r="G505" s="7">
        <f t="shared" si="36"/>
        <v>22.123893805309734</v>
      </c>
      <c r="H505" s="7">
        <f t="shared" si="37"/>
        <v>0.73746312684365778</v>
      </c>
      <c r="I505" s="5" t="str">
        <f t="shared" si="38"/>
        <v>крайняя бедность</v>
      </c>
      <c r="J505" t="str">
        <f t="shared" si="39"/>
        <v>не нуждается в помощи</v>
      </c>
    </row>
    <row r="506" spans="1:10" x14ac:dyDescent="0.2">
      <c r="A506" s="4">
        <v>1124</v>
      </c>
      <c r="B506" s="1" t="s">
        <v>4</v>
      </c>
      <c r="C506">
        <v>1960</v>
      </c>
      <c r="D506">
        <v>3</v>
      </c>
      <c r="E506" t="s">
        <v>11</v>
      </c>
      <c r="F506" s="6">
        <f t="shared" si="35"/>
        <v>653.33333333333337</v>
      </c>
      <c r="G506" s="7">
        <f t="shared" si="36"/>
        <v>57.817109144542769</v>
      </c>
      <c r="H506" s="7">
        <f t="shared" si="37"/>
        <v>1.927236971484759</v>
      </c>
      <c r="I506" s="5" t="str">
        <f t="shared" si="38"/>
        <v>ниже среднего</v>
      </c>
      <c r="J506" t="str">
        <f t="shared" si="39"/>
        <v>не нуждается в помощи</v>
      </c>
    </row>
    <row r="507" spans="1:10" x14ac:dyDescent="0.2">
      <c r="A507" s="4">
        <v>1751</v>
      </c>
      <c r="B507" s="1" t="s">
        <v>3</v>
      </c>
      <c r="C507">
        <v>3760</v>
      </c>
      <c r="D507">
        <v>3</v>
      </c>
      <c r="E507" t="s">
        <v>11</v>
      </c>
      <c r="F507" s="6">
        <f t="shared" si="35"/>
        <v>1253.3333333333333</v>
      </c>
      <c r="G507" s="7">
        <f t="shared" si="36"/>
        <v>110.91445427728613</v>
      </c>
      <c r="H507" s="7">
        <f t="shared" si="37"/>
        <v>3.6971484759095379</v>
      </c>
      <c r="I507" s="5" t="str">
        <f t="shared" si="38"/>
        <v>средний</v>
      </c>
      <c r="J507" t="str">
        <f t="shared" si="39"/>
        <v>нуждается в помощи</v>
      </c>
    </row>
    <row r="508" spans="1:10" x14ac:dyDescent="0.2">
      <c r="A508" s="4">
        <v>1735</v>
      </c>
      <c r="B508" s="1" t="s">
        <v>3</v>
      </c>
      <c r="C508">
        <v>2100</v>
      </c>
      <c r="D508">
        <v>3</v>
      </c>
      <c r="E508" t="s">
        <v>11</v>
      </c>
      <c r="F508" s="6">
        <f t="shared" si="35"/>
        <v>700</v>
      </c>
      <c r="G508" s="7">
        <f t="shared" si="36"/>
        <v>61.946902654867252</v>
      </c>
      <c r="H508" s="7">
        <f t="shared" si="37"/>
        <v>2.0648967551622417</v>
      </c>
      <c r="I508" s="5" t="str">
        <f t="shared" si="38"/>
        <v>ниже среднего</v>
      </c>
      <c r="J508" t="str">
        <f t="shared" si="39"/>
        <v>не нуждается в помощи</v>
      </c>
    </row>
    <row r="509" spans="1:10" x14ac:dyDescent="0.2">
      <c r="A509" s="4">
        <v>1927</v>
      </c>
      <c r="B509" s="1" t="s">
        <v>3</v>
      </c>
      <c r="C509">
        <v>800</v>
      </c>
      <c r="D509">
        <v>3</v>
      </c>
      <c r="E509" t="s">
        <v>11</v>
      </c>
      <c r="F509" s="6">
        <f t="shared" si="35"/>
        <v>266.66666666666669</v>
      </c>
      <c r="G509" s="7">
        <f t="shared" si="36"/>
        <v>23.598820058997049</v>
      </c>
      <c r="H509" s="7">
        <f t="shared" si="37"/>
        <v>0.7866273352999017</v>
      </c>
      <c r="I509" s="5" t="str">
        <f t="shared" si="38"/>
        <v>крайняя бедность</v>
      </c>
      <c r="J509" t="str">
        <f t="shared" si="39"/>
        <v>не нуждается в помощи</v>
      </c>
    </row>
    <row r="510" spans="1:10" x14ac:dyDescent="0.2">
      <c r="A510" s="4">
        <v>2186</v>
      </c>
      <c r="B510" s="1" t="s">
        <v>3</v>
      </c>
      <c r="C510">
        <v>800</v>
      </c>
      <c r="D510">
        <v>3</v>
      </c>
      <c r="E510" t="s">
        <v>11</v>
      </c>
      <c r="F510" s="6">
        <f t="shared" si="35"/>
        <v>266.66666666666669</v>
      </c>
      <c r="G510" s="7">
        <f t="shared" si="36"/>
        <v>23.598820058997049</v>
      </c>
      <c r="H510" s="7">
        <f t="shared" si="37"/>
        <v>0.7866273352999017</v>
      </c>
      <c r="I510" s="5" t="str">
        <f t="shared" si="38"/>
        <v>крайняя бедность</v>
      </c>
      <c r="J510" t="str">
        <f t="shared" si="39"/>
        <v>нуждается в помощи</v>
      </c>
    </row>
    <row r="511" spans="1:10" x14ac:dyDescent="0.2">
      <c r="A511" s="4">
        <v>2195</v>
      </c>
      <c r="B511" s="1" t="s">
        <v>3</v>
      </c>
      <c r="C511">
        <v>1800</v>
      </c>
      <c r="D511">
        <v>3</v>
      </c>
      <c r="E511" t="s">
        <v>10</v>
      </c>
      <c r="F511" s="6">
        <f t="shared" si="35"/>
        <v>600</v>
      </c>
      <c r="G511" s="7">
        <f t="shared" si="36"/>
        <v>53.097345132743357</v>
      </c>
      <c r="H511" s="7">
        <f t="shared" si="37"/>
        <v>1.7699115044247786</v>
      </c>
      <c r="I511" s="5" t="str">
        <f t="shared" si="38"/>
        <v>ниже среднего</v>
      </c>
      <c r="J511" t="str">
        <f t="shared" si="39"/>
        <v>не нуждается в помощи</v>
      </c>
    </row>
    <row r="512" spans="1:10" x14ac:dyDescent="0.2">
      <c r="A512" s="4">
        <v>2404</v>
      </c>
      <c r="B512" s="1" t="s">
        <v>0</v>
      </c>
      <c r="C512">
        <v>5800</v>
      </c>
      <c r="D512">
        <v>3</v>
      </c>
      <c r="E512" t="s">
        <v>11</v>
      </c>
      <c r="F512" s="6">
        <f t="shared" si="35"/>
        <v>1933.3333333333333</v>
      </c>
      <c r="G512" s="7">
        <f t="shared" si="36"/>
        <v>171.09144542772859</v>
      </c>
      <c r="H512" s="7">
        <f t="shared" si="37"/>
        <v>5.703048180924287</v>
      </c>
      <c r="I512" s="5" t="str">
        <f t="shared" si="38"/>
        <v>в достатке</v>
      </c>
      <c r="J512" t="str">
        <f t="shared" si="39"/>
        <v>не нуждается в помощи</v>
      </c>
    </row>
    <row r="513" spans="1:10" x14ac:dyDescent="0.2">
      <c r="A513" s="4">
        <v>2803</v>
      </c>
      <c r="B513" s="1" t="s">
        <v>2</v>
      </c>
      <c r="C513">
        <v>800</v>
      </c>
      <c r="D513">
        <v>3</v>
      </c>
      <c r="E513" t="s">
        <v>11</v>
      </c>
      <c r="F513" s="6">
        <f t="shared" si="35"/>
        <v>266.66666666666669</v>
      </c>
      <c r="G513" s="7">
        <f t="shared" si="36"/>
        <v>23.598820058997049</v>
      </c>
      <c r="H513" s="7">
        <f t="shared" si="37"/>
        <v>0.7866273352999017</v>
      </c>
      <c r="I513" s="5" t="str">
        <f t="shared" si="38"/>
        <v>крайняя бедность</v>
      </c>
      <c r="J513" t="str">
        <f t="shared" si="39"/>
        <v>не нуждается в помощи</v>
      </c>
    </row>
    <row r="514" spans="1:10" x14ac:dyDescent="0.2">
      <c r="A514" s="4">
        <v>2964</v>
      </c>
      <c r="B514" s="1" t="s">
        <v>1</v>
      </c>
      <c r="C514">
        <v>800</v>
      </c>
      <c r="D514">
        <v>3</v>
      </c>
      <c r="E514" t="s">
        <v>11</v>
      </c>
      <c r="F514" s="6">
        <f t="shared" ref="F514:F577" si="40">C514/D514</f>
        <v>266.66666666666669</v>
      </c>
      <c r="G514" s="7">
        <f t="shared" ref="G514:G577" si="41">(C514/D514)/rate</f>
        <v>23.598820058997049</v>
      </c>
      <c r="H514" s="7">
        <f t="shared" ref="H514:H577" si="42">((C514/D514)/30)/rate</f>
        <v>0.7866273352999017</v>
      </c>
      <c r="I514" s="5" t="str">
        <f t="shared" ref="I514:I577" si="43">IF(H514&lt;0.89, "крайняя бедность", IF(AND(H514&gt;0.89, H514&lt;1.33), "бедность", IF(AND(H514&gt;1.33,H514&lt;2.5),"ниже среднего", IF(AND(H514&gt;2.5,H514&lt;4), "средний", IF(H514&gt;4,"в достатке",0)))))</f>
        <v>крайняя бедность</v>
      </c>
      <c r="J514" t="str">
        <f t="shared" si="39"/>
        <v>не нуждается в помощи</v>
      </c>
    </row>
    <row r="515" spans="1:10" x14ac:dyDescent="0.2">
      <c r="A515" s="4">
        <v>2981</v>
      </c>
      <c r="B515" s="1" t="s">
        <v>1</v>
      </c>
      <c r="C515">
        <v>3800</v>
      </c>
      <c r="D515">
        <v>3</v>
      </c>
      <c r="E515" t="s">
        <v>10</v>
      </c>
      <c r="F515" s="6">
        <f t="shared" si="40"/>
        <v>1266.6666666666667</v>
      </c>
      <c r="G515" s="7">
        <f t="shared" si="41"/>
        <v>112.09439528023599</v>
      </c>
      <c r="H515" s="7">
        <f t="shared" si="42"/>
        <v>3.7364798426745325</v>
      </c>
      <c r="I515" s="5" t="str">
        <f t="shared" si="43"/>
        <v>средний</v>
      </c>
      <c r="J515" t="str">
        <f t="shared" ref="J515:J578" si="44">IF(AND(I524="крайняя бедность",E524="Нет"), "нуждается в помощи", "не нуждается в помощи")</f>
        <v>не нуждается в помощи</v>
      </c>
    </row>
    <row r="516" spans="1:10" x14ac:dyDescent="0.2">
      <c r="A516" s="4">
        <v>2992</v>
      </c>
      <c r="B516" s="1" t="s">
        <v>1</v>
      </c>
      <c r="C516">
        <v>800</v>
      </c>
      <c r="D516">
        <v>3</v>
      </c>
      <c r="E516" t="s">
        <v>10</v>
      </c>
      <c r="F516" s="6">
        <f t="shared" si="40"/>
        <v>266.66666666666669</v>
      </c>
      <c r="G516" s="7">
        <f t="shared" si="41"/>
        <v>23.598820058997049</v>
      </c>
      <c r="H516" s="7">
        <f t="shared" si="42"/>
        <v>0.7866273352999017</v>
      </c>
      <c r="I516" s="5" t="str">
        <f t="shared" si="43"/>
        <v>крайняя бедность</v>
      </c>
      <c r="J516" t="str">
        <f t="shared" si="44"/>
        <v>не нуждается в помощи</v>
      </c>
    </row>
    <row r="517" spans="1:10" x14ac:dyDescent="0.2">
      <c r="A517" s="4">
        <v>5561</v>
      </c>
      <c r="B517" s="1" t="s">
        <v>0</v>
      </c>
      <c r="C517">
        <v>4300</v>
      </c>
      <c r="D517">
        <v>3</v>
      </c>
      <c r="E517" t="s">
        <v>11</v>
      </c>
      <c r="F517" s="6">
        <f t="shared" si="40"/>
        <v>1433.3333333333333</v>
      </c>
      <c r="G517" s="7">
        <f t="shared" si="41"/>
        <v>126.84365781710913</v>
      </c>
      <c r="H517" s="7">
        <f t="shared" si="42"/>
        <v>4.2281219272369714</v>
      </c>
      <c r="I517" s="5" t="str">
        <f t="shared" si="43"/>
        <v>в достатке</v>
      </c>
      <c r="J517" t="str">
        <f t="shared" si="44"/>
        <v>не нуждается в помощи</v>
      </c>
    </row>
    <row r="518" spans="1:10" x14ac:dyDescent="0.2">
      <c r="A518" s="4">
        <v>1814</v>
      </c>
      <c r="B518" s="1" t="s">
        <v>3</v>
      </c>
      <c r="C518">
        <v>1020</v>
      </c>
      <c r="D518">
        <v>3</v>
      </c>
      <c r="E518" t="s">
        <v>11</v>
      </c>
      <c r="F518" s="6">
        <f t="shared" si="40"/>
        <v>340</v>
      </c>
      <c r="G518" s="7">
        <f t="shared" si="41"/>
        <v>30.088495575221238</v>
      </c>
      <c r="H518" s="7">
        <f t="shared" si="42"/>
        <v>1.0029498525073746</v>
      </c>
      <c r="I518" s="5" t="str">
        <f t="shared" si="43"/>
        <v>бедность</v>
      </c>
      <c r="J518" t="str">
        <f t="shared" si="44"/>
        <v>не нуждается в помощи</v>
      </c>
    </row>
    <row r="519" spans="1:10" x14ac:dyDescent="0.2">
      <c r="A519" s="4">
        <v>1933</v>
      </c>
      <c r="B519" s="1" t="s">
        <v>3</v>
      </c>
      <c r="C519">
        <v>840</v>
      </c>
      <c r="D519">
        <v>3</v>
      </c>
      <c r="E519" t="s">
        <v>10</v>
      </c>
      <c r="F519" s="6">
        <f t="shared" si="40"/>
        <v>280</v>
      </c>
      <c r="G519" s="7">
        <f t="shared" si="41"/>
        <v>24.778761061946902</v>
      </c>
      <c r="H519" s="7">
        <f t="shared" si="42"/>
        <v>0.82595870206489674</v>
      </c>
      <c r="I519" s="5" t="str">
        <f t="shared" si="43"/>
        <v>крайняя бедность</v>
      </c>
      <c r="J519" t="str">
        <f t="shared" si="44"/>
        <v>не нуждается в помощи</v>
      </c>
    </row>
    <row r="520" spans="1:10" x14ac:dyDescent="0.2">
      <c r="A520" s="4">
        <v>1732</v>
      </c>
      <c r="B520" s="1" t="s">
        <v>3</v>
      </c>
      <c r="C520">
        <v>850</v>
      </c>
      <c r="D520">
        <v>3</v>
      </c>
      <c r="E520" t="s">
        <v>11</v>
      </c>
      <c r="F520" s="6">
        <f t="shared" si="40"/>
        <v>283.33333333333331</v>
      </c>
      <c r="G520" s="7">
        <f t="shared" si="41"/>
        <v>25.073746312684364</v>
      </c>
      <c r="H520" s="7">
        <f t="shared" si="42"/>
        <v>0.83579154375614551</v>
      </c>
      <c r="I520" s="5" t="str">
        <f t="shared" si="43"/>
        <v>крайняя бедность</v>
      </c>
      <c r="J520" t="str">
        <f t="shared" si="44"/>
        <v>не нуждается в помощи</v>
      </c>
    </row>
    <row r="521" spans="1:10" x14ac:dyDescent="0.2">
      <c r="A521" s="4">
        <v>1753</v>
      </c>
      <c r="B521" s="1" t="s">
        <v>3</v>
      </c>
      <c r="C521">
        <v>2630</v>
      </c>
      <c r="D521">
        <v>3</v>
      </c>
      <c r="E521" t="s">
        <v>11</v>
      </c>
      <c r="F521" s="6">
        <f t="shared" si="40"/>
        <v>876.66666666666663</v>
      </c>
      <c r="G521" s="7">
        <f t="shared" si="41"/>
        <v>77.581120943952797</v>
      </c>
      <c r="H521" s="7">
        <f t="shared" si="42"/>
        <v>2.5860373647984267</v>
      </c>
      <c r="I521" s="5" t="str">
        <f t="shared" si="43"/>
        <v>средний</v>
      </c>
      <c r="J521" t="str">
        <f t="shared" si="44"/>
        <v>не нуждается в помощи</v>
      </c>
    </row>
    <row r="522" spans="1:10" x14ac:dyDescent="0.2">
      <c r="A522" s="4">
        <v>6086</v>
      </c>
      <c r="B522" s="1" t="s">
        <v>1</v>
      </c>
      <c r="C522">
        <v>1900</v>
      </c>
      <c r="D522">
        <v>3</v>
      </c>
      <c r="E522" t="s">
        <v>11</v>
      </c>
      <c r="F522" s="6">
        <f t="shared" si="40"/>
        <v>633.33333333333337</v>
      </c>
      <c r="G522" s="7">
        <f t="shared" si="41"/>
        <v>56.047197640117993</v>
      </c>
      <c r="H522" s="7">
        <f t="shared" si="42"/>
        <v>1.8682399213372662</v>
      </c>
      <c r="I522" s="5" t="str">
        <f t="shared" si="43"/>
        <v>ниже среднего</v>
      </c>
      <c r="J522" t="str">
        <f t="shared" si="44"/>
        <v>не нуждается в помощи</v>
      </c>
    </row>
    <row r="523" spans="1:10" x14ac:dyDescent="0.2">
      <c r="A523" s="4">
        <v>1982</v>
      </c>
      <c r="B523" s="1" t="s">
        <v>3</v>
      </c>
      <c r="C523" s="1">
        <v>1000</v>
      </c>
      <c r="D523">
        <v>3</v>
      </c>
      <c r="E523" t="s">
        <v>11</v>
      </c>
      <c r="F523" s="6">
        <f t="shared" si="40"/>
        <v>333.33333333333331</v>
      </c>
      <c r="G523" s="7">
        <f t="shared" si="41"/>
        <v>29.498525073746308</v>
      </c>
      <c r="H523" s="7">
        <f t="shared" si="42"/>
        <v>0.98328416912487704</v>
      </c>
      <c r="I523" s="5" t="str">
        <f t="shared" si="43"/>
        <v>бедность</v>
      </c>
      <c r="J523" t="str">
        <f t="shared" si="44"/>
        <v>не нуждается в помощи</v>
      </c>
    </row>
    <row r="524" spans="1:10" x14ac:dyDescent="0.2">
      <c r="A524" s="4">
        <v>1929</v>
      </c>
      <c r="B524" s="1" t="s">
        <v>3</v>
      </c>
      <c r="C524" s="1">
        <v>1700</v>
      </c>
      <c r="D524">
        <v>3</v>
      </c>
      <c r="E524" t="s">
        <v>11</v>
      </c>
      <c r="F524" s="6">
        <f t="shared" si="40"/>
        <v>566.66666666666663</v>
      </c>
      <c r="G524" s="7">
        <f t="shared" si="41"/>
        <v>50.147492625368727</v>
      </c>
      <c r="H524" s="7">
        <f t="shared" si="42"/>
        <v>1.671583087512291</v>
      </c>
      <c r="I524" s="5" t="str">
        <f t="shared" si="43"/>
        <v>ниже среднего</v>
      </c>
      <c r="J524" t="str">
        <f t="shared" si="44"/>
        <v>не нуждается в помощи</v>
      </c>
    </row>
    <row r="525" spans="1:10" x14ac:dyDescent="0.2">
      <c r="A525" s="4">
        <v>713</v>
      </c>
      <c r="B525" t="s">
        <v>4</v>
      </c>
      <c r="C525" s="1">
        <v>1000</v>
      </c>
      <c r="D525">
        <v>3</v>
      </c>
      <c r="E525" t="s">
        <v>10</v>
      </c>
      <c r="F525" s="6">
        <f t="shared" si="40"/>
        <v>333.33333333333331</v>
      </c>
      <c r="G525" s="7">
        <f t="shared" si="41"/>
        <v>29.498525073746308</v>
      </c>
      <c r="H525" s="7">
        <f t="shared" si="42"/>
        <v>0.98328416912487704</v>
      </c>
      <c r="I525" s="5" t="str">
        <f t="shared" si="43"/>
        <v>бедность</v>
      </c>
      <c r="J525" t="str">
        <f t="shared" si="44"/>
        <v>не нуждается в помощи</v>
      </c>
    </row>
    <row r="526" spans="1:10" x14ac:dyDescent="0.2">
      <c r="A526" s="4">
        <v>1004</v>
      </c>
      <c r="B526" t="s">
        <v>4</v>
      </c>
      <c r="C526" s="1">
        <v>1200</v>
      </c>
      <c r="D526">
        <v>3</v>
      </c>
      <c r="E526" t="s">
        <v>10</v>
      </c>
      <c r="F526" s="6">
        <f t="shared" si="40"/>
        <v>400</v>
      </c>
      <c r="G526" s="7">
        <f t="shared" si="41"/>
        <v>35.398230088495573</v>
      </c>
      <c r="H526" s="7">
        <f t="shared" si="42"/>
        <v>1.1799410029498525</v>
      </c>
      <c r="I526" s="5" t="str">
        <f t="shared" si="43"/>
        <v>бедность</v>
      </c>
      <c r="J526" t="str">
        <f t="shared" si="44"/>
        <v>не нуждается в помощи</v>
      </c>
    </row>
    <row r="527" spans="1:10" x14ac:dyDescent="0.2">
      <c r="A527" s="4">
        <v>1556</v>
      </c>
      <c r="B527" t="s">
        <v>5</v>
      </c>
      <c r="C527" s="1">
        <v>2300</v>
      </c>
      <c r="D527">
        <v>3</v>
      </c>
      <c r="E527" t="s">
        <v>10</v>
      </c>
      <c r="F527" s="6">
        <f t="shared" si="40"/>
        <v>766.66666666666663</v>
      </c>
      <c r="G527" s="7">
        <f t="shared" si="41"/>
        <v>67.846607669616517</v>
      </c>
      <c r="H527" s="7">
        <f t="shared" si="42"/>
        <v>2.2615535889872169</v>
      </c>
      <c r="I527" s="5" t="str">
        <f t="shared" si="43"/>
        <v>ниже среднего</v>
      </c>
      <c r="J527" t="str">
        <f t="shared" si="44"/>
        <v>не нуждается в помощи</v>
      </c>
    </row>
    <row r="528" spans="1:10" x14ac:dyDescent="0.2">
      <c r="A528" s="4">
        <v>1683</v>
      </c>
      <c r="B528" t="s">
        <v>5</v>
      </c>
      <c r="C528" s="1">
        <v>1400</v>
      </c>
      <c r="D528">
        <v>3</v>
      </c>
      <c r="E528" t="s">
        <v>11</v>
      </c>
      <c r="F528" s="6">
        <f t="shared" si="40"/>
        <v>466.66666666666669</v>
      </c>
      <c r="G528" s="7">
        <f t="shared" si="41"/>
        <v>41.297935103244839</v>
      </c>
      <c r="H528" s="7">
        <f t="shared" si="42"/>
        <v>1.3765978367748277</v>
      </c>
      <c r="I528" s="5" t="str">
        <f t="shared" si="43"/>
        <v>ниже среднего</v>
      </c>
      <c r="J528" t="str">
        <f t="shared" si="44"/>
        <v>не нуждается в помощи</v>
      </c>
    </row>
    <row r="529" spans="1:10" x14ac:dyDescent="0.2">
      <c r="A529" s="4">
        <v>1752</v>
      </c>
      <c r="B529" t="s">
        <v>3</v>
      </c>
      <c r="C529" s="1">
        <v>1000</v>
      </c>
      <c r="D529">
        <v>3</v>
      </c>
      <c r="E529" t="s">
        <v>10</v>
      </c>
      <c r="F529" s="6">
        <f t="shared" si="40"/>
        <v>333.33333333333331</v>
      </c>
      <c r="G529" s="7">
        <f t="shared" si="41"/>
        <v>29.498525073746308</v>
      </c>
      <c r="H529" s="7">
        <f t="shared" si="42"/>
        <v>0.98328416912487704</v>
      </c>
      <c r="I529" s="5" t="str">
        <f t="shared" si="43"/>
        <v>бедность</v>
      </c>
      <c r="J529" t="str">
        <f t="shared" si="44"/>
        <v>не нуждается в помощи</v>
      </c>
    </row>
    <row r="530" spans="1:10" x14ac:dyDescent="0.2">
      <c r="A530" s="4">
        <v>1924</v>
      </c>
      <c r="B530" t="s">
        <v>3</v>
      </c>
      <c r="C530" s="1">
        <v>1000</v>
      </c>
      <c r="D530">
        <v>3</v>
      </c>
      <c r="E530" t="s">
        <v>11</v>
      </c>
      <c r="F530" s="6">
        <f t="shared" si="40"/>
        <v>333.33333333333331</v>
      </c>
      <c r="G530" s="7">
        <f t="shared" si="41"/>
        <v>29.498525073746308</v>
      </c>
      <c r="H530" s="7">
        <f t="shared" si="42"/>
        <v>0.98328416912487704</v>
      </c>
      <c r="I530" s="5" t="str">
        <f t="shared" si="43"/>
        <v>бедность</v>
      </c>
      <c r="J530" t="str">
        <f t="shared" si="44"/>
        <v>не нуждается в помощи</v>
      </c>
    </row>
    <row r="531" spans="1:10" x14ac:dyDescent="0.2">
      <c r="A531" s="4">
        <v>1993</v>
      </c>
      <c r="B531" t="s">
        <v>3</v>
      </c>
      <c r="C531" s="1">
        <v>1000</v>
      </c>
      <c r="D531">
        <v>3</v>
      </c>
      <c r="E531" t="s">
        <v>11</v>
      </c>
      <c r="F531" s="6">
        <f t="shared" si="40"/>
        <v>333.33333333333331</v>
      </c>
      <c r="G531" s="7">
        <f t="shared" si="41"/>
        <v>29.498525073746308</v>
      </c>
      <c r="H531" s="7">
        <f t="shared" si="42"/>
        <v>0.98328416912487704</v>
      </c>
      <c r="I531" s="5" t="str">
        <f t="shared" si="43"/>
        <v>бедность</v>
      </c>
      <c r="J531" t="str">
        <f t="shared" si="44"/>
        <v>не нуждается в помощи</v>
      </c>
    </row>
    <row r="532" spans="1:10" x14ac:dyDescent="0.2">
      <c r="A532" s="4">
        <v>2172</v>
      </c>
      <c r="B532" t="s">
        <v>3</v>
      </c>
      <c r="C532" s="1">
        <v>5172</v>
      </c>
      <c r="D532">
        <v>3</v>
      </c>
      <c r="E532" t="s">
        <v>10</v>
      </c>
      <c r="F532" s="6">
        <f t="shared" si="40"/>
        <v>1724</v>
      </c>
      <c r="G532" s="7">
        <f t="shared" si="41"/>
        <v>152.56637168141592</v>
      </c>
      <c r="H532" s="7">
        <f t="shared" si="42"/>
        <v>5.0855457227138645</v>
      </c>
      <c r="I532" s="5" t="str">
        <f t="shared" si="43"/>
        <v>в достатке</v>
      </c>
      <c r="J532" t="str">
        <f t="shared" si="44"/>
        <v>не нуждается в помощи</v>
      </c>
    </row>
    <row r="533" spans="1:10" x14ac:dyDescent="0.2">
      <c r="A533" s="4">
        <v>2220</v>
      </c>
      <c r="B533" t="s">
        <v>3</v>
      </c>
      <c r="C533" s="1">
        <v>2000</v>
      </c>
      <c r="D533">
        <v>3</v>
      </c>
      <c r="E533" t="s">
        <v>11</v>
      </c>
      <c r="F533" s="6">
        <f t="shared" si="40"/>
        <v>666.66666666666663</v>
      </c>
      <c r="G533" s="7">
        <f t="shared" si="41"/>
        <v>58.997050147492615</v>
      </c>
      <c r="H533" s="7">
        <f t="shared" si="42"/>
        <v>1.9665683382497541</v>
      </c>
      <c r="I533" s="5" t="str">
        <f t="shared" si="43"/>
        <v>ниже среднего</v>
      </c>
      <c r="J533" t="str">
        <f t="shared" si="44"/>
        <v>не нуждается в помощи</v>
      </c>
    </row>
    <row r="534" spans="1:10" x14ac:dyDescent="0.2">
      <c r="A534" s="4">
        <v>2322</v>
      </c>
      <c r="B534" t="s">
        <v>0</v>
      </c>
      <c r="C534" s="1">
        <v>1000</v>
      </c>
      <c r="D534">
        <v>3</v>
      </c>
      <c r="E534" t="s">
        <v>11</v>
      </c>
      <c r="F534" s="6">
        <f t="shared" si="40"/>
        <v>333.33333333333331</v>
      </c>
      <c r="G534" s="7">
        <f t="shared" si="41"/>
        <v>29.498525073746308</v>
      </c>
      <c r="H534" s="7">
        <f t="shared" si="42"/>
        <v>0.98328416912487704</v>
      </c>
      <c r="I534" s="5" t="str">
        <f t="shared" si="43"/>
        <v>бедность</v>
      </c>
      <c r="J534" t="str">
        <f t="shared" si="44"/>
        <v>не нуждается в помощи</v>
      </c>
    </row>
    <row r="535" spans="1:10" x14ac:dyDescent="0.2">
      <c r="A535" s="4">
        <v>2676</v>
      </c>
      <c r="B535" t="s">
        <v>2</v>
      </c>
      <c r="C535" s="1">
        <v>2000</v>
      </c>
      <c r="D535">
        <v>3</v>
      </c>
      <c r="E535" t="s">
        <v>10</v>
      </c>
      <c r="F535" s="6">
        <f t="shared" si="40"/>
        <v>666.66666666666663</v>
      </c>
      <c r="G535" s="7">
        <f t="shared" si="41"/>
        <v>58.997050147492615</v>
      </c>
      <c r="H535" s="7">
        <f t="shared" si="42"/>
        <v>1.9665683382497541</v>
      </c>
      <c r="I535" s="5" t="str">
        <f t="shared" si="43"/>
        <v>ниже среднего</v>
      </c>
      <c r="J535" t="str">
        <f t="shared" si="44"/>
        <v>не нуждается в помощи</v>
      </c>
    </row>
    <row r="536" spans="1:10" x14ac:dyDescent="0.2">
      <c r="A536" s="4">
        <v>2861</v>
      </c>
      <c r="B536" t="s">
        <v>2</v>
      </c>
      <c r="C536" s="1">
        <v>1000</v>
      </c>
      <c r="D536">
        <v>3</v>
      </c>
      <c r="E536" t="s">
        <v>10</v>
      </c>
      <c r="F536" s="6">
        <f t="shared" si="40"/>
        <v>333.33333333333331</v>
      </c>
      <c r="G536" s="7">
        <f t="shared" si="41"/>
        <v>29.498525073746308</v>
      </c>
      <c r="H536" s="7">
        <f t="shared" si="42"/>
        <v>0.98328416912487704</v>
      </c>
      <c r="I536" s="5" t="str">
        <f t="shared" si="43"/>
        <v>бедность</v>
      </c>
      <c r="J536" t="str">
        <f t="shared" si="44"/>
        <v>не нуждается в помощи</v>
      </c>
    </row>
    <row r="537" spans="1:10" x14ac:dyDescent="0.2">
      <c r="A537" s="4">
        <v>2875</v>
      </c>
      <c r="B537" t="s">
        <v>2</v>
      </c>
      <c r="C537" s="1">
        <v>3500</v>
      </c>
      <c r="D537">
        <v>3</v>
      </c>
      <c r="E537" t="s">
        <v>11</v>
      </c>
      <c r="F537" s="6">
        <f t="shared" si="40"/>
        <v>1166.6666666666667</v>
      </c>
      <c r="G537" s="7">
        <f t="shared" si="41"/>
        <v>103.2448377581121</v>
      </c>
      <c r="H537" s="7">
        <f t="shared" si="42"/>
        <v>3.4414945919370701</v>
      </c>
      <c r="I537" s="5" t="str">
        <f t="shared" si="43"/>
        <v>средний</v>
      </c>
      <c r="J537" t="str">
        <f t="shared" si="44"/>
        <v>не нуждается в помощи</v>
      </c>
    </row>
    <row r="538" spans="1:10" x14ac:dyDescent="0.2">
      <c r="A538" s="4">
        <v>2896</v>
      </c>
      <c r="B538" t="s">
        <v>1</v>
      </c>
      <c r="C538" s="1">
        <v>1300</v>
      </c>
      <c r="D538">
        <v>3</v>
      </c>
      <c r="E538" t="s">
        <v>11</v>
      </c>
      <c r="F538" s="6">
        <f t="shared" si="40"/>
        <v>433.33333333333331</v>
      </c>
      <c r="G538" s="7">
        <f t="shared" si="41"/>
        <v>38.348082595870203</v>
      </c>
      <c r="H538" s="7">
        <f t="shared" si="42"/>
        <v>1.2782694198623401</v>
      </c>
      <c r="I538" s="5" t="str">
        <f t="shared" si="43"/>
        <v>бедность</v>
      </c>
      <c r="J538" t="str">
        <f t="shared" si="44"/>
        <v>не нуждается в помощи</v>
      </c>
    </row>
    <row r="539" spans="1:10" x14ac:dyDescent="0.2">
      <c r="A539" s="4">
        <v>2914</v>
      </c>
      <c r="B539" t="s">
        <v>1</v>
      </c>
      <c r="C539" s="1">
        <v>1050</v>
      </c>
      <c r="D539">
        <v>3</v>
      </c>
      <c r="E539" t="s">
        <v>11</v>
      </c>
      <c r="F539" s="6">
        <f t="shared" si="40"/>
        <v>350</v>
      </c>
      <c r="G539" s="7">
        <f t="shared" si="41"/>
        <v>30.973451327433626</v>
      </c>
      <c r="H539" s="7">
        <f t="shared" si="42"/>
        <v>1.0324483775811208</v>
      </c>
      <c r="I539" s="5" t="str">
        <f t="shared" si="43"/>
        <v>бедность</v>
      </c>
      <c r="J539" t="str">
        <f t="shared" si="44"/>
        <v>не нуждается в помощи</v>
      </c>
    </row>
    <row r="540" spans="1:10" x14ac:dyDescent="0.2">
      <c r="A540" s="4">
        <v>5008</v>
      </c>
      <c r="B540" t="s">
        <v>4</v>
      </c>
      <c r="C540" s="1">
        <v>1060</v>
      </c>
      <c r="D540">
        <v>3</v>
      </c>
      <c r="E540" t="s">
        <v>11</v>
      </c>
      <c r="F540" s="6">
        <f t="shared" si="40"/>
        <v>353.33333333333331</v>
      </c>
      <c r="G540" s="7">
        <f t="shared" si="41"/>
        <v>31.268436578171087</v>
      </c>
      <c r="H540" s="7">
        <f t="shared" si="42"/>
        <v>1.0422812192723696</v>
      </c>
      <c r="I540" s="5" t="str">
        <f t="shared" si="43"/>
        <v>бедность</v>
      </c>
      <c r="J540" t="str">
        <f t="shared" si="44"/>
        <v>не нуждается в помощи</v>
      </c>
    </row>
    <row r="541" spans="1:10" x14ac:dyDescent="0.2">
      <c r="A541" s="4">
        <v>2171</v>
      </c>
      <c r="B541" t="s">
        <v>3</v>
      </c>
      <c r="C541" s="1">
        <v>2000</v>
      </c>
      <c r="D541">
        <v>3</v>
      </c>
      <c r="E541" t="s">
        <v>11</v>
      </c>
      <c r="F541" s="6">
        <f t="shared" si="40"/>
        <v>666.66666666666663</v>
      </c>
      <c r="G541" s="7">
        <f t="shared" si="41"/>
        <v>58.997050147492615</v>
      </c>
      <c r="H541" s="7">
        <f t="shared" si="42"/>
        <v>1.9665683382497541</v>
      </c>
      <c r="I541" s="5" t="str">
        <f t="shared" si="43"/>
        <v>ниже среднего</v>
      </c>
      <c r="J541" t="str">
        <f t="shared" si="44"/>
        <v>не нуждается в помощи</v>
      </c>
    </row>
    <row r="542" spans="1:10" x14ac:dyDescent="0.2">
      <c r="A542" s="4">
        <v>3105</v>
      </c>
      <c r="B542" t="s">
        <v>1</v>
      </c>
      <c r="C542" s="1">
        <v>1100</v>
      </c>
      <c r="D542">
        <v>3</v>
      </c>
      <c r="E542" t="s">
        <v>11</v>
      </c>
      <c r="F542" s="6">
        <f t="shared" si="40"/>
        <v>366.66666666666669</v>
      </c>
      <c r="G542" s="7">
        <f t="shared" si="41"/>
        <v>32.448377581120944</v>
      </c>
      <c r="H542" s="7">
        <f t="shared" si="42"/>
        <v>1.0816125860373649</v>
      </c>
      <c r="I542" s="5" t="str">
        <f t="shared" si="43"/>
        <v>бедность</v>
      </c>
      <c r="J542" t="str">
        <f t="shared" si="44"/>
        <v>не нуждается в помощи</v>
      </c>
    </row>
    <row r="543" spans="1:10" x14ac:dyDescent="0.2">
      <c r="A543" s="4">
        <v>2900</v>
      </c>
      <c r="B543" t="s">
        <v>1</v>
      </c>
      <c r="C543" s="1">
        <v>1170</v>
      </c>
      <c r="D543">
        <v>3</v>
      </c>
      <c r="E543" t="s">
        <v>11</v>
      </c>
      <c r="F543" s="6">
        <f t="shared" si="40"/>
        <v>390</v>
      </c>
      <c r="G543" s="7">
        <f t="shared" si="41"/>
        <v>34.513274336283182</v>
      </c>
      <c r="H543" s="7">
        <f t="shared" si="42"/>
        <v>1.1504424778761062</v>
      </c>
      <c r="I543" s="5" t="str">
        <f t="shared" si="43"/>
        <v>бедность</v>
      </c>
      <c r="J543" t="str">
        <f t="shared" si="44"/>
        <v>не нуждается в помощи</v>
      </c>
    </row>
    <row r="544" spans="1:10" x14ac:dyDescent="0.2">
      <c r="A544" s="4">
        <v>1531</v>
      </c>
      <c r="B544" t="s">
        <v>5</v>
      </c>
      <c r="C544" s="1">
        <v>4898</v>
      </c>
      <c r="D544">
        <v>3</v>
      </c>
      <c r="E544" t="s">
        <v>10</v>
      </c>
      <c r="F544" s="6">
        <f t="shared" si="40"/>
        <v>1632.6666666666667</v>
      </c>
      <c r="G544" s="7">
        <f t="shared" si="41"/>
        <v>144.48377581120943</v>
      </c>
      <c r="H544" s="7">
        <f t="shared" si="42"/>
        <v>4.8161258603736474</v>
      </c>
      <c r="I544" s="5" t="str">
        <f t="shared" si="43"/>
        <v>в достатке</v>
      </c>
      <c r="J544" t="str">
        <f t="shared" si="44"/>
        <v>не нуждается в помощи</v>
      </c>
    </row>
    <row r="545" spans="1:10" x14ac:dyDescent="0.2">
      <c r="A545" s="4">
        <v>1635</v>
      </c>
      <c r="B545" t="s">
        <v>5</v>
      </c>
      <c r="C545" s="1">
        <v>1200</v>
      </c>
      <c r="D545">
        <v>3</v>
      </c>
      <c r="E545" t="s">
        <v>10</v>
      </c>
      <c r="F545" s="6">
        <f t="shared" si="40"/>
        <v>400</v>
      </c>
      <c r="G545" s="7">
        <f t="shared" si="41"/>
        <v>35.398230088495573</v>
      </c>
      <c r="H545" s="7">
        <f t="shared" si="42"/>
        <v>1.1799410029498525</v>
      </c>
      <c r="I545" s="5" t="str">
        <f t="shared" si="43"/>
        <v>бедность</v>
      </c>
      <c r="J545" t="str">
        <f t="shared" si="44"/>
        <v>не нуждается в помощи</v>
      </c>
    </row>
    <row r="546" spans="1:10" x14ac:dyDescent="0.2">
      <c r="A546" s="4">
        <v>1829</v>
      </c>
      <c r="B546" t="s">
        <v>3</v>
      </c>
      <c r="C546" s="1">
        <v>1200</v>
      </c>
      <c r="D546">
        <v>3</v>
      </c>
      <c r="E546" t="s">
        <v>10</v>
      </c>
      <c r="F546" s="6">
        <f t="shared" si="40"/>
        <v>400</v>
      </c>
      <c r="G546" s="7">
        <f t="shared" si="41"/>
        <v>35.398230088495573</v>
      </c>
      <c r="H546" s="7">
        <f t="shared" si="42"/>
        <v>1.1799410029498525</v>
      </c>
      <c r="I546" s="5" t="str">
        <f t="shared" si="43"/>
        <v>бедность</v>
      </c>
      <c r="J546" t="str">
        <f t="shared" si="44"/>
        <v>не нуждается в помощи</v>
      </c>
    </row>
    <row r="547" spans="1:10" x14ac:dyDescent="0.2">
      <c r="A547" s="4">
        <v>2008</v>
      </c>
      <c r="B547" t="s">
        <v>3</v>
      </c>
      <c r="C547" s="1">
        <v>1200</v>
      </c>
      <c r="D547">
        <v>3</v>
      </c>
      <c r="E547" t="s">
        <v>11</v>
      </c>
      <c r="F547" s="6">
        <f t="shared" si="40"/>
        <v>400</v>
      </c>
      <c r="G547" s="7">
        <f t="shared" si="41"/>
        <v>35.398230088495573</v>
      </c>
      <c r="H547" s="7">
        <f t="shared" si="42"/>
        <v>1.1799410029498525</v>
      </c>
      <c r="I547" s="5" t="str">
        <f t="shared" si="43"/>
        <v>бедность</v>
      </c>
      <c r="J547" t="str">
        <f t="shared" si="44"/>
        <v>не нуждается в помощи</v>
      </c>
    </row>
    <row r="548" spans="1:10" x14ac:dyDescent="0.2">
      <c r="A548" s="4">
        <v>2295</v>
      </c>
      <c r="B548" t="s">
        <v>3</v>
      </c>
      <c r="C548" s="1">
        <v>2400</v>
      </c>
      <c r="D548">
        <v>3</v>
      </c>
      <c r="E548" t="s">
        <v>11</v>
      </c>
      <c r="F548" s="6">
        <f t="shared" si="40"/>
        <v>800</v>
      </c>
      <c r="G548" s="7">
        <f t="shared" si="41"/>
        <v>70.796460176991147</v>
      </c>
      <c r="H548" s="7">
        <f t="shared" si="42"/>
        <v>2.359882005899705</v>
      </c>
      <c r="I548" s="5" t="str">
        <f t="shared" si="43"/>
        <v>ниже среднего</v>
      </c>
      <c r="J548" t="str">
        <f t="shared" si="44"/>
        <v>не нуждается в помощи</v>
      </c>
    </row>
    <row r="549" spans="1:10" x14ac:dyDescent="0.2">
      <c r="A549" s="4">
        <v>2996</v>
      </c>
      <c r="B549" t="s">
        <v>1</v>
      </c>
      <c r="C549" s="1">
        <v>1200</v>
      </c>
      <c r="D549">
        <v>3</v>
      </c>
      <c r="E549" t="s">
        <v>11</v>
      </c>
      <c r="F549" s="6">
        <f t="shared" si="40"/>
        <v>400</v>
      </c>
      <c r="G549" s="7">
        <f t="shared" si="41"/>
        <v>35.398230088495573</v>
      </c>
      <c r="H549" s="7">
        <f t="shared" si="42"/>
        <v>1.1799410029498525</v>
      </c>
      <c r="I549" s="5" t="str">
        <f t="shared" si="43"/>
        <v>бедность</v>
      </c>
      <c r="J549" t="str">
        <f t="shared" si="44"/>
        <v>не нуждается в помощи</v>
      </c>
    </row>
    <row r="550" spans="1:10" x14ac:dyDescent="0.2">
      <c r="A550" s="4">
        <v>3024</v>
      </c>
      <c r="B550" t="s">
        <v>1</v>
      </c>
      <c r="C550" s="1">
        <v>1200</v>
      </c>
      <c r="D550">
        <v>3</v>
      </c>
      <c r="E550" t="s">
        <v>10</v>
      </c>
      <c r="F550" s="6">
        <f t="shared" si="40"/>
        <v>400</v>
      </c>
      <c r="G550" s="7">
        <f t="shared" si="41"/>
        <v>35.398230088495573</v>
      </c>
      <c r="H550" s="7">
        <f t="shared" si="42"/>
        <v>1.1799410029498525</v>
      </c>
      <c r="I550" s="5" t="str">
        <f t="shared" si="43"/>
        <v>бедность</v>
      </c>
      <c r="J550" t="str">
        <f t="shared" si="44"/>
        <v>не нуждается в помощи</v>
      </c>
    </row>
    <row r="551" spans="1:10" x14ac:dyDescent="0.2">
      <c r="A551" s="4">
        <v>3230</v>
      </c>
      <c r="B551" t="s">
        <v>1</v>
      </c>
      <c r="C551" s="1">
        <v>2000</v>
      </c>
      <c r="D551">
        <v>3</v>
      </c>
      <c r="E551" t="s">
        <v>10</v>
      </c>
      <c r="F551" s="6">
        <f t="shared" si="40"/>
        <v>666.66666666666663</v>
      </c>
      <c r="G551" s="7">
        <f t="shared" si="41"/>
        <v>58.997050147492615</v>
      </c>
      <c r="H551" s="7">
        <f t="shared" si="42"/>
        <v>1.9665683382497541</v>
      </c>
      <c r="I551" s="5" t="str">
        <f t="shared" si="43"/>
        <v>ниже среднего</v>
      </c>
      <c r="J551" t="str">
        <f t="shared" si="44"/>
        <v>не нуждается в помощи</v>
      </c>
    </row>
    <row r="552" spans="1:10" x14ac:dyDescent="0.2">
      <c r="A552" s="4">
        <v>5181</v>
      </c>
      <c r="B552" t="s">
        <v>4</v>
      </c>
      <c r="C552" s="1">
        <v>1200</v>
      </c>
      <c r="D552">
        <v>3</v>
      </c>
      <c r="E552" t="s">
        <v>10</v>
      </c>
      <c r="F552" s="6">
        <f t="shared" si="40"/>
        <v>400</v>
      </c>
      <c r="G552" s="7">
        <f t="shared" si="41"/>
        <v>35.398230088495573</v>
      </c>
      <c r="H552" s="7">
        <f t="shared" si="42"/>
        <v>1.1799410029498525</v>
      </c>
      <c r="I552" s="5" t="str">
        <f t="shared" si="43"/>
        <v>бедность</v>
      </c>
      <c r="J552" t="str">
        <f t="shared" si="44"/>
        <v>не нуждается в помощи</v>
      </c>
    </row>
    <row r="553" spans="1:10" x14ac:dyDescent="0.2">
      <c r="A553" s="4">
        <v>2988</v>
      </c>
      <c r="B553" t="s">
        <v>1</v>
      </c>
      <c r="C553" s="1">
        <v>1600</v>
      </c>
      <c r="D553">
        <v>3</v>
      </c>
      <c r="E553" t="s">
        <v>11</v>
      </c>
      <c r="F553" s="6">
        <f t="shared" si="40"/>
        <v>533.33333333333337</v>
      </c>
      <c r="G553" s="7">
        <f t="shared" si="41"/>
        <v>47.197640117994098</v>
      </c>
      <c r="H553" s="7">
        <f t="shared" si="42"/>
        <v>1.5732546705998034</v>
      </c>
      <c r="I553" s="5" t="str">
        <f t="shared" si="43"/>
        <v>ниже среднего</v>
      </c>
      <c r="J553" t="str">
        <f t="shared" si="44"/>
        <v>не нуждается в помощи</v>
      </c>
    </row>
    <row r="554" spans="1:10" x14ac:dyDescent="0.2">
      <c r="A554" s="4">
        <v>5661</v>
      </c>
      <c r="B554" t="s">
        <v>0</v>
      </c>
      <c r="C554" s="1">
        <v>1300</v>
      </c>
      <c r="D554">
        <v>3</v>
      </c>
      <c r="E554" t="s">
        <v>10</v>
      </c>
      <c r="F554" s="6">
        <f t="shared" si="40"/>
        <v>433.33333333333331</v>
      </c>
      <c r="G554" s="7">
        <f t="shared" si="41"/>
        <v>38.348082595870203</v>
      </c>
      <c r="H554" s="7">
        <f t="shared" si="42"/>
        <v>1.2782694198623401</v>
      </c>
      <c r="I554" s="5" t="str">
        <f t="shared" si="43"/>
        <v>бедность</v>
      </c>
      <c r="J554" t="str">
        <f t="shared" si="44"/>
        <v>не нуждается в помощи</v>
      </c>
    </row>
    <row r="555" spans="1:10" x14ac:dyDescent="0.2">
      <c r="A555" s="4">
        <v>2066</v>
      </c>
      <c r="B555" t="s">
        <v>3</v>
      </c>
      <c r="C555" s="1">
        <v>1730</v>
      </c>
      <c r="D555">
        <v>3</v>
      </c>
      <c r="E555" t="s">
        <v>11</v>
      </c>
      <c r="F555" s="6">
        <f t="shared" si="40"/>
        <v>576.66666666666663</v>
      </c>
      <c r="G555" s="7">
        <f t="shared" si="41"/>
        <v>51.032448377581112</v>
      </c>
      <c r="H555" s="7">
        <f t="shared" si="42"/>
        <v>1.7010816125860373</v>
      </c>
      <c r="I555" s="5" t="str">
        <f t="shared" si="43"/>
        <v>ниже среднего</v>
      </c>
      <c r="J555" t="str">
        <f t="shared" si="44"/>
        <v>не нуждается в помощи</v>
      </c>
    </row>
    <row r="556" spans="1:10" x14ac:dyDescent="0.2">
      <c r="A556" s="4">
        <v>3088</v>
      </c>
      <c r="B556" t="s">
        <v>1</v>
      </c>
      <c r="C556" s="1">
        <v>1350</v>
      </c>
      <c r="D556">
        <v>3</v>
      </c>
      <c r="E556" t="s">
        <v>10</v>
      </c>
      <c r="F556" s="6">
        <f t="shared" si="40"/>
        <v>450</v>
      </c>
      <c r="G556" s="7">
        <f t="shared" si="41"/>
        <v>39.823008849557517</v>
      </c>
      <c r="H556" s="7">
        <f t="shared" si="42"/>
        <v>1.3274336283185839</v>
      </c>
      <c r="I556" s="5" t="str">
        <f t="shared" si="43"/>
        <v>бедность</v>
      </c>
      <c r="J556" t="str">
        <f t="shared" si="44"/>
        <v>не нуждается в помощи</v>
      </c>
    </row>
    <row r="557" spans="1:10" x14ac:dyDescent="0.2">
      <c r="A557" s="4">
        <v>5982</v>
      </c>
      <c r="B557" t="s">
        <v>1</v>
      </c>
      <c r="C557" s="1">
        <v>5440</v>
      </c>
      <c r="D557">
        <v>3</v>
      </c>
      <c r="E557" t="s">
        <v>11</v>
      </c>
      <c r="F557" s="6">
        <f t="shared" si="40"/>
        <v>1813.3333333333333</v>
      </c>
      <c r="G557" s="7">
        <f t="shared" si="41"/>
        <v>160.47197640117992</v>
      </c>
      <c r="H557" s="7">
        <f t="shared" si="42"/>
        <v>5.3490658800393307</v>
      </c>
      <c r="I557" s="5" t="str">
        <f t="shared" si="43"/>
        <v>в достатке</v>
      </c>
      <c r="J557" t="str">
        <f t="shared" si="44"/>
        <v>не нуждается в помощи</v>
      </c>
    </row>
    <row r="558" spans="1:10" x14ac:dyDescent="0.2">
      <c r="A558" s="4">
        <v>1912</v>
      </c>
      <c r="B558" t="s">
        <v>3</v>
      </c>
      <c r="C558" s="1">
        <v>2320</v>
      </c>
      <c r="D558">
        <v>3</v>
      </c>
      <c r="E558" t="s">
        <v>10</v>
      </c>
      <c r="F558" s="6">
        <f t="shared" si="40"/>
        <v>773.33333333333337</v>
      </c>
      <c r="G558" s="7">
        <f t="shared" si="41"/>
        <v>68.43657817109144</v>
      </c>
      <c r="H558" s="7">
        <f t="shared" si="42"/>
        <v>2.2812192723697149</v>
      </c>
      <c r="I558" s="5" t="str">
        <f t="shared" si="43"/>
        <v>ниже среднего</v>
      </c>
      <c r="J558" t="str">
        <f t="shared" si="44"/>
        <v>не нуждается в помощи</v>
      </c>
    </row>
    <row r="559" spans="1:10" x14ac:dyDescent="0.2">
      <c r="A559" s="4">
        <v>6609</v>
      </c>
      <c r="B559" t="s">
        <v>3</v>
      </c>
      <c r="C559" s="1">
        <v>18200</v>
      </c>
      <c r="D559">
        <v>3</v>
      </c>
      <c r="E559" t="s">
        <v>11</v>
      </c>
      <c r="F559" s="6">
        <f t="shared" si="40"/>
        <v>6066.666666666667</v>
      </c>
      <c r="G559" s="7">
        <f t="shared" si="41"/>
        <v>536.87315634218294</v>
      </c>
      <c r="H559" s="7">
        <f t="shared" si="42"/>
        <v>17.895771878072761</v>
      </c>
      <c r="I559" s="5" t="str">
        <f t="shared" si="43"/>
        <v>в достатке</v>
      </c>
      <c r="J559" t="str">
        <f t="shared" si="44"/>
        <v>не нуждается в помощи</v>
      </c>
    </row>
    <row r="560" spans="1:10" x14ac:dyDescent="0.2">
      <c r="A560" s="4">
        <v>1710</v>
      </c>
      <c r="B560" t="s">
        <v>3</v>
      </c>
      <c r="C560" s="1">
        <v>1490</v>
      </c>
      <c r="D560">
        <v>3</v>
      </c>
      <c r="E560" t="s">
        <v>11</v>
      </c>
      <c r="F560" s="6">
        <f t="shared" si="40"/>
        <v>496.66666666666669</v>
      </c>
      <c r="G560" s="7">
        <f t="shared" si="41"/>
        <v>43.952802359882007</v>
      </c>
      <c r="H560" s="7">
        <f t="shared" si="42"/>
        <v>1.465093411996067</v>
      </c>
      <c r="I560" s="5" t="str">
        <f t="shared" si="43"/>
        <v>ниже среднего</v>
      </c>
      <c r="J560" t="str">
        <f t="shared" si="44"/>
        <v>не нуждается в помощи</v>
      </c>
    </row>
    <row r="561" spans="1:10" x14ac:dyDescent="0.2">
      <c r="A561" s="4">
        <v>2918</v>
      </c>
      <c r="B561" t="s">
        <v>1</v>
      </c>
      <c r="C561" s="1">
        <v>1500</v>
      </c>
      <c r="D561">
        <v>3</v>
      </c>
      <c r="E561" t="s">
        <v>11</v>
      </c>
      <c r="F561" s="6">
        <f t="shared" si="40"/>
        <v>500</v>
      </c>
      <c r="G561" s="7">
        <f t="shared" si="41"/>
        <v>44.247787610619469</v>
      </c>
      <c r="H561" s="7">
        <f t="shared" si="42"/>
        <v>1.4749262536873156</v>
      </c>
      <c r="I561" s="5" t="str">
        <f t="shared" si="43"/>
        <v>ниже среднего</v>
      </c>
      <c r="J561" t="str">
        <f t="shared" si="44"/>
        <v>не нуждается в помощи</v>
      </c>
    </row>
    <row r="562" spans="1:10" x14ac:dyDescent="0.2">
      <c r="A562" s="4">
        <v>1794</v>
      </c>
      <c r="B562" t="s">
        <v>3</v>
      </c>
      <c r="C562" s="1">
        <v>1500</v>
      </c>
      <c r="D562">
        <v>3</v>
      </c>
      <c r="E562" t="s">
        <v>11</v>
      </c>
      <c r="F562" s="6">
        <f t="shared" si="40"/>
        <v>500</v>
      </c>
      <c r="G562" s="7">
        <f t="shared" si="41"/>
        <v>44.247787610619469</v>
      </c>
      <c r="H562" s="7">
        <f t="shared" si="42"/>
        <v>1.4749262536873156</v>
      </c>
      <c r="I562" s="5" t="str">
        <f t="shared" si="43"/>
        <v>ниже среднего</v>
      </c>
      <c r="J562" t="str">
        <f t="shared" si="44"/>
        <v>не нуждается в помощи</v>
      </c>
    </row>
    <row r="563" spans="1:10" x14ac:dyDescent="0.2">
      <c r="A563" s="4">
        <v>1640</v>
      </c>
      <c r="B563" t="s">
        <v>5</v>
      </c>
      <c r="C563" s="1">
        <v>1500</v>
      </c>
      <c r="D563">
        <v>3</v>
      </c>
      <c r="E563" t="s">
        <v>11</v>
      </c>
      <c r="F563" s="6">
        <f t="shared" si="40"/>
        <v>500</v>
      </c>
      <c r="G563" s="7">
        <f t="shared" si="41"/>
        <v>44.247787610619469</v>
      </c>
      <c r="H563" s="7">
        <f t="shared" si="42"/>
        <v>1.4749262536873156</v>
      </c>
      <c r="I563" s="5" t="str">
        <f t="shared" si="43"/>
        <v>ниже среднего</v>
      </c>
      <c r="J563" t="str">
        <f t="shared" si="44"/>
        <v>не нуждается в помощи</v>
      </c>
    </row>
    <row r="564" spans="1:10" x14ac:dyDescent="0.2">
      <c r="A564" s="4">
        <v>1123</v>
      </c>
      <c r="B564" t="s">
        <v>4</v>
      </c>
      <c r="C564" s="1">
        <v>2154</v>
      </c>
      <c r="D564">
        <v>3</v>
      </c>
      <c r="E564" t="s">
        <v>10</v>
      </c>
      <c r="F564" s="6">
        <f t="shared" si="40"/>
        <v>718</v>
      </c>
      <c r="G564" s="7">
        <f t="shared" si="41"/>
        <v>63.539823008849552</v>
      </c>
      <c r="H564" s="7">
        <f t="shared" si="42"/>
        <v>2.1179941002949851</v>
      </c>
      <c r="I564" s="5" t="str">
        <f t="shared" si="43"/>
        <v>ниже среднего</v>
      </c>
      <c r="J564" t="str">
        <f t="shared" si="44"/>
        <v>не нуждается в помощи</v>
      </c>
    </row>
    <row r="565" spans="1:10" x14ac:dyDescent="0.2">
      <c r="A565" s="4">
        <v>1415</v>
      </c>
      <c r="B565" t="s">
        <v>4</v>
      </c>
      <c r="C565" s="1">
        <v>3000</v>
      </c>
      <c r="D565">
        <v>3</v>
      </c>
      <c r="E565" t="s">
        <v>10</v>
      </c>
      <c r="F565" s="6">
        <f t="shared" si="40"/>
        <v>1000</v>
      </c>
      <c r="G565" s="7">
        <f t="shared" si="41"/>
        <v>88.495575221238937</v>
      </c>
      <c r="H565" s="7">
        <f t="shared" si="42"/>
        <v>2.9498525073746311</v>
      </c>
      <c r="I565" s="5" t="str">
        <f t="shared" si="43"/>
        <v>средний</v>
      </c>
      <c r="J565" t="str">
        <f t="shared" si="44"/>
        <v>не нуждается в помощи</v>
      </c>
    </row>
    <row r="566" spans="1:10" x14ac:dyDescent="0.2">
      <c r="A566" s="4">
        <v>1722</v>
      </c>
      <c r="B566" t="s">
        <v>3</v>
      </c>
      <c r="C566" s="1">
        <v>1500</v>
      </c>
      <c r="D566">
        <v>3</v>
      </c>
      <c r="E566" t="s">
        <v>11</v>
      </c>
      <c r="F566" s="6">
        <f t="shared" si="40"/>
        <v>500</v>
      </c>
      <c r="G566" s="7">
        <f t="shared" si="41"/>
        <v>44.247787610619469</v>
      </c>
      <c r="H566" s="7">
        <f t="shared" si="42"/>
        <v>1.4749262536873156</v>
      </c>
      <c r="I566" s="5" t="str">
        <f t="shared" si="43"/>
        <v>ниже среднего</v>
      </c>
      <c r="J566" t="str">
        <f t="shared" si="44"/>
        <v>не нуждается в помощи</v>
      </c>
    </row>
    <row r="567" spans="1:10" x14ac:dyDescent="0.2">
      <c r="A567" s="4">
        <v>1872</v>
      </c>
      <c r="B567" t="s">
        <v>3</v>
      </c>
      <c r="C567" s="1">
        <v>2000</v>
      </c>
      <c r="D567">
        <v>3</v>
      </c>
      <c r="E567" t="s">
        <v>10</v>
      </c>
      <c r="F567" s="6">
        <f t="shared" si="40"/>
        <v>666.66666666666663</v>
      </c>
      <c r="G567" s="7">
        <f t="shared" si="41"/>
        <v>58.997050147492615</v>
      </c>
      <c r="H567" s="7">
        <f t="shared" si="42"/>
        <v>1.9665683382497541</v>
      </c>
      <c r="I567" s="5" t="str">
        <f t="shared" si="43"/>
        <v>ниже среднего</v>
      </c>
      <c r="J567" t="str">
        <f t="shared" si="44"/>
        <v>не нуждается в помощи</v>
      </c>
    </row>
    <row r="568" spans="1:10" x14ac:dyDescent="0.2">
      <c r="A568" s="4">
        <v>2010</v>
      </c>
      <c r="B568" t="s">
        <v>3</v>
      </c>
      <c r="C568" s="1">
        <v>1500</v>
      </c>
      <c r="D568">
        <v>3</v>
      </c>
      <c r="E568" t="s">
        <v>11</v>
      </c>
      <c r="F568" s="6">
        <f t="shared" si="40"/>
        <v>500</v>
      </c>
      <c r="G568" s="7">
        <f t="shared" si="41"/>
        <v>44.247787610619469</v>
      </c>
      <c r="H568" s="7">
        <f t="shared" si="42"/>
        <v>1.4749262536873156</v>
      </c>
      <c r="I568" s="5" t="str">
        <f t="shared" si="43"/>
        <v>ниже среднего</v>
      </c>
      <c r="J568" t="str">
        <f t="shared" si="44"/>
        <v>не нуждается в помощи</v>
      </c>
    </row>
    <row r="569" spans="1:10" x14ac:dyDescent="0.2">
      <c r="A569" s="4">
        <v>2056</v>
      </c>
      <c r="B569" t="s">
        <v>3</v>
      </c>
      <c r="C569" s="1">
        <v>2100</v>
      </c>
      <c r="D569">
        <v>3</v>
      </c>
      <c r="E569" t="s">
        <v>11</v>
      </c>
      <c r="F569" s="6">
        <f t="shared" si="40"/>
        <v>700</v>
      </c>
      <c r="G569" s="7">
        <f t="shared" si="41"/>
        <v>61.946902654867252</v>
      </c>
      <c r="H569" s="7">
        <f t="shared" si="42"/>
        <v>2.0648967551622417</v>
      </c>
      <c r="I569" s="5" t="str">
        <f t="shared" si="43"/>
        <v>ниже среднего</v>
      </c>
      <c r="J569" t="str">
        <f t="shared" si="44"/>
        <v>не нуждается в помощи</v>
      </c>
    </row>
    <row r="570" spans="1:10" x14ac:dyDescent="0.2">
      <c r="A570" s="4">
        <v>2293</v>
      </c>
      <c r="B570" t="s">
        <v>3</v>
      </c>
      <c r="C570" s="1">
        <v>3500</v>
      </c>
      <c r="D570">
        <v>3</v>
      </c>
      <c r="E570" t="s">
        <v>11</v>
      </c>
      <c r="F570" s="6">
        <f t="shared" si="40"/>
        <v>1166.6666666666667</v>
      </c>
      <c r="G570" s="7">
        <f t="shared" si="41"/>
        <v>103.2448377581121</v>
      </c>
      <c r="H570" s="7">
        <f t="shared" si="42"/>
        <v>3.4414945919370701</v>
      </c>
      <c r="I570" s="5" t="str">
        <f t="shared" si="43"/>
        <v>средний</v>
      </c>
      <c r="J570" t="str">
        <f t="shared" si="44"/>
        <v>не нуждается в помощи</v>
      </c>
    </row>
    <row r="571" spans="1:10" x14ac:dyDescent="0.2">
      <c r="A571" s="4">
        <v>2299</v>
      </c>
      <c r="B571" t="s">
        <v>3</v>
      </c>
      <c r="C571" s="1">
        <v>2500</v>
      </c>
      <c r="D571">
        <v>3</v>
      </c>
      <c r="E571" t="s">
        <v>11</v>
      </c>
      <c r="F571" s="6">
        <f t="shared" si="40"/>
        <v>833.33333333333337</v>
      </c>
      <c r="G571" s="7">
        <f t="shared" si="41"/>
        <v>73.746312684365776</v>
      </c>
      <c r="H571" s="7">
        <f t="shared" si="42"/>
        <v>2.4582104228121926</v>
      </c>
      <c r="I571" s="5" t="str">
        <f t="shared" si="43"/>
        <v>ниже среднего</v>
      </c>
      <c r="J571" t="str">
        <f t="shared" si="44"/>
        <v>не нуждается в помощи</v>
      </c>
    </row>
    <row r="572" spans="1:10" x14ac:dyDescent="0.2">
      <c r="A572" s="4">
        <v>2312</v>
      </c>
      <c r="B572" t="s">
        <v>0</v>
      </c>
      <c r="C572" s="1">
        <v>2000</v>
      </c>
      <c r="D572">
        <v>3</v>
      </c>
      <c r="E572" t="s">
        <v>10</v>
      </c>
      <c r="F572" s="6">
        <f t="shared" si="40"/>
        <v>666.66666666666663</v>
      </c>
      <c r="G572" s="7">
        <f t="shared" si="41"/>
        <v>58.997050147492615</v>
      </c>
      <c r="H572" s="7">
        <f t="shared" si="42"/>
        <v>1.9665683382497541</v>
      </c>
      <c r="I572" s="5" t="str">
        <f t="shared" si="43"/>
        <v>ниже среднего</v>
      </c>
      <c r="J572" t="str">
        <f t="shared" si="44"/>
        <v>не нуждается в помощи</v>
      </c>
    </row>
    <row r="573" spans="1:10" x14ac:dyDescent="0.2">
      <c r="A573" s="4">
        <v>2313</v>
      </c>
      <c r="B573" t="s">
        <v>0</v>
      </c>
      <c r="C573" s="1">
        <v>1500</v>
      </c>
      <c r="D573">
        <v>3</v>
      </c>
      <c r="E573" t="s">
        <v>10</v>
      </c>
      <c r="F573" s="6">
        <f t="shared" si="40"/>
        <v>500</v>
      </c>
      <c r="G573" s="7">
        <f t="shared" si="41"/>
        <v>44.247787610619469</v>
      </c>
      <c r="H573" s="7">
        <f t="shared" si="42"/>
        <v>1.4749262536873156</v>
      </c>
      <c r="I573" s="5" t="str">
        <f t="shared" si="43"/>
        <v>ниже среднего</v>
      </c>
      <c r="J573" t="str">
        <f t="shared" si="44"/>
        <v>не нуждается в помощи</v>
      </c>
    </row>
    <row r="574" spans="1:10" x14ac:dyDescent="0.2">
      <c r="A574" s="4">
        <v>2456</v>
      </c>
      <c r="B574" t="s">
        <v>0</v>
      </c>
      <c r="C574" s="1">
        <v>1500</v>
      </c>
      <c r="D574">
        <v>3</v>
      </c>
      <c r="E574" t="s">
        <v>11</v>
      </c>
      <c r="F574" s="6">
        <f t="shared" si="40"/>
        <v>500</v>
      </c>
      <c r="G574" s="7">
        <f t="shared" si="41"/>
        <v>44.247787610619469</v>
      </c>
      <c r="H574" s="7">
        <f t="shared" si="42"/>
        <v>1.4749262536873156</v>
      </c>
      <c r="I574" s="5" t="str">
        <f t="shared" si="43"/>
        <v>ниже среднего</v>
      </c>
      <c r="J574" t="str">
        <f t="shared" si="44"/>
        <v>не нуждается в помощи</v>
      </c>
    </row>
    <row r="575" spans="1:10" x14ac:dyDescent="0.2">
      <c r="A575" s="4">
        <v>2478</v>
      </c>
      <c r="B575" t="s">
        <v>0</v>
      </c>
      <c r="C575" s="1">
        <v>4500</v>
      </c>
      <c r="D575">
        <v>3</v>
      </c>
      <c r="E575" t="s">
        <v>11</v>
      </c>
      <c r="F575" s="6">
        <f t="shared" si="40"/>
        <v>1500</v>
      </c>
      <c r="G575" s="7">
        <f t="shared" si="41"/>
        <v>132.74336283185841</v>
      </c>
      <c r="H575" s="7">
        <f t="shared" si="42"/>
        <v>4.4247787610619467</v>
      </c>
      <c r="I575" s="5" t="str">
        <f t="shared" si="43"/>
        <v>в достатке</v>
      </c>
      <c r="J575" t="str">
        <f t="shared" si="44"/>
        <v>не нуждается в помощи</v>
      </c>
    </row>
    <row r="576" spans="1:10" x14ac:dyDescent="0.2">
      <c r="A576" s="4">
        <v>2565</v>
      </c>
      <c r="B576" t="s">
        <v>0</v>
      </c>
      <c r="C576" s="1">
        <v>3000</v>
      </c>
      <c r="D576">
        <v>3</v>
      </c>
      <c r="E576" t="s">
        <v>11</v>
      </c>
      <c r="F576" s="6">
        <f t="shared" si="40"/>
        <v>1000</v>
      </c>
      <c r="G576" s="7">
        <f t="shared" si="41"/>
        <v>88.495575221238937</v>
      </c>
      <c r="H576" s="7">
        <f t="shared" si="42"/>
        <v>2.9498525073746311</v>
      </c>
      <c r="I576" s="5" t="str">
        <f t="shared" si="43"/>
        <v>средний</v>
      </c>
      <c r="J576" t="str">
        <f t="shared" si="44"/>
        <v>не нуждается в помощи</v>
      </c>
    </row>
    <row r="577" spans="1:10" x14ac:dyDescent="0.2">
      <c r="A577" s="4">
        <v>2773</v>
      </c>
      <c r="B577" t="s">
        <v>2</v>
      </c>
      <c r="C577" s="1">
        <v>2000</v>
      </c>
      <c r="D577">
        <v>3</v>
      </c>
      <c r="E577" t="s">
        <v>11</v>
      </c>
      <c r="F577" s="6">
        <f t="shared" si="40"/>
        <v>666.66666666666663</v>
      </c>
      <c r="G577" s="7">
        <f t="shared" si="41"/>
        <v>58.997050147492615</v>
      </c>
      <c r="H577" s="7">
        <f t="shared" si="42"/>
        <v>1.9665683382497541</v>
      </c>
      <c r="I577" s="5" t="str">
        <f t="shared" si="43"/>
        <v>ниже среднего</v>
      </c>
      <c r="J577" t="str">
        <f t="shared" si="44"/>
        <v>не нуждается в помощи</v>
      </c>
    </row>
    <row r="578" spans="1:10" x14ac:dyDescent="0.2">
      <c r="A578" s="4">
        <v>2901</v>
      </c>
      <c r="B578" t="s">
        <v>1</v>
      </c>
      <c r="C578" s="1">
        <v>1500</v>
      </c>
      <c r="D578">
        <v>3</v>
      </c>
      <c r="E578" t="s">
        <v>10</v>
      </c>
      <c r="F578" s="6">
        <f t="shared" ref="F578:F641" si="45">C578/D578</f>
        <v>500</v>
      </c>
      <c r="G578" s="7">
        <f t="shared" ref="G578:G641" si="46">(C578/D578)/rate</f>
        <v>44.247787610619469</v>
      </c>
      <c r="H578" s="7">
        <f t="shared" ref="H578:H641" si="47">((C578/D578)/30)/rate</f>
        <v>1.4749262536873156</v>
      </c>
      <c r="I578" s="5" t="str">
        <f t="shared" ref="I578:I641" si="48">IF(H578&lt;0.89, "крайняя бедность", IF(AND(H578&gt;0.89, H578&lt;1.33), "бедность", IF(AND(H578&gt;1.33,H578&lt;2.5),"ниже среднего", IF(AND(H578&gt;2.5,H578&lt;4), "средний", IF(H578&gt;4,"в достатке",0)))))</f>
        <v>ниже среднего</v>
      </c>
      <c r="J578" t="str">
        <f t="shared" si="44"/>
        <v>не нуждается в помощи</v>
      </c>
    </row>
    <row r="579" spans="1:10" x14ac:dyDescent="0.2">
      <c r="A579" s="4">
        <v>3100</v>
      </c>
      <c r="B579" t="s">
        <v>1</v>
      </c>
      <c r="C579" s="1">
        <v>3500</v>
      </c>
      <c r="D579">
        <v>3</v>
      </c>
      <c r="E579" t="s">
        <v>11</v>
      </c>
      <c r="F579" s="6">
        <f t="shared" si="45"/>
        <v>1166.6666666666667</v>
      </c>
      <c r="G579" s="7">
        <f t="shared" si="46"/>
        <v>103.2448377581121</v>
      </c>
      <c r="H579" s="7">
        <f t="shared" si="47"/>
        <v>3.4414945919370701</v>
      </c>
      <c r="I579" s="5" t="str">
        <f t="shared" si="48"/>
        <v>средний</v>
      </c>
      <c r="J579" t="str">
        <f t="shared" ref="J579:J642" si="49">IF(AND(I588="крайняя бедность",E588="Нет"), "нуждается в помощи", "не нуждается в помощи")</f>
        <v>не нуждается в помощи</v>
      </c>
    </row>
    <row r="580" spans="1:10" x14ac:dyDescent="0.2">
      <c r="A580" s="4">
        <v>3107</v>
      </c>
      <c r="B580" t="s">
        <v>1</v>
      </c>
      <c r="C580" s="1">
        <v>1500</v>
      </c>
      <c r="D580">
        <v>3</v>
      </c>
      <c r="E580" t="s">
        <v>11</v>
      </c>
      <c r="F580" s="6">
        <f t="shared" si="45"/>
        <v>500</v>
      </c>
      <c r="G580" s="7">
        <f t="shared" si="46"/>
        <v>44.247787610619469</v>
      </c>
      <c r="H580" s="7">
        <f t="shared" si="47"/>
        <v>1.4749262536873156</v>
      </c>
      <c r="I580" s="5" t="str">
        <f t="shared" si="48"/>
        <v>ниже среднего</v>
      </c>
      <c r="J580" t="str">
        <f t="shared" si="49"/>
        <v>не нуждается в помощи</v>
      </c>
    </row>
    <row r="581" spans="1:10" x14ac:dyDescent="0.2">
      <c r="A581" s="4">
        <v>2874</v>
      </c>
      <c r="B581" t="s">
        <v>2</v>
      </c>
      <c r="C581" s="1">
        <v>3500</v>
      </c>
      <c r="D581">
        <v>3</v>
      </c>
      <c r="E581" t="s">
        <v>10</v>
      </c>
      <c r="F581" s="6">
        <f t="shared" si="45"/>
        <v>1166.6666666666667</v>
      </c>
      <c r="G581" s="7">
        <f t="shared" si="46"/>
        <v>103.2448377581121</v>
      </c>
      <c r="H581" s="7">
        <f t="shared" si="47"/>
        <v>3.4414945919370701</v>
      </c>
      <c r="I581" s="5" t="str">
        <f t="shared" si="48"/>
        <v>средний</v>
      </c>
      <c r="J581" t="str">
        <f t="shared" si="49"/>
        <v>не нуждается в помощи</v>
      </c>
    </row>
    <row r="582" spans="1:10" x14ac:dyDescent="0.2">
      <c r="A582" s="4">
        <v>5204</v>
      </c>
      <c r="B582" t="s">
        <v>4</v>
      </c>
      <c r="C582" s="1">
        <v>1700</v>
      </c>
      <c r="D582">
        <v>3</v>
      </c>
      <c r="E582" t="s">
        <v>10</v>
      </c>
      <c r="F582" s="6">
        <f t="shared" si="45"/>
        <v>566.66666666666663</v>
      </c>
      <c r="G582" s="7">
        <f t="shared" si="46"/>
        <v>50.147492625368727</v>
      </c>
      <c r="H582" s="7">
        <f t="shared" si="47"/>
        <v>1.671583087512291</v>
      </c>
      <c r="I582" s="5" t="str">
        <f t="shared" si="48"/>
        <v>ниже среднего</v>
      </c>
      <c r="J582" t="str">
        <f t="shared" si="49"/>
        <v>не нуждается в помощи</v>
      </c>
    </row>
    <row r="583" spans="1:10" x14ac:dyDescent="0.2">
      <c r="A583" s="4">
        <v>2492</v>
      </c>
      <c r="B583" t="s">
        <v>0</v>
      </c>
      <c r="C583" s="1">
        <v>4000</v>
      </c>
      <c r="D583">
        <v>3</v>
      </c>
      <c r="E583" t="s">
        <v>11</v>
      </c>
      <c r="F583" s="6">
        <f t="shared" si="45"/>
        <v>1333.3333333333333</v>
      </c>
      <c r="G583" s="7">
        <f t="shared" si="46"/>
        <v>117.99410029498523</v>
      </c>
      <c r="H583" s="7">
        <f t="shared" si="47"/>
        <v>3.9331366764995082</v>
      </c>
      <c r="I583" s="5" t="str">
        <f t="shared" si="48"/>
        <v>средний</v>
      </c>
      <c r="J583" t="str">
        <f t="shared" si="49"/>
        <v>не нуждается в помощи</v>
      </c>
    </row>
    <row r="584" spans="1:10" x14ac:dyDescent="0.2">
      <c r="A584" s="4">
        <v>2170</v>
      </c>
      <c r="B584" t="s">
        <v>3</v>
      </c>
      <c r="C584" s="1">
        <v>1800</v>
      </c>
      <c r="D584">
        <v>3</v>
      </c>
      <c r="E584" t="s">
        <v>10</v>
      </c>
      <c r="F584" s="6">
        <f t="shared" si="45"/>
        <v>600</v>
      </c>
      <c r="G584" s="7">
        <f t="shared" si="46"/>
        <v>53.097345132743357</v>
      </c>
      <c r="H584" s="7">
        <f t="shared" si="47"/>
        <v>1.7699115044247786</v>
      </c>
      <c r="I584" s="5" t="str">
        <f t="shared" si="48"/>
        <v>ниже среднего</v>
      </c>
      <c r="J584" t="str">
        <f t="shared" si="49"/>
        <v>не нуждается в помощи</v>
      </c>
    </row>
    <row r="585" spans="1:10" x14ac:dyDescent="0.2">
      <c r="A585" s="4">
        <v>1827</v>
      </c>
      <c r="B585" t="s">
        <v>3</v>
      </c>
      <c r="C585" s="1">
        <v>2800</v>
      </c>
      <c r="D585">
        <v>3</v>
      </c>
      <c r="E585" t="s">
        <v>11</v>
      </c>
      <c r="F585" s="6">
        <f t="shared" si="45"/>
        <v>933.33333333333337</v>
      </c>
      <c r="G585" s="7">
        <f t="shared" si="46"/>
        <v>82.595870206489678</v>
      </c>
      <c r="H585" s="7">
        <f t="shared" si="47"/>
        <v>2.7531956735496554</v>
      </c>
      <c r="I585" s="5" t="str">
        <f t="shared" si="48"/>
        <v>средний</v>
      </c>
      <c r="J585" t="str">
        <f t="shared" si="49"/>
        <v>не нуждается в помощи</v>
      </c>
    </row>
    <row r="586" spans="1:10" x14ac:dyDescent="0.2">
      <c r="A586" s="4">
        <v>2020</v>
      </c>
      <c r="B586" t="s">
        <v>3</v>
      </c>
      <c r="C586" s="1">
        <v>5800</v>
      </c>
      <c r="D586">
        <v>3</v>
      </c>
      <c r="E586" t="s">
        <v>11</v>
      </c>
      <c r="F586" s="6">
        <f t="shared" si="45"/>
        <v>1933.3333333333333</v>
      </c>
      <c r="G586" s="7">
        <f t="shared" si="46"/>
        <v>171.09144542772859</v>
      </c>
      <c r="H586" s="7">
        <f t="shared" si="47"/>
        <v>5.703048180924287</v>
      </c>
      <c r="I586" s="5" t="str">
        <f t="shared" si="48"/>
        <v>в достатке</v>
      </c>
      <c r="J586" t="str">
        <f t="shared" si="49"/>
        <v>не нуждается в помощи</v>
      </c>
    </row>
    <row r="587" spans="1:10" x14ac:dyDescent="0.2">
      <c r="A587" s="4">
        <v>2759</v>
      </c>
      <c r="B587" t="s">
        <v>2</v>
      </c>
      <c r="C587" s="1">
        <v>1800</v>
      </c>
      <c r="D587">
        <v>3</v>
      </c>
      <c r="E587" t="s">
        <v>11</v>
      </c>
      <c r="F587" s="6">
        <f t="shared" si="45"/>
        <v>600</v>
      </c>
      <c r="G587" s="7">
        <f t="shared" si="46"/>
        <v>53.097345132743357</v>
      </c>
      <c r="H587" s="7">
        <f t="shared" si="47"/>
        <v>1.7699115044247786</v>
      </c>
      <c r="I587" s="5" t="str">
        <f t="shared" si="48"/>
        <v>ниже среднего</v>
      </c>
      <c r="J587" t="str">
        <f t="shared" si="49"/>
        <v>не нуждается в помощи</v>
      </c>
    </row>
    <row r="588" spans="1:10" x14ac:dyDescent="0.2">
      <c r="A588" s="4">
        <v>2750</v>
      </c>
      <c r="B588" t="s">
        <v>2</v>
      </c>
      <c r="C588" s="1">
        <v>2000</v>
      </c>
      <c r="D588">
        <v>3</v>
      </c>
      <c r="E588" t="s">
        <v>11</v>
      </c>
      <c r="F588" s="6">
        <f t="shared" si="45"/>
        <v>666.66666666666663</v>
      </c>
      <c r="G588" s="7">
        <f t="shared" si="46"/>
        <v>58.997050147492615</v>
      </c>
      <c r="H588" s="7">
        <f t="shared" si="47"/>
        <v>1.9665683382497541</v>
      </c>
      <c r="I588" s="5" t="str">
        <f t="shared" si="48"/>
        <v>ниже среднего</v>
      </c>
      <c r="J588" t="str">
        <f t="shared" si="49"/>
        <v>не нуждается в помощи</v>
      </c>
    </row>
    <row r="589" spans="1:10" x14ac:dyDescent="0.2">
      <c r="A589" s="4">
        <v>1880</v>
      </c>
      <c r="B589" t="s">
        <v>3</v>
      </c>
      <c r="C589" s="1">
        <v>2000</v>
      </c>
      <c r="D589">
        <v>3</v>
      </c>
      <c r="E589" t="s">
        <v>11</v>
      </c>
      <c r="F589" s="6">
        <f t="shared" si="45"/>
        <v>666.66666666666663</v>
      </c>
      <c r="G589" s="7">
        <f t="shared" si="46"/>
        <v>58.997050147492615</v>
      </c>
      <c r="H589" s="7">
        <f t="shared" si="47"/>
        <v>1.9665683382497541</v>
      </c>
      <c r="I589" s="5" t="str">
        <f t="shared" si="48"/>
        <v>ниже среднего</v>
      </c>
      <c r="J589" t="str">
        <f t="shared" si="49"/>
        <v>не нуждается в помощи</v>
      </c>
    </row>
    <row r="590" spans="1:10" x14ac:dyDescent="0.2">
      <c r="A590" s="4">
        <v>1870</v>
      </c>
      <c r="B590" t="s">
        <v>3</v>
      </c>
      <c r="C590" s="1">
        <v>2000</v>
      </c>
      <c r="D590">
        <v>3</v>
      </c>
      <c r="E590" t="s">
        <v>10</v>
      </c>
      <c r="F590" s="6">
        <f t="shared" si="45"/>
        <v>666.66666666666663</v>
      </c>
      <c r="G590" s="7">
        <f t="shared" si="46"/>
        <v>58.997050147492615</v>
      </c>
      <c r="H590" s="7">
        <f t="shared" si="47"/>
        <v>1.9665683382497541</v>
      </c>
      <c r="I590" s="5" t="str">
        <f t="shared" si="48"/>
        <v>ниже среднего</v>
      </c>
      <c r="J590" t="str">
        <f t="shared" si="49"/>
        <v>не нуждается в помощи</v>
      </c>
    </row>
    <row r="591" spans="1:10" x14ac:dyDescent="0.2">
      <c r="A591" s="4">
        <v>1702</v>
      </c>
      <c r="B591" t="s">
        <v>3</v>
      </c>
      <c r="C591" s="1">
        <v>6000</v>
      </c>
      <c r="D591">
        <v>3</v>
      </c>
      <c r="E591" t="s">
        <v>10</v>
      </c>
      <c r="F591" s="6">
        <f t="shared" si="45"/>
        <v>2000</v>
      </c>
      <c r="G591" s="7">
        <f t="shared" si="46"/>
        <v>176.99115044247787</v>
      </c>
      <c r="H591" s="7">
        <f t="shared" si="47"/>
        <v>5.8997050147492622</v>
      </c>
      <c r="I591" s="5" t="str">
        <f t="shared" si="48"/>
        <v>в достатке</v>
      </c>
      <c r="J591" t="str">
        <f t="shared" si="49"/>
        <v>не нуждается в помощи</v>
      </c>
    </row>
    <row r="592" spans="1:10" x14ac:dyDescent="0.2">
      <c r="A592" s="4">
        <v>1861</v>
      </c>
      <c r="B592" t="s">
        <v>3</v>
      </c>
      <c r="C592" s="1">
        <v>2000</v>
      </c>
      <c r="D592">
        <v>3</v>
      </c>
      <c r="E592" t="s">
        <v>10</v>
      </c>
      <c r="F592" s="6">
        <f t="shared" si="45"/>
        <v>666.66666666666663</v>
      </c>
      <c r="G592" s="7">
        <f t="shared" si="46"/>
        <v>58.997050147492615</v>
      </c>
      <c r="H592" s="7">
        <f t="shared" si="47"/>
        <v>1.9665683382497541</v>
      </c>
      <c r="I592" s="5" t="str">
        <f t="shared" si="48"/>
        <v>ниже среднего</v>
      </c>
      <c r="J592" t="str">
        <f t="shared" si="49"/>
        <v>не нуждается в помощи</v>
      </c>
    </row>
    <row r="593" spans="1:10" x14ac:dyDescent="0.2">
      <c r="A593" s="4">
        <v>1900</v>
      </c>
      <c r="B593" t="s">
        <v>3</v>
      </c>
      <c r="C593" s="1">
        <v>2000</v>
      </c>
      <c r="D593">
        <v>3</v>
      </c>
      <c r="E593" t="s">
        <v>11</v>
      </c>
      <c r="F593" s="6">
        <f t="shared" si="45"/>
        <v>666.66666666666663</v>
      </c>
      <c r="G593" s="7">
        <f t="shared" si="46"/>
        <v>58.997050147492615</v>
      </c>
      <c r="H593" s="7">
        <f t="shared" si="47"/>
        <v>1.9665683382497541</v>
      </c>
      <c r="I593" s="5" t="str">
        <f t="shared" si="48"/>
        <v>ниже среднего</v>
      </c>
      <c r="J593" t="str">
        <f t="shared" si="49"/>
        <v>не нуждается в помощи</v>
      </c>
    </row>
    <row r="594" spans="1:10" x14ac:dyDescent="0.2">
      <c r="A594" s="4">
        <v>1922</v>
      </c>
      <c r="B594" t="s">
        <v>3</v>
      </c>
      <c r="C594" s="1">
        <v>2000</v>
      </c>
      <c r="D594">
        <v>3</v>
      </c>
      <c r="E594" t="s">
        <v>11</v>
      </c>
      <c r="F594" s="6">
        <f t="shared" si="45"/>
        <v>666.66666666666663</v>
      </c>
      <c r="G594" s="7">
        <f t="shared" si="46"/>
        <v>58.997050147492615</v>
      </c>
      <c r="H594" s="7">
        <f t="shared" si="47"/>
        <v>1.9665683382497541</v>
      </c>
      <c r="I594" s="5" t="str">
        <f t="shared" si="48"/>
        <v>ниже среднего</v>
      </c>
      <c r="J594" t="str">
        <f t="shared" si="49"/>
        <v>не нуждается в помощи</v>
      </c>
    </row>
    <row r="595" spans="1:10" x14ac:dyDescent="0.2">
      <c r="A595" s="4">
        <v>2283</v>
      </c>
      <c r="B595" t="s">
        <v>3</v>
      </c>
      <c r="C595" s="1">
        <v>4570</v>
      </c>
      <c r="D595">
        <v>3</v>
      </c>
      <c r="E595" t="s">
        <v>11</v>
      </c>
      <c r="F595" s="6">
        <f t="shared" si="45"/>
        <v>1523.3333333333333</v>
      </c>
      <c r="G595" s="7">
        <f t="shared" si="46"/>
        <v>134.80825958702064</v>
      </c>
      <c r="H595" s="7">
        <f t="shared" si="47"/>
        <v>4.4936086529006882</v>
      </c>
      <c r="I595" s="5" t="str">
        <f t="shared" si="48"/>
        <v>в достатке</v>
      </c>
      <c r="J595" t="str">
        <f t="shared" si="49"/>
        <v>не нуждается в помощи</v>
      </c>
    </row>
    <row r="596" spans="1:10" x14ac:dyDescent="0.2">
      <c r="A596" s="4">
        <v>2308</v>
      </c>
      <c r="B596" t="s">
        <v>0</v>
      </c>
      <c r="C596" s="1">
        <v>2000</v>
      </c>
      <c r="D596">
        <v>3</v>
      </c>
      <c r="E596" t="s">
        <v>10</v>
      </c>
      <c r="F596" s="6">
        <f t="shared" si="45"/>
        <v>666.66666666666663</v>
      </c>
      <c r="G596" s="7">
        <f t="shared" si="46"/>
        <v>58.997050147492615</v>
      </c>
      <c r="H596" s="7">
        <f t="shared" si="47"/>
        <v>1.9665683382497541</v>
      </c>
      <c r="I596" s="5" t="str">
        <f t="shared" si="48"/>
        <v>ниже среднего</v>
      </c>
      <c r="J596" t="str">
        <f t="shared" si="49"/>
        <v>не нуждается в помощи</v>
      </c>
    </row>
    <row r="597" spans="1:10" x14ac:dyDescent="0.2">
      <c r="A597" s="4">
        <v>2579</v>
      </c>
      <c r="B597" t="s">
        <v>0</v>
      </c>
      <c r="C597" s="1">
        <v>5000</v>
      </c>
      <c r="D597">
        <v>3</v>
      </c>
      <c r="E597" t="s">
        <v>10</v>
      </c>
      <c r="F597" s="6">
        <f t="shared" si="45"/>
        <v>1666.6666666666667</v>
      </c>
      <c r="G597" s="7">
        <f t="shared" si="46"/>
        <v>147.49262536873155</v>
      </c>
      <c r="H597" s="7">
        <f t="shared" si="47"/>
        <v>4.9164208456243852</v>
      </c>
      <c r="I597" s="5" t="str">
        <f t="shared" si="48"/>
        <v>в достатке</v>
      </c>
      <c r="J597" t="str">
        <f t="shared" si="49"/>
        <v>не нуждается в помощи</v>
      </c>
    </row>
    <row r="598" spans="1:10" x14ac:dyDescent="0.2">
      <c r="A598" s="4">
        <v>2618</v>
      </c>
      <c r="B598" t="s">
        <v>0</v>
      </c>
      <c r="C598" s="1">
        <v>3200</v>
      </c>
      <c r="D598">
        <v>3</v>
      </c>
      <c r="E598" t="s">
        <v>10</v>
      </c>
      <c r="F598" s="6">
        <f t="shared" si="45"/>
        <v>1066.6666666666667</v>
      </c>
      <c r="G598" s="7">
        <f t="shared" si="46"/>
        <v>94.395280235988196</v>
      </c>
      <c r="H598" s="7">
        <f t="shared" si="47"/>
        <v>3.1465093411996068</v>
      </c>
      <c r="I598" s="5" t="str">
        <f t="shared" si="48"/>
        <v>средний</v>
      </c>
      <c r="J598" t="str">
        <f t="shared" si="49"/>
        <v>не нуждается в помощи</v>
      </c>
    </row>
    <row r="599" spans="1:10" x14ac:dyDescent="0.2">
      <c r="A599" s="4">
        <v>2775</v>
      </c>
      <c r="B599" t="s">
        <v>2</v>
      </c>
      <c r="C599" s="1">
        <v>2000</v>
      </c>
      <c r="D599">
        <v>3</v>
      </c>
      <c r="E599" t="s">
        <v>10</v>
      </c>
      <c r="F599" s="6">
        <f t="shared" si="45"/>
        <v>666.66666666666663</v>
      </c>
      <c r="G599" s="7">
        <f t="shared" si="46"/>
        <v>58.997050147492615</v>
      </c>
      <c r="H599" s="7">
        <f t="shared" si="47"/>
        <v>1.9665683382497541</v>
      </c>
      <c r="I599" s="5" t="str">
        <f t="shared" si="48"/>
        <v>ниже среднего</v>
      </c>
      <c r="J599" t="str">
        <f t="shared" si="49"/>
        <v>не нуждается в помощи</v>
      </c>
    </row>
    <row r="600" spans="1:10" x14ac:dyDescent="0.2">
      <c r="A600" s="4">
        <v>3125</v>
      </c>
      <c r="B600" t="s">
        <v>1</v>
      </c>
      <c r="C600" s="1">
        <v>3000</v>
      </c>
      <c r="D600">
        <v>3</v>
      </c>
      <c r="E600" t="s">
        <v>11</v>
      </c>
      <c r="F600" s="6">
        <f t="shared" si="45"/>
        <v>1000</v>
      </c>
      <c r="G600" s="7">
        <f t="shared" si="46"/>
        <v>88.495575221238937</v>
      </c>
      <c r="H600" s="7">
        <f t="shared" si="47"/>
        <v>2.9498525073746311</v>
      </c>
      <c r="I600" s="5" t="str">
        <f t="shared" si="48"/>
        <v>средний</v>
      </c>
      <c r="J600" t="str">
        <f t="shared" si="49"/>
        <v>не нуждается в помощи</v>
      </c>
    </row>
    <row r="601" spans="1:10" x14ac:dyDescent="0.2">
      <c r="A601" s="4">
        <v>5945</v>
      </c>
      <c r="B601" t="s">
        <v>2</v>
      </c>
      <c r="C601" s="1">
        <v>3400</v>
      </c>
      <c r="D601">
        <v>3</v>
      </c>
      <c r="E601" t="s">
        <v>11</v>
      </c>
      <c r="F601" s="6">
        <f t="shared" si="45"/>
        <v>1133.3333333333333</v>
      </c>
      <c r="G601" s="7">
        <f t="shared" si="46"/>
        <v>100.29498525073745</v>
      </c>
      <c r="H601" s="7">
        <f t="shared" si="47"/>
        <v>3.343166175024582</v>
      </c>
      <c r="I601" s="5" t="str">
        <f t="shared" si="48"/>
        <v>средний</v>
      </c>
      <c r="J601" t="str">
        <f t="shared" si="49"/>
        <v>не нуждается в помощи</v>
      </c>
    </row>
    <row r="602" spans="1:10" x14ac:dyDescent="0.2">
      <c r="A602" s="4">
        <v>6801</v>
      </c>
      <c r="B602" t="s">
        <v>3</v>
      </c>
      <c r="C602" s="1">
        <v>3400</v>
      </c>
      <c r="D602">
        <v>3</v>
      </c>
      <c r="E602" t="s">
        <v>11</v>
      </c>
      <c r="F602" s="6">
        <f t="shared" si="45"/>
        <v>1133.3333333333333</v>
      </c>
      <c r="G602" s="7">
        <f t="shared" si="46"/>
        <v>100.29498525073745</v>
      </c>
      <c r="H602" s="7">
        <f t="shared" si="47"/>
        <v>3.343166175024582</v>
      </c>
      <c r="I602" s="5" t="str">
        <f t="shared" si="48"/>
        <v>средний</v>
      </c>
      <c r="J602" t="str">
        <f t="shared" si="49"/>
        <v>не нуждается в помощи</v>
      </c>
    </row>
    <row r="603" spans="1:10" x14ac:dyDescent="0.2">
      <c r="A603" s="4">
        <v>2540</v>
      </c>
      <c r="B603" t="s">
        <v>0</v>
      </c>
      <c r="C603" s="1">
        <v>2200</v>
      </c>
      <c r="D603">
        <v>3</v>
      </c>
      <c r="E603" t="s">
        <v>10</v>
      </c>
      <c r="F603" s="6">
        <f t="shared" si="45"/>
        <v>733.33333333333337</v>
      </c>
      <c r="G603" s="7">
        <f t="shared" si="46"/>
        <v>64.896755162241888</v>
      </c>
      <c r="H603" s="7">
        <f t="shared" si="47"/>
        <v>2.1632251720747298</v>
      </c>
      <c r="I603" s="5" t="str">
        <f t="shared" si="48"/>
        <v>ниже среднего</v>
      </c>
      <c r="J603" t="str">
        <f t="shared" si="49"/>
        <v>не нуждается в помощи</v>
      </c>
    </row>
    <row r="604" spans="1:10" x14ac:dyDescent="0.2">
      <c r="A604" s="4">
        <v>2043</v>
      </c>
      <c r="B604" t="s">
        <v>3</v>
      </c>
      <c r="C604" s="1">
        <v>2500</v>
      </c>
      <c r="D604">
        <v>3</v>
      </c>
      <c r="E604" t="s">
        <v>10</v>
      </c>
      <c r="F604" s="6">
        <f t="shared" si="45"/>
        <v>833.33333333333337</v>
      </c>
      <c r="G604" s="7">
        <f t="shared" si="46"/>
        <v>73.746312684365776</v>
      </c>
      <c r="H604" s="7">
        <f t="shared" si="47"/>
        <v>2.4582104228121926</v>
      </c>
      <c r="I604" s="5" t="str">
        <f t="shared" si="48"/>
        <v>ниже среднего</v>
      </c>
      <c r="J604" t="str">
        <f t="shared" si="49"/>
        <v>не нуждается в помощи</v>
      </c>
    </row>
    <row r="605" spans="1:10" x14ac:dyDescent="0.2">
      <c r="A605" s="4">
        <v>2330</v>
      </c>
      <c r="B605" t="s">
        <v>0</v>
      </c>
      <c r="C605" s="1">
        <v>2500</v>
      </c>
      <c r="D605">
        <v>3</v>
      </c>
      <c r="E605" t="s">
        <v>11</v>
      </c>
      <c r="F605" s="6">
        <f t="shared" si="45"/>
        <v>833.33333333333337</v>
      </c>
      <c r="G605" s="7">
        <f t="shared" si="46"/>
        <v>73.746312684365776</v>
      </c>
      <c r="H605" s="7">
        <f t="shared" si="47"/>
        <v>2.4582104228121926</v>
      </c>
      <c r="I605" s="5" t="str">
        <f t="shared" si="48"/>
        <v>ниже среднего</v>
      </c>
      <c r="J605" t="str">
        <f t="shared" si="49"/>
        <v>не нуждается в помощи</v>
      </c>
    </row>
    <row r="606" spans="1:10" x14ac:dyDescent="0.2">
      <c r="A606" s="4">
        <v>1939</v>
      </c>
      <c r="B606" t="s">
        <v>3</v>
      </c>
      <c r="C606" s="1">
        <v>2940</v>
      </c>
      <c r="D606">
        <v>3</v>
      </c>
      <c r="E606" t="s">
        <v>11</v>
      </c>
      <c r="F606" s="6">
        <f t="shared" si="45"/>
        <v>980</v>
      </c>
      <c r="G606" s="7">
        <f t="shared" si="46"/>
        <v>86.725663716814154</v>
      </c>
      <c r="H606" s="7">
        <f t="shared" si="47"/>
        <v>2.8908554572271381</v>
      </c>
      <c r="I606" s="5" t="str">
        <f t="shared" si="48"/>
        <v>средний</v>
      </c>
      <c r="J606" t="str">
        <f t="shared" si="49"/>
        <v>не нуждается в помощи</v>
      </c>
    </row>
    <row r="607" spans="1:10" x14ac:dyDescent="0.2">
      <c r="A607" s="4">
        <v>1958</v>
      </c>
      <c r="B607" t="s">
        <v>3</v>
      </c>
      <c r="C607" s="1">
        <v>4000</v>
      </c>
      <c r="D607">
        <v>3</v>
      </c>
      <c r="E607" t="s">
        <v>10</v>
      </c>
      <c r="F607" s="6">
        <f t="shared" si="45"/>
        <v>1333.3333333333333</v>
      </c>
      <c r="G607" s="7">
        <f t="shared" si="46"/>
        <v>117.99410029498523</v>
      </c>
      <c r="H607" s="7">
        <f t="shared" si="47"/>
        <v>3.9331366764995082</v>
      </c>
      <c r="I607" s="5" t="str">
        <f t="shared" si="48"/>
        <v>средний</v>
      </c>
      <c r="J607" t="str">
        <f t="shared" si="49"/>
        <v>не нуждается в помощи</v>
      </c>
    </row>
    <row r="608" spans="1:10" x14ac:dyDescent="0.2">
      <c r="A608" s="4">
        <v>1984</v>
      </c>
      <c r="B608" t="s">
        <v>3</v>
      </c>
      <c r="C608" s="1">
        <v>4130</v>
      </c>
      <c r="D608">
        <v>3</v>
      </c>
      <c r="E608" t="s">
        <v>11</v>
      </c>
      <c r="F608" s="6">
        <f t="shared" si="45"/>
        <v>1376.6666666666667</v>
      </c>
      <c r="G608" s="7">
        <f t="shared" si="46"/>
        <v>121.82890855457227</v>
      </c>
      <c r="H608" s="7">
        <f t="shared" si="47"/>
        <v>4.0609636184857427</v>
      </c>
      <c r="I608" s="5" t="str">
        <f t="shared" si="48"/>
        <v>в достатке</v>
      </c>
      <c r="J608" t="str">
        <f t="shared" si="49"/>
        <v>не нуждается в помощи</v>
      </c>
    </row>
    <row r="609" spans="1:10" x14ac:dyDescent="0.2">
      <c r="A609" s="4">
        <v>2214</v>
      </c>
      <c r="B609" t="s">
        <v>3</v>
      </c>
      <c r="C609" s="1">
        <v>3200</v>
      </c>
      <c r="D609">
        <v>3</v>
      </c>
      <c r="E609" t="s">
        <v>11</v>
      </c>
      <c r="F609" s="6">
        <f t="shared" si="45"/>
        <v>1066.6666666666667</v>
      </c>
      <c r="G609" s="7">
        <f t="shared" si="46"/>
        <v>94.395280235988196</v>
      </c>
      <c r="H609" s="7">
        <f t="shared" si="47"/>
        <v>3.1465093411996068</v>
      </c>
      <c r="I609" s="5" t="str">
        <f t="shared" si="48"/>
        <v>средний</v>
      </c>
      <c r="J609" t="str">
        <f t="shared" si="49"/>
        <v>не нуждается в помощи</v>
      </c>
    </row>
    <row r="610" spans="1:10" x14ac:dyDescent="0.2">
      <c r="A610" s="4">
        <v>2298</v>
      </c>
      <c r="B610" t="s">
        <v>3</v>
      </c>
      <c r="C610" s="1">
        <v>3300</v>
      </c>
      <c r="D610">
        <v>3</v>
      </c>
      <c r="E610" t="s">
        <v>11</v>
      </c>
      <c r="F610" s="6">
        <f t="shared" si="45"/>
        <v>1100</v>
      </c>
      <c r="G610" s="7">
        <f t="shared" si="46"/>
        <v>97.345132743362825</v>
      </c>
      <c r="H610" s="7">
        <f t="shared" si="47"/>
        <v>3.244837758112094</v>
      </c>
      <c r="I610" s="5" t="str">
        <f t="shared" si="48"/>
        <v>средний</v>
      </c>
      <c r="J610" t="str">
        <f t="shared" si="49"/>
        <v>не нуждается в помощи</v>
      </c>
    </row>
    <row r="611" spans="1:10" x14ac:dyDescent="0.2">
      <c r="A611" s="4">
        <v>2303</v>
      </c>
      <c r="B611" t="s">
        <v>0</v>
      </c>
      <c r="C611" s="1">
        <v>2880</v>
      </c>
      <c r="D611">
        <v>3</v>
      </c>
      <c r="E611" t="s">
        <v>11</v>
      </c>
      <c r="F611" s="6">
        <f t="shared" si="45"/>
        <v>960</v>
      </c>
      <c r="G611" s="7">
        <f t="shared" si="46"/>
        <v>84.95575221238937</v>
      </c>
      <c r="H611" s="7">
        <f t="shared" si="47"/>
        <v>2.831858407079646</v>
      </c>
      <c r="I611" s="5" t="str">
        <f t="shared" si="48"/>
        <v>средний</v>
      </c>
      <c r="J611" t="str">
        <f t="shared" si="49"/>
        <v>не нуждается в помощи</v>
      </c>
    </row>
    <row r="612" spans="1:10" x14ac:dyDescent="0.2">
      <c r="A612" s="4">
        <v>2526</v>
      </c>
      <c r="B612" t="s">
        <v>0</v>
      </c>
      <c r="C612" s="1">
        <v>3300</v>
      </c>
      <c r="D612">
        <v>3</v>
      </c>
      <c r="E612" t="s">
        <v>10</v>
      </c>
      <c r="F612" s="6">
        <f t="shared" si="45"/>
        <v>1100</v>
      </c>
      <c r="G612" s="7">
        <f t="shared" si="46"/>
        <v>97.345132743362825</v>
      </c>
      <c r="H612" s="7">
        <f t="shared" si="47"/>
        <v>3.244837758112094</v>
      </c>
      <c r="I612" s="5" t="str">
        <f t="shared" si="48"/>
        <v>средний</v>
      </c>
      <c r="J612" t="str">
        <f t="shared" si="49"/>
        <v>не нуждается в помощи</v>
      </c>
    </row>
    <row r="613" spans="1:10" x14ac:dyDescent="0.2">
      <c r="A613" s="4">
        <v>2742</v>
      </c>
      <c r="B613" t="s">
        <v>2</v>
      </c>
      <c r="C613" s="1">
        <v>2600</v>
      </c>
      <c r="D613">
        <v>3</v>
      </c>
      <c r="E613" t="s">
        <v>10</v>
      </c>
      <c r="F613" s="6">
        <f t="shared" si="45"/>
        <v>866.66666666666663</v>
      </c>
      <c r="G613" s="7">
        <f t="shared" si="46"/>
        <v>76.696165191740405</v>
      </c>
      <c r="H613" s="7">
        <f t="shared" si="47"/>
        <v>2.5565388397246802</v>
      </c>
      <c r="I613" s="5" t="str">
        <f t="shared" si="48"/>
        <v>средний</v>
      </c>
      <c r="J613" t="str">
        <f t="shared" si="49"/>
        <v>не нуждается в помощи</v>
      </c>
    </row>
    <row r="614" spans="1:10" x14ac:dyDescent="0.2">
      <c r="A614" s="4">
        <v>2166</v>
      </c>
      <c r="B614" t="s">
        <v>3</v>
      </c>
      <c r="C614" s="1">
        <v>2800</v>
      </c>
      <c r="D614">
        <v>3</v>
      </c>
      <c r="E614" t="s">
        <v>11</v>
      </c>
      <c r="F614" s="6">
        <f t="shared" si="45"/>
        <v>933.33333333333337</v>
      </c>
      <c r="G614" s="7">
        <f t="shared" si="46"/>
        <v>82.595870206489678</v>
      </c>
      <c r="H614" s="7">
        <f t="shared" si="47"/>
        <v>2.7531956735496554</v>
      </c>
      <c r="I614" s="5" t="str">
        <f t="shared" si="48"/>
        <v>средний</v>
      </c>
      <c r="J614" t="str">
        <f t="shared" si="49"/>
        <v>не нуждается в помощи</v>
      </c>
    </row>
    <row r="615" spans="1:10" x14ac:dyDescent="0.2">
      <c r="A615" s="4">
        <v>2164</v>
      </c>
      <c r="B615" t="s">
        <v>3</v>
      </c>
      <c r="C615" s="1">
        <v>2800</v>
      </c>
      <c r="D615">
        <v>3</v>
      </c>
      <c r="E615" t="s">
        <v>11</v>
      </c>
      <c r="F615" s="6">
        <f t="shared" si="45"/>
        <v>933.33333333333337</v>
      </c>
      <c r="G615" s="7">
        <f t="shared" si="46"/>
        <v>82.595870206489678</v>
      </c>
      <c r="H615" s="7">
        <f t="shared" si="47"/>
        <v>2.7531956735496554</v>
      </c>
      <c r="I615" s="5" t="str">
        <f t="shared" si="48"/>
        <v>средний</v>
      </c>
      <c r="J615" t="str">
        <f t="shared" si="49"/>
        <v>не нуждается в помощи</v>
      </c>
    </row>
    <row r="616" spans="1:10" x14ac:dyDescent="0.2">
      <c r="A616" s="4">
        <v>2176</v>
      </c>
      <c r="B616" t="s">
        <v>3</v>
      </c>
      <c r="C616" s="1">
        <v>2800</v>
      </c>
      <c r="D616">
        <v>3</v>
      </c>
      <c r="E616" t="s">
        <v>10</v>
      </c>
      <c r="F616" s="6">
        <f t="shared" si="45"/>
        <v>933.33333333333337</v>
      </c>
      <c r="G616" s="7">
        <f t="shared" si="46"/>
        <v>82.595870206489678</v>
      </c>
      <c r="H616" s="7">
        <f t="shared" si="47"/>
        <v>2.7531956735496554</v>
      </c>
      <c r="I616" s="5" t="str">
        <f t="shared" si="48"/>
        <v>средний</v>
      </c>
      <c r="J616" t="str">
        <f t="shared" si="49"/>
        <v>не нуждается в помощи</v>
      </c>
    </row>
    <row r="617" spans="1:10" x14ac:dyDescent="0.2">
      <c r="A617" s="4">
        <v>2905</v>
      </c>
      <c r="B617" t="s">
        <v>1</v>
      </c>
      <c r="C617" s="1">
        <v>2940</v>
      </c>
      <c r="D617">
        <v>3</v>
      </c>
      <c r="E617" t="s">
        <v>11</v>
      </c>
      <c r="F617" s="6">
        <f t="shared" si="45"/>
        <v>980</v>
      </c>
      <c r="G617" s="7">
        <f t="shared" si="46"/>
        <v>86.725663716814154</v>
      </c>
      <c r="H617" s="7">
        <f t="shared" si="47"/>
        <v>2.8908554572271381</v>
      </c>
      <c r="I617" s="5" t="str">
        <f t="shared" si="48"/>
        <v>средний</v>
      </c>
      <c r="J617" t="str">
        <f t="shared" si="49"/>
        <v>не нуждается в помощи</v>
      </c>
    </row>
    <row r="618" spans="1:10" x14ac:dyDescent="0.2">
      <c r="A618" s="4">
        <v>2258</v>
      </c>
      <c r="B618" t="s">
        <v>3</v>
      </c>
      <c r="C618" s="1">
        <v>3000</v>
      </c>
      <c r="D618">
        <v>3</v>
      </c>
      <c r="E618" t="s">
        <v>10</v>
      </c>
      <c r="F618" s="6">
        <f t="shared" si="45"/>
        <v>1000</v>
      </c>
      <c r="G618" s="7">
        <f t="shared" si="46"/>
        <v>88.495575221238937</v>
      </c>
      <c r="H618" s="7">
        <f t="shared" si="47"/>
        <v>2.9498525073746311</v>
      </c>
      <c r="I618" s="5" t="str">
        <f t="shared" si="48"/>
        <v>средний</v>
      </c>
      <c r="J618" t="str">
        <f t="shared" si="49"/>
        <v>не нуждается в помощи</v>
      </c>
    </row>
    <row r="619" spans="1:10" x14ac:dyDescent="0.2">
      <c r="A619" s="4">
        <v>1800</v>
      </c>
      <c r="B619" t="s">
        <v>3</v>
      </c>
      <c r="C619" s="1">
        <v>3000</v>
      </c>
      <c r="D619">
        <v>3</v>
      </c>
      <c r="E619" t="s">
        <v>11</v>
      </c>
      <c r="F619" s="6">
        <f t="shared" si="45"/>
        <v>1000</v>
      </c>
      <c r="G619" s="7">
        <f t="shared" si="46"/>
        <v>88.495575221238937</v>
      </c>
      <c r="H619" s="7">
        <f t="shared" si="47"/>
        <v>2.9498525073746311</v>
      </c>
      <c r="I619" s="5" t="str">
        <f t="shared" si="48"/>
        <v>средний</v>
      </c>
      <c r="J619" t="str">
        <f t="shared" si="49"/>
        <v>не нуждается в помощи</v>
      </c>
    </row>
    <row r="620" spans="1:10" x14ac:dyDescent="0.2">
      <c r="A620" s="4">
        <v>6802</v>
      </c>
      <c r="B620" t="s">
        <v>3</v>
      </c>
      <c r="C620" s="1">
        <v>3000</v>
      </c>
      <c r="D620">
        <v>3</v>
      </c>
      <c r="E620" t="s">
        <v>10</v>
      </c>
      <c r="F620" s="6">
        <f t="shared" si="45"/>
        <v>1000</v>
      </c>
      <c r="G620" s="7">
        <f t="shared" si="46"/>
        <v>88.495575221238937</v>
      </c>
      <c r="H620" s="7">
        <f t="shared" si="47"/>
        <v>2.9498525073746311</v>
      </c>
      <c r="I620" s="5" t="str">
        <f t="shared" si="48"/>
        <v>средний</v>
      </c>
      <c r="J620" t="str">
        <f t="shared" si="49"/>
        <v>не нуждается в помощи</v>
      </c>
    </row>
    <row r="621" spans="1:10" x14ac:dyDescent="0.2">
      <c r="A621" s="4">
        <v>842</v>
      </c>
      <c r="B621" t="s">
        <v>4</v>
      </c>
      <c r="C621" s="1">
        <v>8000</v>
      </c>
      <c r="D621">
        <v>3</v>
      </c>
      <c r="E621" t="s">
        <v>11</v>
      </c>
      <c r="F621" s="6">
        <f t="shared" si="45"/>
        <v>2666.6666666666665</v>
      </c>
      <c r="G621" s="7">
        <f t="shared" si="46"/>
        <v>235.98820058997046</v>
      </c>
      <c r="H621" s="7">
        <f t="shared" si="47"/>
        <v>7.8662733529990163</v>
      </c>
      <c r="I621" s="5" t="str">
        <f t="shared" si="48"/>
        <v>в достатке</v>
      </c>
      <c r="J621" t="str">
        <f t="shared" si="49"/>
        <v>не нуждается в помощи</v>
      </c>
    </row>
    <row r="622" spans="1:10" x14ac:dyDescent="0.2">
      <c r="A622" s="4">
        <v>1608</v>
      </c>
      <c r="B622" t="s">
        <v>5</v>
      </c>
      <c r="C622" s="1">
        <v>3000</v>
      </c>
      <c r="D622">
        <v>3</v>
      </c>
      <c r="E622" t="s">
        <v>11</v>
      </c>
      <c r="F622" s="6">
        <f t="shared" si="45"/>
        <v>1000</v>
      </c>
      <c r="G622" s="7">
        <f t="shared" si="46"/>
        <v>88.495575221238937</v>
      </c>
      <c r="H622" s="7">
        <f t="shared" si="47"/>
        <v>2.9498525073746311</v>
      </c>
      <c r="I622" s="5" t="str">
        <f t="shared" si="48"/>
        <v>средний</v>
      </c>
      <c r="J622" t="str">
        <f t="shared" si="49"/>
        <v>не нуждается в помощи</v>
      </c>
    </row>
    <row r="623" spans="1:10" x14ac:dyDescent="0.2">
      <c r="A623" s="4">
        <v>2232</v>
      </c>
      <c r="B623" t="s">
        <v>3</v>
      </c>
      <c r="C623" s="1">
        <v>3000</v>
      </c>
      <c r="D623">
        <v>3</v>
      </c>
      <c r="E623" t="s">
        <v>10</v>
      </c>
      <c r="F623" s="6">
        <f t="shared" si="45"/>
        <v>1000</v>
      </c>
      <c r="G623" s="7">
        <f t="shared" si="46"/>
        <v>88.495575221238937</v>
      </c>
      <c r="H623" s="7">
        <f t="shared" si="47"/>
        <v>2.9498525073746311</v>
      </c>
      <c r="I623" s="5" t="str">
        <f t="shared" si="48"/>
        <v>средний</v>
      </c>
      <c r="J623" t="str">
        <f t="shared" si="49"/>
        <v>не нуждается в помощи</v>
      </c>
    </row>
    <row r="624" spans="1:10" x14ac:dyDescent="0.2">
      <c r="A624" s="4">
        <v>2241</v>
      </c>
      <c r="B624" t="s">
        <v>3</v>
      </c>
      <c r="C624" s="1">
        <v>6000</v>
      </c>
      <c r="D624">
        <v>3</v>
      </c>
      <c r="E624" t="s">
        <v>10</v>
      </c>
      <c r="F624" s="6">
        <f t="shared" si="45"/>
        <v>2000</v>
      </c>
      <c r="G624" s="7">
        <f t="shared" si="46"/>
        <v>176.99115044247787</v>
      </c>
      <c r="H624" s="7">
        <f t="shared" si="47"/>
        <v>5.8997050147492622</v>
      </c>
      <c r="I624" s="5" t="str">
        <f t="shared" si="48"/>
        <v>в достатке</v>
      </c>
      <c r="J624" t="str">
        <f t="shared" si="49"/>
        <v>не нуждается в помощи</v>
      </c>
    </row>
    <row r="625" spans="1:10" x14ac:dyDescent="0.2">
      <c r="A625" s="4">
        <v>2254</v>
      </c>
      <c r="B625" t="s">
        <v>3</v>
      </c>
      <c r="C625" s="1">
        <v>6000</v>
      </c>
      <c r="D625">
        <v>3</v>
      </c>
      <c r="E625" t="s">
        <v>10</v>
      </c>
      <c r="F625" s="6">
        <f t="shared" si="45"/>
        <v>2000</v>
      </c>
      <c r="G625" s="7">
        <f t="shared" si="46"/>
        <v>176.99115044247787</v>
      </c>
      <c r="H625" s="7">
        <f t="shared" si="47"/>
        <v>5.8997050147492622</v>
      </c>
      <c r="I625" s="5" t="str">
        <f t="shared" si="48"/>
        <v>в достатке</v>
      </c>
      <c r="J625" t="str">
        <f t="shared" si="49"/>
        <v>не нуждается в помощи</v>
      </c>
    </row>
    <row r="626" spans="1:10" x14ac:dyDescent="0.2">
      <c r="A626" s="4">
        <v>2452</v>
      </c>
      <c r="B626" t="s">
        <v>0</v>
      </c>
      <c r="C626" s="1">
        <v>3000</v>
      </c>
      <c r="D626">
        <v>3</v>
      </c>
      <c r="E626" t="s">
        <v>11</v>
      </c>
      <c r="F626" s="6">
        <f t="shared" si="45"/>
        <v>1000</v>
      </c>
      <c r="G626" s="7">
        <f t="shared" si="46"/>
        <v>88.495575221238937</v>
      </c>
      <c r="H626" s="7">
        <f t="shared" si="47"/>
        <v>2.9498525073746311</v>
      </c>
      <c r="I626" s="5" t="str">
        <f t="shared" si="48"/>
        <v>средний</v>
      </c>
      <c r="J626" t="str">
        <f t="shared" si="49"/>
        <v>не нуждается в помощи</v>
      </c>
    </row>
    <row r="627" spans="1:10" x14ac:dyDescent="0.2">
      <c r="A627" s="4">
        <v>2511</v>
      </c>
      <c r="B627" t="s">
        <v>0</v>
      </c>
      <c r="C627" s="1">
        <v>3000</v>
      </c>
      <c r="D627">
        <v>3</v>
      </c>
      <c r="E627" t="s">
        <v>10</v>
      </c>
      <c r="F627" s="6">
        <f t="shared" si="45"/>
        <v>1000</v>
      </c>
      <c r="G627" s="7">
        <f t="shared" si="46"/>
        <v>88.495575221238937</v>
      </c>
      <c r="H627" s="7">
        <f t="shared" si="47"/>
        <v>2.9498525073746311</v>
      </c>
      <c r="I627" s="5" t="str">
        <f t="shared" si="48"/>
        <v>средний</v>
      </c>
      <c r="J627" t="str">
        <f t="shared" si="49"/>
        <v>не нуждается в помощи</v>
      </c>
    </row>
    <row r="628" spans="1:10" x14ac:dyDescent="0.2">
      <c r="A628" s="4">
        <v>2527</v>
      </c>
      <c r="B628" t="s">
        <v>0</v>
      </c>
      <c r="C628" s="1">
        <v>3000</v>
      </c>
      <c r="D628">
        <v>3</v>
      </c>
      <c r="E628" t="s">
        <v>10</v>
      </c>
      <c r="F628" s="6">
        <f t="shared" si="45"/>
        <v>1000</v>
      </c>
      <c r="G628" s="7">
        <f t="shared" si="46"/>
        <v>88.495575221238937</v>
      </c>
      <c r="H628" s="7">
        <f t="shared" si="47"/>
        <v>2.9498525073746311</v>
      </c>
      <c r="I628" s="5" t="str">
        <f t="shared" si="48"/>
        <v>средний</v>
      </c>
      <c r="J628" t="str">
        <f t="shared" si="49"/>
        <v>не нуждается в помощи</v>
      </c>
    </row>
    <row r="629" spans="1:10" x14ac:dyDescent="0.2">
      <c r="A629" s="4">
        <v>2546</v>
      </c>
      <c r="B629" t="s">
        <v>0</v>
      </c>
      <c r="C629" s="1">
        <v>6500</v>
      </c>
      <c r="D629">
        <v>3</v>
      </c>
      <c r="E629" t="s">
        <v>11</v>
      </c>
      <c r="F629" s="6">
        <f t="shared" si="45"/>
        <v>2166.6666666666665</v>
      </c>
      <c r="G629" s="7">
        <f t="shared" si="46"/>
        <v>191.74041297935102</v>
      </c>
      <c r="H629" s="7">
        <f t="shared" si="47"/>
        <v>6.3913470993116999</v>
      </c>
      <c r="I629" s="5" t="str">
        <f t="shared" si="48"/>
        <v>в достатке</v>
      </c>
      <c r="J629" t="str">
        <f t="shared" si="49"/>
        <v>не нуждается в помощи</v>
      </c>
    </row>
    <row r="630" spans="1:10" x14ac:dyDescent="0.2">
      <c r="A630" s="4">
        <v>2865</v>
      </c>
      <c r="B630" t="s">
        <v>2</v>
      </c>
      <c r="C630" s="1">
        <v>5900</v>
      </c>
      <c r="D630">
        <v>3</v>
      </c>
      <c r="E630" t="s">
        <v>11</v>
      </c>
      <c r="F630" s="6">
        <f t="shared" si="45"/>
        <v>1966.6666666666667</v>
      </c>
      <c r="G630" s="7">
        <f t="shared" si="46"/>
        <v>174.04129793510324</v>
      </c>
      <c r="H630" s="7">
        <f t="shared" si="47"/>
        <v>5.8013765978367742</v>
      </c>
      <c r="I630" s="5" t="str">
        <f t="shared" si="48"/>
        <v>в достатке</v>
      </c>
      <c r="J630" t="str">
        <f t="shared" si="49"/>
        <v>не нуждается в помощи</v>
      </c>
    </row>
    <row r="631" spans="1:10" x14ac:dyDescent="0.2">
      <c r="A631" s="4">
        <v>3092</v>
      </c>
      <c r="B631" t="s">
        <v>1</v>
      </c>
      <c r="C631" s="1">
        <v>7000</v>
      </c>
      <c r="D631">
        <v>3</v>
      </c>
      <c r="E631" t="s">
        <v>10</v>
      </c>
      <c r="F631" s="6">
        <f t="shared" si="45"/>
        <v>2333.3333333333335</v>
      </c>
      <c r="G631" s="7">
        <f t="shared" si="46"/>
        <v>206.4896755162242</v>
      </c>
      <c r="H631" s="7">
        <f t="shared" si="47"/>
        <v>6.8829891838741402</v>
      </c>
      <c r="I631" s="5" t="str">
        <f t="shared" si="48"/>
        <v>в достатке</v>
      </c>
      <c r="J631" t="str">
        <f t="shared" si="49"/>
        <v>не нуждается в помощи</v>
      </c>
    </row>
    <row r="632" spans="1:10" x14ac:dyDescent="0.2">
      <c r="A632" s="4">
        <v>5946</v>
      </c>
      <c r="B632" t="s">
        <v>2</v>
      </c>
      <c r="C632" s="1">
        <v>3800</v>
      </c>
      <c r="D632">
        <v>3</v>
      </c>
      <c r="E632" t="s">
        <v>11</v>
      </c>
      <c r="F632" s="6">
        <f t="shared" si="45"/>
        <v>1266.6666666666667</v>
      </c>
      <c r="G632" s="7">
        <f t="shared" si="46"/>
        <v>112.09439528023599</v>
      </c>
      <c r="H632" s="7">
        <f t="shared" si="47"/>
        <v>3.7364798426745325</v>
      </c>
      <c r="I632" s="5" t="str">
        <f t="shared" si="48"/>
        <v>средний</v>
      </c>
      <c r="J632" t="str">
        <f t="shared" si="49"/>
        <v>не нуждается в помощи</v>
      </c>
    </row>
    <row r="633" spans="1:10" x14ac:dyDescent="0.2">
      <c r="A633" s="4">
        <v>6061</v>
      </c>
      <c r="B633" t="s">
        <v>1</v>
      </c>
      <c r="C633" s="1">
        <v>3500</v>
      </c>
      <c r="D633">
        <v>3</v>
      </c>
      <c r="E633" t="s">
        <v>10</v>
      </c>
      <c r="F633" s="6">
        <f t="shared" si="45"/>
        <v>1166.6666666666667</v>
      </c>
      <c r="G633" s="7">
        <f t="shared" si="46"/>
        <v>103.2448377581121</v>
      </c>
      <c r="H633" s="7">
        <f t="shared" si="47"/>
        <v>3.4414945919370701</v>
      </c>
      <c r="I633" s="5" t="str">
        <f t="shared" si="48"/>
        <v>средний</v>
      </c>
      <c r="J633" t="str">
        <f t="shared" si="49"/>
        <v>не нуждается в помощи</v>
      </c>
    </row>
    <row r="634" spans="1:10" x14ac:dyDescent="0.2">
      <c r="A634" s="4">
        <v>2002</v>
      </c>
      <c r="B634" t="s">
        <v>3</v>
      </c>
      <c r="C634" s="1">
        <v>6700</v>
      </c>
      <c r="D634">
        <v>3</v>
      </c>
      <c r="E634" t="s">
        <v>11</v>
      </c>
      <c r="F634" s="6">
        <f t="shared" si="45"/>
        <v>2233.3333333333335</v>
      </c>
      <c r="G634" s="7">
        <f t="shared" si="46"/>
        <v>197.64011799410031</v>
      </c>
      <c r="H634" s="7">
        <f t="shared" si="47"/>
        <v>6.588003933136676</v>
      </c>
      <c r="I634" s="5" t="str">
        <f t="shared" si="48"/>
        <v>в достатке</v>
      </c>
      <c r="J634" t="str">
        <f t="shared" si="49"/>
        <v>не нуждается в помощи</v>
      </c>
    </row>
    <row r="635" spans="1:10" x14ac:dyDescent="0.2">
      <c r="A635" s="4">
        <v>2178</v>
      </c>
      <c r="B635" t="s">
        <v>3</v>
      </c>
      <c r="C635" s="1">
        <v>3200</v>
      </c>
      <c r="D635">
        <v>3</v>
      </c>
      <c r="E635" t="s">
        <v>11</v>
      </c>
      <c r="F635" s="6">
        <f t="shared" si="45"/>
        <v>1066.6666666666667</v>
      </c>
      <c r="G635" s="7">
        <f t="shared" si="46"/>
        <v>94.395280235988196</v>
      </c>
      <c r="H635" s="7">
        <f t="shared" si="47"/>
        <v>3.1465093411996068</v>
      </c>
      <c r="I635" s="5" t="str">
        <f t="shared" si="48"/>
        <v>средний</v>
      </c>
      <c r="J635" t="str">
        <f t="shared" si="49"/>
        <v>не нуждается в помощи</v>
      </c>
    </row>
    <row r="636" spans="1:10" x14ac:dyDescent="0.2">
      <c r="A636" s="4">
        <v>1947</v>
      </c>
      <c r="B636" t="s">
        <v>3</v>
      </c>
      <c r="C636" s="1">
        <v>3735</v>
      </c>
      <c r="D636">
        <v>3</v>
      </c>
      <c r="E636" t="s">
        <v>10</v>
      </c>
      <c r="F636" s="6">
        <f t="shared" si="45"/>
        <v>1245</v>
      </c>
      <c r="G636" s="7">
        <f t="shared" si="46"/>
        <v>110.17699115044248</v>
      </c>
      <c r="H636" s="7">
        <f t="shared" si="47"/>
        <v>3.6725663716814156</v>
      </c>
      <c r="I636" s="5" t="str">
        <f t="shared" si="48"/>
        <v>средний</v>
      </c>
      <c r="J636" t="str">
        <f t="shared" si="49"/>
        <v>не нуждается в помощи</v>
      </c>
    </row>
    <row r="637" spans="1:10" x14ac:dyDescent="0.2">
      <c r="A637" s="4">
        <v>2055</v>
      </c>
      <c r="B637" t="s">
        <v>3</v>
      </c>
      <c r="C637" s="1">
        <v>3500</v>
      </c>
      <c r="D637">
        <v>3</v>
      </c>
      <c r="E637" t="s">
        <v>11</v>
      </c>
      <c r="F637" s="6">
        <f t="shared" si="45"/>
        <v>1166.6666666666667</v>
      </c>
      <c r="G637" s="7">
        <f t="shared" si="46"/>
        <v>103.2448377581121</v>
      </c>
      <c r="H637" s="7">
        <f t="shared" si="47"/>
        <v>3.4414945919370701</v>
      </c>
      <c r="I637" s="5" t="str">
        <f t="shared" si="48"/>
        <v>средний</v>
      </c>
      <c r="J637" t="str">
        <f t="shared" si="49"/>
        <v>не нуждается в помощи</v>
      </c>
    </row>
    <row r="638" spans="1:10" x14ac:dyDescent="0.2">
      <c r="A638" s="4">
        <v>2503</v>
      </c>
      <c r="B638" t="s">
        <v>0</v>
      </c>
      <c r="C638" s="1">
        <v>3500</v>
      </c>
      <c r="D638">
        <v>3</v>
      </c>
      <c r="E638" t="s">
        <v>10</v>
      </c>
      <c r="F638" s="6">
        <f t="shared" si="45"/>
        <v>1166.6666666666667</v>
      </c>
      <c r="G638" s="7">
        <f t="shared" si="46"/>
        <v>103.2448377581121</v>
      </c>
      <c r="H638" s="7">
        <f t="shared" si="47"/>
        <v>3.4414945919370701</v>
      </c>
      <c r="I638" s="5" t="str">
        <f t="shared" si="48"/>
        <v>средний</v>
      </c>
      <c r="J638" t="str">
        <f t="shared" si="49"/>
        <v>не нуждается в помощи</v>
      </c>
    </row>
    <row r="639" spans="1:10" x14ac:dyDescent="0.2">
      <c r="A639" s="4">
        <v>2504</v>
      </c>
      <c r="B639" t="s">
        <v>0</v>
      </c>
      <c r="C639" s="1">
        <v>6500</v>
      </c>
      <c r="D639">
        <v>3</v>
      </c>
      <c r="E639" t="s">
        <v>10</v>
      </c>
      <c r="F639" s="6">
        <f t="shared" si="45"/>
        <v>2166.6666666666665</v>
      </c>
      <c r="G639" s="7">
        <f t="shared" si="46"/>
        <v>191.74041297935102</v>
      </c>
      <c r="H639" s="7">
        <f t="shared" si="47"/>
        <v>6.3913470993116999</v>
      </c>
      <c r="I639" s="5" t="str">
        <f t="shared" si="48"/>
        <v>в достатке</v>
      </c>
      <c r="J639" t="str">
        <f t="shared" si="49"/>
        <v>не нуждается в помощи</v>
      </c>
    </row>
    <row r="640" spans="1:10" x14ac:dyDescent="0.2">
      <c r="A640" s="4">
        <v>2519</v>
      </c>
      <c r="B640" t="s">
        <v>0</v>
      </c>
      <c r="C640" s="1">
        <v>3500</v>
      </c>
      <c r="D640">
        <v>3</v>
      </c>
      <c r="E640" t="s">
        <v>11</v>
      </c>
      <c r="F640" s="6">
        <f t="shared" si="45"/>
        <v>1166.6666666666667</v>
      </c>
      <c r="G640" s="7">
        <f t="shared" si="46"/>
        <v>103.2448377581121</v>
      </c>
      <c r="H640" s="7">
        <f t="shared" si="47"/>
        <v>3.4414945919370701</v>
      </c>
      <c r="I640" s="5" t="str">
        <f t="shared" si="48"/>
        <v>средний</v>
      </c>
      <c r="J640" t="str">
        <f t="shared" si="49"/>
        <v>не нуждается в помощи</v>
      </c>
    </row>
    <row r="641" spans="1:10" x14ac:dyDescent="0.2">
      <c r="A641" s="4">
        <v>2620</v>
      </c>
      <c r="B641" t="s">
        <v>0</v>
      </c>
      <c r="C641" s="1">
        <v>3500</v>
      </c>
      <c r="D641">
        <v>3</v>
      </c>
      <c r="E641" t="s">
        <v>10</v>
      </c>
      <c r="F641" s="6">
        <f t="shared" si="45"/>
        <v>1166.6666666666667</v>
      </c>
      <c r="G641" s="7">
        <f t="shared" si="46"/>
        <v>103.2448377581121</v>
      </c>
      <c r="H641" s="7">
        <f t="shared" si="47"/>
        <v>3.4414945919370701</v>
      </c>
      <c r="I641" s="5" t="str">
        <f t="shared" si="48"/>
        <v>средний</v>
      </c>
      <c r="J641" t="str">
        <f t="shared" si="49"/>
        <v>не нуждается в помощи</v>
      </c>
    </row>
    <row r="642" spans="1:10" x14ac:dyDescent="0.2">
      <c r="A642" s="4">
        <v>2642</v>
      </c>
      <c r="B642" t="s">
        <v>2</v>
      </c>
      <c r="C642" s="1">
        <v>4027</v>
      </c>
      <c r="D642">
        <v>3</v>
      </c>
      <c r="E642" t="s">
        <v>10</v>
      </c>
      <c r="F642" s="6">
        <f t="shared" ref="F642:F705" si="50">C642/D642</f>
        <v>1342.3333333333333</v>
      </c>
      <c r="G642" s="7">
        <f t="shared" ref="G642:G705" si="51">(C642/D642)/rate</f>
        <v>118.79056047197639</v>
      </c>
      <c r="H642" s="7">
        <f t="shared" ref="H642:H705" si="52">((C642/D642)/30)/rate</f>
        <v>3.9596853490658792</v>
      </c>
      <c r="I642" s="5" t="str">
        <f t="shared" ref="I642:I705" si="53">IF(H642&lt;0.89, "крайняя бедность", IF(AND(H642&gt;0.89, H642&lt;1.33), "бедность", IF(AND(H642&gt;1.33,H642&lt;2.5),"ниже среднего", IF(AND(H642&gt;2.5,H642&lt;4), "средний", IF(H642&gt;4,"в достатке",0)))))</f>
        <v>средний</v>
      </c>
      <c r="J642" t="str">
        <f t="shared" si="49"/>
        <v>не нуждается в помощи</v>
      </c>
    </row>
    <row r="643" spans="1:10" x14ac:dyDescent="0.2">
      <c r="A643" s="4">
        <v>2231</v>
      </c>
      <c r="B643" t="s">
        <v>3</v>
      </c>
      <c r="C643" s="1">
        <v>3550</v>
      </c>
      <c r="D643">
        <v>3</v>
      </c>
      <c r="E643" t="s">
        <v>10</v>
      </c>
      <c r="F643" s="6">
        <f t="shared" si="50"/>
        <v>1183.3333333333333</v>
      </c>
      <c r="G643" s="7">
        <f t="shared" si="51"/>
        <v>104.7197640117994</v>
      </c>
      <c r="H643" s="7">
        <f t="shared" si="52"/>
        <v>3.4906588003933132</v>
      </c>
      <c r="I643" s="5" t="str">
        <f t="shared" si="53"/>
        <v>средний</v>
      </c>
      <c r="J643" t="str">
        <f t="shared" ref="J643:J706" si="54">IF(AND(I652="крайняя бедность",E652="Нет"), "нуждается в помощи", "не нуждается в помощи")</f>
        <v>не нуждается в помощи</v>
      </c>
    </row>
    <row r="644" spans="1:10" x14ac:dyDescent="0.2">
      <c r="A644" s="4">
        <v>2059</v>
      </c>
      <c r="B644" t="s">
        <v>3</v>
      </c>
      <c r="C644" s="1">
        <v>3625</v>
      </c>
      <c r="D644">
        <v>3</v>
      </c>
      <c r="E644" t="s">
        <v>10</v>
      </c>
      <c r="F644" s="6">
        <f t="shared" si="50"/>
        <v>1208.3333333333333</v>
      </c>
      <c r="G644" s="7">
        <f t="shared" si="51"/>
        <v>106.93215339233036</v>
      </c>
      <c r="H644" s="7">
        <f t="shared" si="52"/>
        <v>3.5644051130776795</v>
      </c>
      <c r="I644" s="5" t="str">
        <f t="shared" si="53"/>
        <v>средний</v>
      </c>
      <c r="J644" t="str">
        <f t="shared" si="54"/>
        <v>не нуждается в помощи</v>
      </c>
    </row>
    <row r="645" spans="1:10" x14ac:dyDescent="0.2">
      <c r="A645" s="4">
        <v>6421</v>
      </c>
      <c r="B645" t="s">
        <v>3</v>
      </c>
      <c r="C645" s="1">
        <v>4095</v>
      </c>
      <c r="D645">
        <v>3</v>
      </c>
      <c r="E645" t="s">
        <v>11</v>
      </c>
      <c r="F645" s="6">
        <f t="shared" si="50"/>
        <v>1365</v>
      </c>
      <c r="G645" s="7">
        <f t="shared" si="51"/>
        <v>120.79646017699115</v>
      </c>
      <c r="H645" s="7">
        <f t="shared" si="52"/>
        <v>4.0265486725663715</v>
      </c>
      <c r="I645" s="5" t="str">
        <f t="shared" si="53"/>
        <v>в достатке</v>
      </c>
      <c r="J645" t="str">
        <f t="shared" si="54"/>
        <v>не нуждается в помощи</v>
      </c>
    </row>
    <row r="646" spans="1:10" x14ac:dyDescent="0.2">
      <c r="A646" s="4">
        <v>2648</v>
      </c>
      <c r="B646" t="s">
        <v>2</v>
      </c>
      <c r="C646" s="1">
        <v>3750</v>
      </c>
      <c r="D646">
        <v>3</v>
      </c>
      <c r="E646" t="s">
        <v>11</v>
      </c>
      <c r="F646" s="6">
        <f t="shared" si="50"/>
        <v>1250</v>
      </c>
      <c r="G646" s="7">
        <f t="shared" si="51"/>
        <v>110.61946902654867</v>
      </c>
      <c r="H646" s="7">
        <f t="shared" si="52"/>
        <v>3.6873156342182885</v>
      </c>
      <c r="I646" s="5" t="str">
        <f t="shared" si="53"/>
        <v>средний</v>
      </c>
      <c r="J646" t="str">
        <f t="shared" si="54"/>
        <v>не нуждается в помощи</v>
      </c>
    </row>
    <row r="647" spans="1:10" x14ac:dyDescent="0.2">
      <c r="A647" s="4">
        <v>2045</v>
      </c>
      <c r="B647" t="s">
        <v>3</v>
      </c>
      <c r="C647" s="1">
        <v>4000</v>
      </c>
      <c r="D647">
        <v>3</v>
      </c>
      <c r="E647" t="s">
        <v>11</v>
      </c>
      <c r="F647" s="6">
        <f t="shared" si="50"/>
        <v>1333.3333333333333</v>
      </c>
      <c r="G647" s="7">
        <f t="shared" si="51"/>
        <v>117.99410029498523</v>
      </c>
      <c r="H647" s="7">
        <f t="shared" si="52"/>
        <v>3.9331366764995082</v>
      </c>
      <c r="I647" s="5" t="str">
        <f t="shared" si="53"/>
        <v>средний</v>
      </c>
      <c r="J647" t="str">
        <f t="shared" si="54"/>
        <v>не нуждается в помощи</v>
      </c>
    </row>
    <row r="648" spans="1:10" x14ac:dyDescent="0.2">
      <c r="A648" s="4">
        <v>2210</v>
      </c>
      <c r="B648" t="s">
        <v>3</v>
      </c>
      <c r="C648" s="1">
        <v>4400</v>
      </c>
      <c r="D648">
        <v>3</v>
      </c>
      <c r="E648" t="s">
        <v>10</v>
      </c>
      <c r="F648" s="6">
        <f t="shared" si="50"/>
        <v>1466.6666666666667</v>
      </c>
      <c r="G648" s="7">
        <f t="shared" si="51"/>
        <v>129.79351032448378</v>
      </c>
      <c r="H648" s="7">
        <f t="shared" si="52"/>
        <v>4.3264503441494595</v>
      </c>
      <c r="I648" s="5" t="str">
        <f t="shared" si="53"/>
        <v>в достатке</v>
      </c>
      <c r="J648" t="str">
        <f t="shared" si="54"/>
        <v>не нуждается в помощи</v>
      </c>
    </row>
    <row r="649" spans="1:10" x14ac:dyDescent="0.2">
      <c r="A649" s="4">
        <v>2169</v>
      </c>
      <c r="B649" t="s">
        <v>3</v>
      </c>
      <c r="C649" s="1">
        <v>4000</v>
      </c>
      <c r="D649">
        <v>3</v>
      </c>
      <c r="E649" t="s">
        <v>10</v>
      </c>
      <c r="F649" s="6">
        <f t="shared" si="50"/>
        <v>1333.3333333333333</v>
      </c>
      <c r="G649" s="7">
        <f t="shared" si="51"/>
        <v>117.99410029498523</v>
      </c>
      <c r="H649" s="7">
        <f t="shared" si="52"/>
        <v>3.9331366764995082</v>
      </c>
      <c r="I649" s="5" t="str">
        <f t="shared" si="53"/>
        <v>средний</v>
      </c>
      <c r="J649" t="str">
        <f t="shared" si="54"/>
        <v>не нуждается в помощи</v>
      </c>
    </row>
    <row r="650" spans="1:10" x14ac:dyDescent="0.2">
      <c r="A650" s="4">
        <v>3126</v>
      </c>
      <c r="B650" t="s">
        <v>1</v>
      </c>
      <c r="C650" s="1">
        <v>4400</v>
      </c>
      <c r="D650">
        <v>3</v>
      </c>
      <c r="E650" t="s">
        <v>10</v>
      </c>
      <c r="F650" s="6">
        <f t="shared" si="50"/>
        <v>1466.6666666666667</v>
      </c>
      <c r="G650" s="7">
        <f t="shared" si="51"/>
        <v>129.79351032448378</v>
      </c>
      <c r="H650" s="7">
        <f t="shared" si="52"/>
        <v>4.3264503441494595</v>
      </c>
      <c r="I650" s="5" t="str">
        <f t="shared" si="53"/>
        <v>в достатке</v>
      </c>
      <c r="J650" t="str">
        <f t="shared" si="54"/>
        <v>не нуждается в помощи</v>
      </c>
    </row>
    <row r="651" spans="1:10" x14ac:dyDescent="0.2">
      <c r="A651" s="4">
        <v>1649</v>
      </c>
      <c r="B651" t="s">
        <v>5</v>
      </c>
      <c r="C651" s="1">
        <v>4080</v>
      </c>
      <c r="D651">
        <v>3</v>
      </c>
      <c r="E651" t="s">
        <v>10</v>
      </c>
      <c r="F651" s="6">
        <f t="shared" si="50"/>
        <v>1360</v>
      </c>
      <c r="G651" s="7">
        <f t="shared" si="51"/>
        <v>120.35398230088495</v>
      </c>
      <c r="H651" s="7">
        <f t="shared" si="52"/>
        <v>4.0117994100294982</v>
      </c>
      <c r="I651" s="5" t="str">
        <f t="shared" si="53"/>
        <v>в достатке</v>
      </c>
      <c r="J651" t="str">
        <f t="shared" si="54"/>
        <v>не нуждается в помощи</v>
      </c>
    </row>
    <row r="652" spans="1:10" x14ac:dyDescent="0.2">
      <c r="A652" s="4">
        <v>1690</v>
      </c>
      <c r="B652" t="s">
        <v>5</v>
      </c>
      <c r="C652" s="1">
        <v>4400</v>
      </c>
      <c r="D652">
        <v>3</v>
      </c>
      <c r="E652" t="s">
        <v>11</v>
      </c>
      <c r="F652" s="6">
        <f t="shared" si="50"/>
        <v>1466.6666666666667</v>
      </c>
      <c r="G652" s="7">
        <f t="shared" si="51"/>
        <v>129.79351032448378</v>
      </c>
      <c r="H652" s="7">
        <f t="shared" si="52"/>
        <v>4.3264503441494595</v>
      </c>
      <c r="I652" s="5" t="str">
        <f t="shared" si="53"/>
        <v>в достатке</v>
      </c>
      <c r="J652" t="str">
        <f t="shared" si="54"/>
        <v>не нуждается в помощи</v>
      </c>
    </row>
    <row r="653" spans="1:10" x14ac:dyDescent="0.2">
      <c r="A653" s="4">
        <v>2123</v>
      </c>
      <c r="B653" t="s">
        <v>3</v>
      </c>
      <c r="C653" s="1">
        <v>4500</v>
      </c>
      <c r="D653">
        <v>3</v>
      </c>
      <c r="E653" t="s">
        <v>11</v>
      </c>
      <c r="F653" s="6">
        <f t="shared" si="50"/>
        <v>1500</v>
      </c>
      <c r="G653" s="7">
        <f t="shared" si="51"/>
        <v>132.74336283185841</v>
      </c>
      <c r="H653" s="7">
        <f t="shared" si="52"/>
        <v>4.4247787610619467</v>
      </c>
      <c r="I653" s="5" t="str">
        <f t="shared" si="53"/>
        <v>в достатке</v>
      </c>
      <c r="J653" t="str">
        <f t="shared" si="54"/>
        <v>не нуждается в помощи</v>
      </c>
    </row>
    <row r="654" spans="1:10" x14ac:dyDescent="0.2">
      <c r="A654" s="4">
        <v>3130</v>
      </c>
      <c r="B654" t="s">
        <v>1</v>
      </c>
      <c r="C654" s="1">
        <v>5700</v>
      </c>
      <c r="D654">
        <v>3</v>
      </c>
      <c r="E654" t="s">
        <v>10</v>
      </c>
      <c r="F654" s="6">
        <f t="shared" si="50"/>
        <v>1900</v>
      </c>
      <c r="G654" s="7">
        <f t="shared" si="51"/>
        <v>168.14159292035396</v>
      </c>
      <c r="H654" s="7">
        <f t="shared" si="52"/>
        <v>5.6047197640117989</v>
      </c>
      <c r="I654" s="5" t="str">
        <f t="shared" si="53"/>
        <v>в достатке</v>
      </c>
      <c r="J654" t="str">
        <f t="shared" si="54"/>
        <v>нуждается в помощи</v>
      </c>
    </row>
    <row r="655" spans="1:10" x14ac:dyDescent="0.2">
      <c r="A655" s="4">
        <v>2159</v>
      </c>
      <c r="B655" t="s">
        <v>3</v>
      </c>
      <c r="C655" s="1">
        <v>5150</v>
      </c>
      <c r="D655">
        <v>3</v>
      </c>
      <c r="E655" t="s">
        <v>11</v>
      </c>
      <c r="F655" s="6">
        <f t="shared" si="50"/>
        <v>1716.6666666666667</v>
      </c>
      <c r="G655" s="7">
        <f t="shared" si="51"/>
        <v>151.91740412979351</v>
      </c>
      <c r="H655" s="7">
        <f t="shared" si="52"/>
        <v>5.0639134709931168</v>
      </c>
      <c r="I655" s="5" t="str">
        <f t="shared" si="53"/>
        <v>в достатке</v>
      </c>
      <c r="J655" t="str">
        <f t="shared" si="54"/>
        <v>не нуждается в помощи</v>
      </c>
    </row>
    <row r="656" spans="1:10" x14ac:dyDescent="0.2">
      <c r="A656" s="4">
        <v>2146</v>
      </c>
      <c r="B656" t="s">
        <v>3</v>
      </c>
      <c r="C656" s="1">
        <v>5480</v>
      </c>
      <c r="D656">
        <v>3</v>
      </c>
      <c r="E656" t="s">
        <v>11</v>
      </c>
      <c r="F656" s="6">
        <f t="shared" si="50"/>
        <v>1826.6666666666667</v>
      </c>
      <c r="G656" s="7">
        <f t="shared" si="51"/>
        <v>161.65191740412979</v>
      </c>
      <c r="H656" s="7">
        <f t="shared" si="52"/>
        <v>5.3883972468043266</v>
      </c>
      <c r="I656" s="5" t="str">
        <f t="shared" si="53"/>
        <v>в достатке</v>
      </c>
      <c r="J656" t="str">
        <f t="shared" si="54"/>
        <v>нуждается в помощи</v>
      </c>
    </row>
    <row r="657" spans="1:10" x14ac:dyDescent="0.2">
      <c r="A657" s="4">
        <v>2352</v>
      </c>
      <c r="B657" t="s">
        <v>0</v>
      </c>
      <c r="C657" s="1">
        <v>6000</v>
      </c>
      <c r="D657">
        <v>3</v>
      </c>
      <c r="E657" t="s">
        <v>11</v>
      </c>
      <c r="F657" s="6">
        <f t="shared" si="50"/>
        <v>2000</v>
      </c>
      <c r="G657" s="7">
        <f t="shared" si="51"/>
        <v>176.99115044247787</v>
      </c>
      <c r="H657" s="7">
        <f t="shared" si="52"/>
        <v>5.8997050147492622</v>
      </c>
      <c r="I657" s="5" t="str">
        <f t="shared" si="53"/>
        <v>в достатке</v>
      </c>
      <c r="J657" t="str">
        <f t="shared" si="54"/>
        <v>не нуждается в помощи</v>
      </c>
    </row>
    <row r="658" spans="1:10" x14ac:dyDescent="0.2">
      <c r="A658" s="4">
        <v>2725</v>
      </c>
      <c r="B658" t="s">
        <v>2</v>
      </c>
      <c r="C658" s="1">
        <v>6000</v>
      </c>
      <c r="D658">
        <v>3</v>
      </c>
      <c r="E658" t="s">
        <v>11</v>
      </c>
      <c r="F658" s="6">
        <f t="shared" si="50"/>
        <v>2000</v>
      </c>
      <c r="G658" s="7">
        <f t="shared" si="51"/>
        <v>176.99115044247787</v>
      </c>
      <c r="H658" s="7">
        <f t="shared" si="52"/>
        <v>5.8997050147492622</v>
      </c>
      <c r="I658" s="5" t="str">
        <f t="shared" si="53"/>
        <v>в достатке</v>
      </c>
      <c r="J658" t="str">
        <f t="shared" si="54"/>
        <v>не нуждается в помощи</v>
      </c>
    </row>
    <row r="659" spans="1:10" x14ac:dyDescent="0.2">
      <c r="A659" s="4">
        <v>6241</v>
      </c>
      <c r="B659" t="s">
        <v>1</v>
      </c>
      <c r="C659" s="1">
        <v>6000</v>
      </c>
      <c r="D659">
        <v>3</v>
      </c>
      <c r="E659" t="s">
        <v>11</v>
      </c>
      <c r="F659" s="6">
        <f t="shared" si="50"/>
        <v>2000</v>
      </c>
      <c r="G659" s="7">
        <f t="shared" si="51"/>
        <v>176.99115044247787</v>
      </c>
      <c r="H659" s="7">
        <f t="shared" si="52"/>
        <v>5.8997050147492622</v>
      </c>
      <c r="I659" s="5" t="str">
        <f t="shared" si="53"/>
        <v>в достатке</v>
      </c>
      <c r="J659" t="str">
        <f t="shared" si="54"/>
        <v>не нуждается в помощи</v>
      </c>
    </row>
    <row r="660" spans="1:10" x14ac:dyDescent="0.2">
      <c r="A660" s="4">
        <v>2074</v>
      </c>
      <c r="B660" t="s">
        <v>3</v>
      </c>
      <c r="C660" s="1">
        <v>11250</v>
      </c>
      <c r="D660">
        <v>3</v>
      </c>
      <c r="E660" t="s">
        <v>10</v>
      </c>
      <c r="F660" s="6">
        <f t="shared" si="50"/>
        <v>3750</v>
      </c>
      <c r="G660" s="7">
        <f t="shared" si="51"/>
        <v>331.85840707964599</v>
      </c>
      <c r="H660" s="7">
        <f t="shared" si="52"/>
        <v>11.061946902654867</v>
      </c>
      <c r="I660" s="5" t="str">
        <f t="shared" si="53"/>
        <v>в достатке</v>
      </c>
      <c r="J660" t="str">
        <f t="shared" si="54"/>
        <v>нуждается в помощи</v>
      </c>
    </row>
    <row r="661" spans="1:10" x14ac:dyDescent="0.2">
      <c r="A661" s="4">
        <v>5322</v>
      </c>
      <c r="B661" t="s">
        <v>5</v>
      </c>
      <c r="C661" s="1">
        <v>8400</v>
      </c>
      <c r="D661">
        <v>3</v>
      </c>
      <c r="E661" t="s">
        <v>11</v>
      </c>
      <c r="F661" s="6">
        <f t="shared" si="50"/>
        <v>2800</v>
      </c>
      <c r="G661" s="7">
        <f t="shared" si="51"/>
        <v>247.78761061946901</v>
      </c>
      <c r="H661" s="7">
        <f t="shared" si="52"/>
        <v>8.2595870206489668</v>
      </c>
      <c r="I661" s="5" t="str">
        <f t="shared" si="53"/>
        <v>в достатке</v>
      </c>
      <c r="J661" t="str">
        <f t="shared" si="54"/>
        <v>нуждается в помощи</v>
      </c>
    </row>
    <row r="662" spans="1:10" x14ac:dyDescent="0.2">
      <c r="A662" s="4">
        <v>1904</v>
      </c>
      <c r="B662" t="s">
        <v>3</v>
      </c>
      <c r="C662" s="1">
        <v>10000</v>
      </c>
      <c r="D662">
        <v>3</v>
      </c>
      <c r="E662" t="s">
        <v>11</v>
      </c>
      <c r="F662" s="6">
        <f t="shared" si="50"/>
        <v>3333.3333333333335</v>
      </c>
      <c r="G662" s="7">
        <f t="shared" si="51"/>
        <v>294.9852507374631</v>
      </c>
      <c r="H662" s="7">
        <f t="shared" si="52"/>
        <v>9.8328416912487704</v>
      </c>
      <c r="I662" s="5" t="str">
        <f t="shared" si="53"/>
        <v>в достатке</v>
      </c>
      <c r="J662" t="str">
        <f t="shared" si="54"/>
        <v>не нуждается в помощи</v>
      </c>
    </row>
    <row r="663" spans="1:10" x14ac:dyDescent="0.2">
      <c r="A663" s="4">
        <v>2939</v>
      </c>
      <c r="B663" t="s">
        <v>1</v>
      </c>
      <c r="C663">
        <v>40</v>
      </c>
      <c r="D663">
        <v>2</v>
      </c>
      <c r="E663" t="s">
        <v>10</v>
      </c>
      <c r="F663" s="6">
        <f t="shared" si="50"/>
        <v>20</v>
      </c>
      <c r="G663" s="7">
        <f t="shared" si="51"/>
        <v>1.7699115044247786</v>
      </c>
      <c r="H663" s="7">
        <f t="shared" si="52"/>
        <v>5.8997050147492618E-2</v>
      </c>
      <c r="I663" s="5" t="str">
        <f t="shared" si="53"/>
        <v>крайняя бедность</v>
      </c>
      <c r="J663" t="str">
        <f t="shared" si="54"/>
        <v>нуждается в помощи</v>
      </c>
    </row>
    <row r="664" spans="1:10" x14ac:dyDescent="0.2">
      <c r="A664" s="4">
        <v>2714</v>
      </c>
      <c r="B664" t="s">
        <v>2</v>
      </c>
      <c r="C664">
        <v>648</v>
      </c>
      <c r="D664">
        <v>2</v>
      </c>
      <c r="E664" t="s">
        <v>11</v>
      </c>
      <c r="F664" s="6">
        <f t="shared" si="50"/>
        <v>324</v>
      </c>
      <c r="G664" s="7">
        <f t="shared" si="51"/>
        <v>28.672566371681413</v>
      </c>
      <c r="H664" s="7">
        <f t="shared" si="52"/>
        <v>0.95575221238938057</v>
      </c>
      <c r="I664" s="5" t="str">
        <f t="shared" si="53"/>
        <v>бедность</v>
      </c>
      <c r="J664" t="str">
        <f t="shared" si="54"/>
        <v>нуждается в помощи</v>
      </c>
    </row>
    <row r="665" spans="1:10" x14ac:dyDescent="0.2">
      <c r="A665" s="4">
        <v>1808</v>
      </c>
      <c r="B665" t="s">
        <v>3</v>
      </c>
      <c r="C665">
        <v>50</v>
      </c>
      <c r="D665">
        <v>2</v>
      </c>
      <c r="E665" t="s">
        <v>10</v>
      </c>
      <c r="F665" s="6">
        <f t="shared" si="50"/>
        <v>25</v>
      </c>
      <c r="G665" s="7">
        <f t="shared" si="51"/>
        <v>2.2123893805309733</v>
      </c>
      <c r="H665" s="7">
        <f t="shared" si="52"/>
        <v>7.3746312684365781E-2</v>
      </c>
      <c r="I665" s="5" t="str">
        <f t="shared" si="53"/>
        <v>крайняя бедность</v>
      </c>
      <c r="J665" t="str">
        <f t="shared" si="54"/>
        <v>не нуждается в помощи</v>
      </c>
    </row>
    <row r="666" spans="1:10" x14ac:dyDescent="0.2">
      <c r="A666" s="4">
        <v>797</v>
      </c>
      <c r="B666" t="s">
        <v>4</v>
      </c>
      <c r="C666">
        <v>1050</v>
      </c>
      <c r="D666">
        <v>2</v>
      </c>
      <c r="E666" t="s">
        <v>10</v>
      </c>
      <c r="F666" s="6">
        <f t="shared" si="50"/>
        <v>525</v>
      </c>
      <c r="G666" s="7">
        <f t="shared" si="51"/>
        <v>46.460176991150441</v>
      </c>
      <c r="H666" s="7">
        <f t="shared" si="52"/>
        <v>1.5486725663716814</v>
      </c>
      <c r="I666" s="5" t="str">
        <f t="shared" si="53"/>
        <v>ниже среднего</v>
      </c>
      <c r="J666" t="str">
        <f t="shared" si="54"/>
        <v>не нуждается в помощи</v>
      </c>
    </row>
    <row r="667" spans="1:10" x14ac:dyDescent="0.2">
      <c r="A667" s="4">
        <v>2534</v>
      </c>
      <c r="B667" t="s">
        <v>0</v>
      </c>
      <c r="C667">
        <v>890</v>
      </c>
      <c r="D667">
        <v>2</v>
      </c>
      <c r="E667" t="s">
        <v>10</v>
      </c>
      <c r="F667" s="6">
        <f t="shared" si="50"/>
        <v>445</v>
      </c>
      <c r="G667" s="7">
        <f t="shared" si="51"/>
        <v>39.380530973451322</v>
      </c>
      <c r="H667" s="7">
        <f t="shared" si="52"/>
        <v>1.3126843657817109</v>
      </c>
      <c r="I667" s="5" t="str">
        <f t="shared" si="53"/>
        <v>бедность</v>
      </c>
      <c r="J667" t="str">
        <f t="shared" si="54"/>
        <v>не нуждается в помощи</v>
      </c>
    </row>
    <row r="668" spans="1:10" x14ac:dyDescent="0.2">
      <c r="A668" s="4">
        <v>1834</v>
      </c>
      <c r="B668" t="s">
        <v>3</v>
      </c>
      <c r="C668">
        <v>94</v>
      </c>
      <c r="D668">
        <v>2</v>
      </c>
      <c r="E668" t="s">
        <v>11</v>
      </c>
      <c r="F668" s="6">
        <f t="shared" si="50"/>
        <v>47</v>
      </c>
      <c r="G668" s="7">
        <f t="shared" si="51"/>
        <v>4.1592920353982299</v>
      </c>
      <c r="H668" s="7">
        <f t="shared" si="52"/>
        <v>0.13864306784660765</v>
      </c>
      <c r="I668" s="5" t="str">
        <f t="shared" si="53"/>
        <v>крайняя бедность</v>
      </c>
      <c r="J668" t="str">
        <f t="shared" si="54"/>
        <v>не нуждается в помощи</v>
      </c>
    </row>
    <row r="669" spans="1:10" x14ac:dyDescent="0.2">
      <c r="A669" s="4">
        <v>1893</v>
      </c>
      <c r="B669" t="s">
        <v>3</v>
      </c>
      <c r="C669">
        <v>100</v>
      </c>
      <c r="D669">
        <v>2</v>
      </c>
      <c r="E669" t="s">
        <v>10</v>
      </c>
      <c r="F669" s="6">
        <f t="shared" si="50"/>
        <v>50</v>
      </c>
      <c r="G669" s="7">
        <f t="shared" si="51"/>
        <v>4.4247787610619467</v>
      </c>
      <c r="H669" s="7">
        <f t="shared" si="52"/>
        <v>0.14749262536873156</v>
      </c>
      <c r="I669" s="5" t="str">
        <f t="shared" si="53"/>
        <v>крайняя бедность</v>
      </c>
      <c r="J669" t="str">
        <f t="shared" si="54"/>
        <v>нуждается в помощи</v>
      </c>
    </row>
    <row r="670" spans="1:10" x14ac:dyDescent="0.2">
      <c r="A670" s="4">
        <v>1952</v>
      </c>
      <c r="B670" t="s">
        <v>3</v>
      </c>
      <c r="C670">
        <v>100</v>
      </c>
      <c r="D670">
        <v>2</v>
      </c>
      <c r="E670" t="s">
        <v>10</v>
      </c>
      <c r="F670" s="6">
        <f t="shared" si="50"/>
        <v>50</v>
      </c>
      <c r="G670" s="7">
        <f t="shared" si="51"/>
        <v>4.4247787610619467</v>
      </c>
      <c r="H670" s="7">
        <f t="shared" si="52"/>
        <v>0.14749262536873156</v>
      </c>
      <c r="I670" s="5" t="str">
        <f t="shared" si="53"/>
        <v>крайняя бедность</v>
      </c>
      <c r="J670" t="str">
        <f t="shared" si="54"/>
        <v>нуждается в помощи</v>
      </c>
    </row>
    <row r="671" spans="1:10" x14ac:dyDescent="0.2">
      <c r="A671" s="4">
        <v>2627</v>
      </c>
      <c r="B671" t="s">
        <v>0</v>
      </c>
      <c r="C671">
        <v>1100</v>
      </c>
      <c r="D671">
        <v>2</v>
      </c>
      <c r="E671" t="s">
        <v>11</v>
      </c>
      <c r="F671" s="6">
        <f t="shared" si="50"/>
        <v>550</v>
      </c>
      <c r="G671" s="7">
        <f t="shared" si="51"/>
        <v>48.672566371681413</v>
      </c>
      <c r="H671" s="7">
        <f t="shared" si="52"/>
        <v>1.622418879056047</v>
      </c>
      <c r="I671" s="5" t="str">
        <f t="shared" si="53"/>
        <v>ниже среднего</v>
      </c>
      <c r="J671" t="str">
        <f t="shared" si="54"/>
        <v>не нуждается в помощи</v>
      </c>
    </row>
    <row r="672" spans="1:10" x14ac:dyDescent="0.2">
      <c r="A672" s="4">
        <v>1602</v>
      </c>
      <c r="B672" t="s">
        <v>5</v>
      </c>
      <c r="C672">
        <v>150</v>
      </c>
      <c r="D672">
        <v>2</v>
      </c>
      <c r="E672" t="s">
        <v>10</v>
      </c>
      <c r="F672" s="6">
        <f t="shared" si="50"/>
        <v>75</v>
      </c>
      <c r="G672" s="7">
        <f t="shared" si="51"/>
        <v>6.6371681415929196</v>
      </c>
      <c r="H672" s="7">
        <f t="shared" si="52"/>
        <v>0.22123893805309733</v>
      </c>
      <c r="I672" s="5" t="str">
        <f t="shared" si="53"/>
        <v>крайняя бедность</v>
      </c>
      <c r="J672" t="str">
        <f t="shared" si="54"/>
        <v>не нуждается в помощи</v>
      </c>
    </row>
    <row r="673" spans="1:10" x14ac:dyDescent="0.2">
      <c r="A673" s="4">
        <v>2064</v>
      </c>
      <c r="B673" t="s">
        <v>3</v>
      </c>
      <c r="C673">
        <v>150</v>
      </c>
      <c r="D673">
        <v>2</v>
      </c>
      <c r="E673" t="s">
        <v>10</v>
      </c>
      <c r="F673" s="6">
        <f t="shared" si="50"/>
        <v>75</v>
      </c>
      <c r="G673" s="7">
        <f t="shared" si="51"/>
        <v>6.6371681415929196</v>
      </c>
      <c r="H673" s="7">
        <f t="shared" si="52"/>
        <v>0.22123893805309733</v>
      </c>
      <c r="I673" s="5" t="str">
        <f t="shared" si="53"/>
        <v>крайняя бедность</v>
      </c>
      <c r="J673" t="str">
        <f t="shared" si="54"/>
        <v>не нуждается в помощи</v>
      </c>
    </row>
    <row r="674" spans="1:10" x14ac:dyDescent="0.2">
      <c r="A674" s="4">
        <v>2120</v>
      </c>
      <c r="B674" t="s">
        <v>3</v>
      </c>
      <c r="C674">
        <v>150</v>
      </c>
      <c r="D674">
        <v>2</v>
      </c>
      <c r="E674" t="s">
        <v>11</v>
      </c>
      <c r="F674" s="6">
        <f t="shared" si="50"/>
        <v>75</v>
      </c>
      <c r="G674" s="7">
        <f t="shared" si="51"/>
        <v>6.6371681415929196</v>
      </c>
      <c r="H674" s="7">
        <f t="shared" si="52"/>
        <v>0.22123893805309733</v>
      </c>
      <c r="I674" s="5" t="str">
        <f t="shared" si="53"/>
        <v>крайняя бедность</v>
      </c>
      <c r="J674" t="str">
        <f t="shared" si="54"/>
        <v>не нуждается в помощи</v>
      </c>
    </row>
    <row r="675" spans="1:10" x14ac:dyDescent="0.2">
      <c r="A675" s="4">
        <v>2333</v>
      </c>
      <c r="B675" t="s">
        <v>0</v>
      </c>
      <c r="C675">
        <v>150</v>
      </c>
      <c r="D675">
        <v>2</v>
      </c>
      <c r="E675" t="s">
        <v>11</v>
      </c>
      <c r="F675" s="6">
        <f t="shared" si="50"/>
        <v>75</v>
      </c>
      <c r="G675" s="7">
        <f t="shared" si="51"/>
        <v>6.6371681415929196</v>
      </c>
      <c r="H675" s="7">
        <f t="shared" si="52"/>
        <v>0.22123893805309733</v>
      </c>
      <c r="I675" s="5" t="str">
        <f t="shared" si="53"/>
        <v>крайняя бедность</v>
      </c>
      <c r="J675" t="str">
        <f t="shared" si="54"/>
        <v>нуждается в помощи</v>
      </c>
    </row>
    <row r="676" spans="1:10" x14ac:dyDescent="0.2">
      <c r="A676" s="4">
        <v>2417</v>
      </c>
      <c r="B676" t="s">
        <v>0</v>
      </c>
      <c r="C676">
        <v>350</v>
      </c>
      <c r="D676">
        <v>2</v>
      </c>
      <c r="E676" t="s">
        <v>11</v>
      </c>
      <c r="F676" s="6">
        <f t="shared" si="50"/>
        <v>175</v>
      </c>
      <c r="G676" s="7">
        <f t="shared" si="51"/>
        <v>15.486725663716813</v>
      </c>
      <c r="H676" s="7">
        <f t="shared" si="52"/>
        <v>0.51622418879056042</v>
      </c>
      <c r="I676" s="5" t="str">
        <f t="shared" si="53"/>
        <v>крайняя бедность</v>
      </c>
      <c r="J676" t="str">
        <f t="shared" si="54"/>
        <v>нуждается в помощи</v>
      </c>
    </row>
    <row r="677" spans="1:10" x14ac:dyDescent="0.2">
      <c r="A677" s="4">
        <v>2617</v>
      </c>
      <c r="B677" t="s">
        <v>0</v>
      </c>
      <c r="C677">
        <v>150</v>
      </c>
      <c r="D677">
        <v>2</v>
      </c>
      <c r="E677" t="s">
        <v>11</v>
      </c>
      <c r="F677" s="6">
        <f t="shared" si="50"/>
        <v>75</v>
      </c>
      <c r="G677" s="7">
        <f t="shared" si="51"/>
        <v>6.6371681415929196</v>
      </c>
      <c r="H677" s="7">
        <f t="shared" si="52"/>
        <v>0.22123893805309733</v>
      </c>
      <c r="I677" s="5" t="str">
        <f t="shared" si="53"/>
        <v>крайняя бедность</v>
      </c>
      <c r="J677" t="str">
        <f t="shared" si="54"/>
        <v>не нуждается в помощи</v>
      </c>
    </row>
    <row r="678" spans="1:10" x14ac:dyDescent="0.2">
      <c r="A678" s="4">
        <v>3141</v>
      </c>
      <c r="B678" t="s">
        <v>1</v>
      </c>
      <c r="C678">
        <v>524</v>
      </c>
      <c r="D678">
        <v>2</v>
      </c>
      <c r="E678" t="s">
        <v>10</v>
      </c>
      <c r="F678" s="6">
        <f t="shared" si="50"/>
        <v>262</v>
      </c>
      <c r="G678" s="7">
        <f t="shared" si="51"/>
        <v>23.185840707964601</v>
      </c>
      <c r="H678" s="7">
        <f t="shared" si="52"/>
        <v>0.7728613569321533</v>
      </c>
      <c r="I678" s="5" t="str">
        <f t="shared" si="53"/>
        <v>крайняя бедность</v>
      </c>
      <c r="J678" t="str">
        <f t="shared" si="54"/>
        <v>не нуждается в помощи</v>
      </c>
    </row>
    <row r="679" spans="1:10" x14ac:dyDescent="0.2">
      <c r="A679" s="4">
        <v>2227</v>
      </c>
      <c r="B679" t="s">
        <v>3</v>
      </c>
      <c r="C679">
        <v>180</v>
      </c>
      <c r="D679">
        <v>2</v>
      </c>
      <c r="E679" t="s">
        <v>10</v>
      </c>
      <c r="F679" s="6">
        <f t="shared" si="50"/>
        <v>90</v>
      </c>
      <c r="G679" s="7">
        <f t="shared" si="51"/>
        <v>7.9646017699115035</v>
      </c>
      <c r="H679" s="7">
        <f t="shared" si="52"/>
        <v>0.26548672566371678</v>
      </c>
      <c r="I679" s="5" t="str">
        <f t="shared" si="53"/>
        <v>крайняя бедность</v>
      </c>
      <c r="J679" t="str">
        <f t="shared" si="54"/>
        <v>не нуждается в помощи</v>
      </c>
    </row>
    <row r="680" spans="1:10" x14ac:dyDescent="0.2">
      <c r="A680" s="4">
        <v>6544</v>
      </c>
      <c r="B680" t="s">
        <v>3</v>
      </c>
      <c r="C680">
        <v>187</v>
      </c>
      <c r="D680">
        <v>2</v>
      </c>
      <c r="E680" t="s">
        <v>11</v>
      </c>
      <c r="F680" s="6">
        <f t="shared" si="50"/>
        <v>93.5</v>
      </c>
      <c r="G680" s="7">
        <f t="shared" si="51"/>
        <v>8.2743362831858409</v>
      </c>
      <c r="H680" s="7">
        <f t="shared" si="52"/>
        <v>0.27581120943952803</v>
      </c>
      <c r="I680" s="5" t="str">
        <f t="shared" si="53"/>
        <v>крайняя бедность</v>
      </c>
      <c r="J680" t="str">
        <f t="shared" si="54"/>
        <v>не нуждается в помощи</v>
      </c>
    </row>
    <row r="681" spans="1:10" x14ac:dyDescent="0.2">
      <c r="A681" s="4">
        <v>2779</v>
      </c>
      <c r="B681" t="s">
        <v>2</v>
      </c>
      <c r="C681">
        <v>200</v>
      </c>
      <c r="D681">
        <v>2</v>
      </c>
      <c r="E681" t="s">
        <v>11</v>
      </c>
      <c r="F681" s="6">
        <f t="shared" si="50"/>
        <v>100</v>
      </c>
      <c r="G681" s="7">
        <f t="shared" si="51"/>
        <v>8.8495575221238933</v>
      </c>
      <c r="H681" s="7">
        <f t="shared" si="52"/>
        <v>0.29498525073746312</v>
      </c>
      <c r="I681" s="5" t="str">
        <f t="shared" si="53"/>
        <v>крайняя бедность</v>
      </c>
      <c r="J681" t="str">
        <f t="shared" si="54"/>
        <v>нуждается в помощи</v>
      </c>
    </row>
    <row r="682" spans="1:10" x14ac:dyDescent="0.2">
      <c r="A682" s="4">
        <v>957</v>
      </c>
      <c r="B682" t="s">
        <v>4</v>
      </c>
      <c r="C682">
        <v>200</v>
      </c>
      <c r="D682">
        <v>2</v>
      </c>
      <c r="E682" t="s">
        <v>11</v>
      </c>
      <c r="F682" s="6">
        <f t="shared" si="50"/>
        <v>100</v>
      </c>
      <c r="G682" s="7">
        <f t="shared" si="51"/>
        <v>8.8495575221238933</v>
      </c>
      <c r="H682" s="7">
        <f t="shared" si="52"/>
        <v>0.29498525073746312</v>
      </c>
      <c r="I682" s="5" t="str">
        <f t="shared" si="53"/>
        <v>крайняя бедность</v>
      </c>
      <c r="J682" t="str">
        <f t="shared" si="54"/>
        <v>нуждается в помощи</v>
      </c>
    </row>
    <row r="683" spans="1:10" x14ac:dyDescent="0.2">
      <c r="A683" s="4">
        <v>2319</v>
      </c>
      <c r="B683" t="s">
        <v>0</v>
      </c>
      <c r="C683">
        <v>200</v>
      </c>
      <c r="D683">
        <v>2</v>
      </c>
      <c r="E683" t="s">
        <v>11</v>
      </c>
      <c r="F683" s="6">
        <f t="shared" si="50"/>
        <v>100</v>
      </c>
      <c r="G683" s="7">
        <f t="shared" si="51"/>
        <v>8.8495575221238933</v>
      </c>
      <c r="H683" s="7">
        <f t="shared" si="52"/>
        <v>0.29498525073746312</v>
      </c>
      <c r="I683" s="5" t="str">
        <f t="shared" si="53"/>
        <v>крайняя бедность</v>
      </c>
      <c r="J683" t="str">
        <f t="shared" si="54"/>
        <v>нуждается в помощи</v>
      </c>
    </row>
    <row r="684" spans="1:10" x14ac:dyDescent="0.2">
      <c r="A684" s="4">
        <v>2553</v>
      </c>
      <c r="B684" t="s">
        <v>0</v>
      </c>
      <c r="C684">
        <v>200</v>
      </c>
      <c r="D684">
        <v>2</v>
      </c>
      <c r="E684" t="s">
        <v>10</v>
      </c>
      <c r="F684" s="6">
        <f t="shared" si="50"/>
        <v>100</v>
      </c>
      <c r="G684" s="7">
        <f t="shared" si="51"/>
        <v>8.8495575221238933</v>
      </c>
      <c r="H684" s="7">
        <f t="shared" si="52"/>
        <v>0.29498525073746312</v>
      </c>
      <c r="I684" s="5" t="str">
        <f t="shared" si="53"/>
        <v>крайняя бедность</v>
      </c>
      <c r="J684" t="str">
        <f t="shared" si="54"/>
        <v>нуждается в помощи</v>
      </c>
    </row>
    <row r="685" spans="1:10" x14ac:dyDescent="0.2">
      <c r="A685" s="4">
        <v>2756</v>
      </c>
      <c r="B685" t="s">
        <v>2</v>
      </c>
      <c r="C685">
        <v>200</v>
      </c>
      <c r="D685">
        <v>2</v>
      </c>
      <c r="E685" t="s">
        <v>10</v>
      </c>
      <c r="F685" s="6">
        <f t="shared" si="50"/>
        <v>100</v>
      </c>
      <c r="G685" s="7">
        <f t="shared" si="51"/>
        <v>8.8495575221238933</v>
      </c>
      <c r="H685" s="7">
        <f t="shared" si="52"/>
        <v>0.29498525073746312</v>
      </c>
      <c r="I685" s="5" t="str">
        <f t="shared" si="53"/>
        <v>крайняя бедность</v>
      </c>
      <c r="J685" t="str">
        <f t="shared" si="54"/>
        <v>не нуждается в помощи</v>
      </c>
    </row>
    <row r="686" spans="1:10" x14ac:dyDescent="0.2">
      <c r="A686" s="4">
        <v>3085</v>
      </c>
      <c r="B686" t="s">
        <v>1</v>
      </c>
      <c r="C686">
        <v>600</v>
      </c>
      <c r="D686">
        <v>2</v>
      </c>
      <c r="E686" t="s">
        <v>11</v>
      </c>
      <c r="F686" s="6">
        <f t="shared" si="50"/>
        <v>300</v>
      </c>
      <c r="G686" s="7">
        <f t="shared" si="51"/>
        <v>26.548672566371678</v>
      </c>
      <c r="H686" s="7">
        <f t="shared" si="52"/>
        <v>0.88495575221238931</v>
      </c>
      <c r="I686" s="5" t="str">
        <f t="shared" si="53"/>
        <v>крайняя бедность</v>
      </c>
      <c r="J686" t="str">
        <f t="shared" si="54"/>
        <v>не нуждается в помощи</v>
      </c>
    </row>
    <row r="687" spans="1:10" x14ac:dyDescent="0.2">
      <c r="A687" s="4">
        <v>6286</v>
      </c>
      <c r="B687" t="s">
        <v>1</v>
      </c>
      <c r="C687">
        <v>208</v>
      </c>
      <c r="D687">
        <v>2</v>
      </c>
      <c r="E687" t="s">
        <v>11</v>
      </c>
      <c r="F687" s="6">
        <f t="shared" si="50"/>
        <v>104</v>
      </c>
      <c r="G687" s="7">
        <f t="shared" si="51"/>
        <v>9.2035398230088497</v>
      </c>
      <c r="H687" s="7">
        <f t="shared" si="52"/>
        <v>0.30678466076696165</v>
      </c>
      <c r="I687" s="5" t="str">
        <f t="shared" si="53"/>
        <v>крайняя бедность</v>
      </c>
      <c r="J687" t="str">
        <f t="shared" si="54"/>
        <v>не нуждается в помощи</v>
      </c>
    </row>
    <row r="688" spans="1:10" x14ac:dyDescent="0.2">
      <c r="A688" s="4">
        <v>2984</v>
      </c>
      <c r="B688" t="s">
        <v>1</v>
      </c>
      <c r="C688">
        <v>730</v>
      </c>
      <c r="D688">
        <v>2</v>
      </c>
      <c r="E688" t="s">
        <v>10</v>
      </c>
      <c r="F688" s="6">
        <f t="shared" si="50"/>
        <v>365</v>
      </c>
      <c r="G688" s="7">
        <f t="shared" si="51"/>
        <v>32.30088495575221</v>
      </c>
      <c r="H688" s="7">
        <f t="shared" si="52"/>
        <v>1.0766961651917404</v>
      </c>
      <c r="I688" s="5" t="str">
        <f t="shared" si="53"/>
        <v>бедность</v>
      </c>
      <c r="J688" t="str">
        <f t="shared" si="54"/>
        <v>не нуждается в помощи</v>
      </c>
    </row>
    <row r="689" spans="1:10" x14ac:dyDescent="0.2">
      <c r="A689" s="4">
        <v>3213</v>
      </c>
      <c r="B689" t="s">
        <v>1</v>
      </c>
      <c r="C689">
        <v>1250</v>
      </c>
      <c r="D689">
        <v>2</v>
      </c>
      <c r="E689" t="s">
        <v>11</v>
      </c>
      <c r="F689" s="6">
        <f t="shared" si="50"/>
        <v>625</v>
      </c>
      <c r="G689" s="7">
        <f t="shared" si="51"/>
        <v>55.309734513274336</v>
      </c>
      <c r="H689" s="7">
        <f t="shared" si="52"/>
        <v>1.8436578171091442</v>
      </c>
      <c r="I689" s="5" t="str">
        <f t="shared" si="53"/>
        <v>ниже среднего</v>
      </c>
      <c r="J689" t="str">
        <f t="shared" si="54"/>
        <v>не нуждается в помощи</v>
      </c>
    </row>
    <row r="690" spans="1:10" x14ac:dyDescent="0.2">
      <c r="A690" s="4">
        <v>1945</v>
      </c>
      <c r="B690" t="s">
        <v>3</v>
      </c>
      <c r="C690">
        <v>300</v>
      </c>
      <c r="D690">
        <v>2</v>
      </c>
      <c r="E690" t="s">
        <v>10</v>
      </c>
      <c r="F690" s="6">
        <f t="shared" si="50"/>
        <v>150</v>
      </c>
      <c r="G690" s="7">
        <f t="shared" si="51"/>
        <v>13.274336283185839</v>
      </c>
      <c r="H690" s="7">
        <f t="shared" si="52"/>
        <v>0.44247787610619466</v>
      </c>
      <c r="I690" s="5" t="str">
        <f t="shared" si="53"/>
        <v>крайняя бедность</v>
      </c>
      <c r="J690" t="str">
        <f t="shared" si="54"/>
        <v>не нуждается в помощи</v>
      </c>
    </row>
    <row r="691" spans="1:10" x14ac:dyDescent="0.2">
      <c r="A691" s="4">
        <v>908</v>
      </c>
      <c r="B691" t="s">
        <v>4</v>
      </c>
      <c r="C691">
        <v>300</v>
      </c>
      <c r="D691">
        <v>2</v>
      </c>
      <c r="E691" t="s">
        <v>10</v>
      </c>
      <c r="F691" s="6">
        <f t="shared" si="50"/>
        <v>150</v>
      </c>
      <c r="G691" s="7">
        <f t="shared" si="51"/>
        <v>13.274336283185839</v>
      </c>
      <c r="H691" s="7">
        <f t="shared" si="52"/>
        <v>0.44247787610619466</v>
      </c>
      <c r="I691" s="5" t="str">
        <f t="shared" si="53"/>
        <v>крайняя бедность</v>
      </c>
      <c r="J691" t="str">
        <f t="shared" si="54"/>
        <v>не нуждается в помощи</v>
      </c>
    </row>
    <row r="692" spans="1:10" x14ac:dyDescent="0.2">
      <c r="A692" s="4">
        <v>2007</v>
      </c>
      <c r="B692" t="s">
        <v>3</v>
      </c>
      <c r="C692">
        <v>600</v>
      </c>
      <c r="D692">
        <v>2</v>
      </c>
      <c r="E692" t="s">
        <v>10</v>
      </c>
      <c r="F692" s="6">
        <f t="shared" si="50"/>
        <v>300</v>
      </c>
      <c r="G692" s="7">
        <f t="shared" si="51"/>
        <v>26.548672566371678</v>
      </c>
      <c r="H692" s="7">
        <f t="shared" si="52"/>
        <v>0.88495575221238931</v>
      </c>
      <c r="I692" s="5" t="str">
        <f t="shared" si="53"/>
        <v>крайняя бедность</v>
      </c>
      <c r="J692" t="str">
        <f t="shared" si="54"/>
        <v>нуждается в помощи</v>
      </c>
    </row>
    <row r="693" spans="1:10" x14ac:dyDescent="0.2">
      <c r="A693" s="4">
        <v>2568</v>
      </c>
      <c r="B693" t="s">
        <v>0</v>
      </c>
      <c r="C693">
        <v>300</v>
      </c>
      <c r="D693">
        <v>2</v>
      </c>
      <c r="E693" t="s">
        <v>10</v>
      </c>
      <c r="F693" s="6">
        <f t="shared" si="50"/>
        <v>150</v>
      </c>
      <c r="G693" s="7">
        <f t="shared" si="51"/>
        <v>13.274336283185839</v>
      </c>
      <c r="H693" s="7">
        <f t="shared" si="52"/>
        <v>0.44247787610619466</v>
      </c>
      <c r="I693" s="5" t="str">
        <f t="shared" si="53"/>
        <v>крайняя бедность</v>
      </c>
      <c r="J693" t="str">
        <f t="shared" si="54"/>
        <v>не нуждается в помощи</v>
      </c>
    </row>
    <row r="694" spans="1:10" x14ac:dyDescent="0.2">
      <c r="A694" s="4">
        <v>2603</v>
      </c>
      <c r="B694" t="s">
        <v>0</v>
      </c>
      <c r="C694">
        <v>300</v>
      </c>
      <c r="D694">
        <v>2</v>
      </c>
      <c r="E694" t="s">
        <v>11</v>
      </c>
      <c r="F694" s="6">
        <f t="shared" si="50"/>
        <v>150</v>
      </c>
      <c r="G694" s="7">
        <f t="shared" si="51"/>
        <v>13.274336283185839</v>
      </c>
      <c r="H694" s="7">
        <f t="shared" si="52"/>
        <v>0.44247787610619466</v>
      </c>
      <c r="I694" s="5" t="str">
        <f t="shared" si="53"/>
        <v>крайняя бедность</v>
      </c>
      <c r="J694" t="str">
        <f t="shared" si="54"/>
        <v>не нуждается в помощи</v>
      </c>
    </row>
    <row r="695" spans="1:10" x14ac:dyDescent="0.2">
      <c r="A695" s="4">
        <v>2805</v>
      </c>
      <c r="B695" t="s">
        <v>2</v>
      </c>
      <c r="C695">
        <v>1300</v>
      </c>
      <c r="D695">
        <v>2</v>
      </c>
      <c r="E695" t="s">
        <v>11</v>
      </c>
      <c r="F695" s="6">
        <f t="shared" si="50"/>
        <v>650</v>
      </c>
      <c r="G695" s="7">
        <f t="shared" si="51"/>
        <v>57.522123893805308</v>
      </c>
      <c r="H695" s="7">
        <f t="shared" si="52"/>
        <v>1.9174041297935103</v>
      </c>
      <c r="I695" s="5" t="str">
        <f t="shared" si="53"/>
        <v>ниже среднего</v>
      </c>
      <c r="J695" t="str">
        <f t="shared" si="54"/>
        <v>не нуждается в помощи</v>
      </c>
    </row>
    <row r="696" spans="1:10" x14ac:dyDescent="0.2">
      <c r="A696" s="4">
        <v>3190</v>
      </c>
      <c r="B696" t="s">
        <v>1</v>
      </c>
      <c r="C696">
        <v>900</v>
      </c>
      <c r="D696">
        <v>2</v>
      </c>
      <c r="E696" t="s">
        <v>11</v>
      </c>
      <c r="F696" s="6">
        <f t="shared" si="50"/>
        <v>450</v>
      </c>
      <c r="G696" s="7">
        <f t="shared" si="51"/>
        <v>39.823008849557517</v>
      </c>
      <c r="H696" s="7">
        <f t="shared" si="52"/>
        <v>1.3274336283185839</v>
      </c>
      <c r="I696" s="5" t="str">
        <f t="shared" si="53"/>
        <v>бедность</v>
      </c>
      <c r="J696" t="str">
        <f t="shared" si="54"/>
        <v>не нуждается в помощи</v>
      </c>
    </row>
    <row r="697" spans="1:10" x14ac:dyDescent="0.2">
      <c r="A697" s="4">
        <v>3187</v>
      </c>
      <c r="B697" t="s">
        <v>1</v>
      </c>
      <c r="C697">
        <v>315</v>
      </c>
      <c r="D697">
        <v>2</v>
      </c>
      <c r="E697" t="s">
        <v>11</v>
      </c>
      <c r="F697" s="6">
        <f t="shared" si="50"/>
        <v>157.5</v>
      </c>
      <c r="G697" s="7">
        <f t="shared" si="51"/>
        <v>13.938053097345131</v>
      </c>
      <c r="H697" s="7">
        <f t="shared" si="52"/>
        <v>0.46460176991150437</v>
      </c>
      <c r="I697" s="5" t="str">
        <f t="shared" si="53"/>
        <v>крайняя бедность</v>
      </c>
      <c r="J697" t="str">
        <f t="shared" si="54"/>
        <v>не нуждается в помощи</v>
      </c>
    </row>
    <row r="698" spans="1:10" x14ac:dyDescent="0.2">
      <c r="A698" s="4">
        <v>543</v>
      </c>
      <c r="B698" t="s">
        <v>4</v>
      </c>
      <c r="C698">
        <v>680</v>
      </c>
      <c r="D698">
        <v>2</v>
      </c>
      <c r="E698" t="s">
        <v>11</v>
      </c>
      <c r="F698" s="6">
        <f t="shared" si="50"/>
        <v>340</v>
      </c>
      <c r="G698" s="7">
        <f t="shared" si="51"/>
        <v>30.088495575221238</v>
      </c>
      <c r="H698" s="7">
        <f t="shared" si="52"/>
        <v>1.0029498525073746</v>
      </c>
      <c r="I698" s="5" t="str">
        <f t="shared" si="53"/>
        <v>бедность</v>
      </c>
      <c r="J698" t="str">
        <f t="shared" si="54"/>
        <v>нуждается в помощи</v>
      </c>
    </row>
    <row r="699" spans="1:10" x14ac:dyDescent="0.2">
      <c r="A699" s="4">
        <v>6221</v>
      </c>
      <c r="B699" t="s">
        <v>1</v>
      </c>
      <c r="C699">
        <v>320</v>
      </c>
      <c r="D699">
        <v>2</v>
      </c>
      <c r="E699" t="s">
        <v>11</v>
      </c>
      <c r="F699" s="6">
        <f t="shared" si="50"/>
        <v>160</v>
      </c>
      <c r="G699" s="7">
        <f t="shared" si="51"/>
        <v>14.159292035398229</v>
      </c>
      <c r="H699" s="7">
        <f t="shared" si="52"/>
        <v>0.47197640117994094</v>
      </c>
      <c r="I699" s="5" t="str">
        <f t="shared" si="53"/>
        <v>крайняя бедность</v>
      </c>
      <c r="J699" t="str">
        <f t="shared" si="54"/>
        <v>не нуждается в помощи</v>
      </c>
    </row>
    <row r="700" spans="1:10" x14ac:dyDescent="0.2">
      <c r="A700" s="4">
        <v>6264</v>
      </c>
      <c r="B700" t="s">
        <v>1</v>
      </c>
      <c r="C700">
        <v>345</v>
      </c>
      <c r="D700">
        <v>2</v>
      </c>
      <c r="E700" t="s">
        <v>11</v>
      </c>
      <c r="F700" s="6">
        <f t="shared" si="50"/>
        <v>172.5</v>
      </c>
      <c r="G700" s="7">
        <f t="shared" si="51"/>
        <v>15.265486725663715</v>
      </c>
      <c r="H700" s="7">
        <f t="shared" si="52"/>
        <v>0.50884955752212391</v>
      </c>
      <c r="I700" s="5" t="str">
        <f t="shared" si="53"/>
        <v>крайняя бедность</v>
      </c>
      <c r="J700" t="str">
        <f t="shared" si="54"/>
        <v>не нуждается в помощи</v>
      </c>
    </row>
    <row r="701" spans="1:10" x14ac:dyDescent="0.2">
      <c r="A701" s="4">
        <v>2536</v>
      </c>
      <c r="B701" t="s">
        <v>0</v>
      </c>
      <c r="C701">
        <v>350</v>
      </c>
      <c r="D701">
        <v>2</v>
      </c>
      <c r="E701" t="s">
        <v>10</v>
      </c>
      <c r="F701" s="6">
        <f t="shared" si="50"/>
        <v>175</v>
      </c>
      <c r="G701" s="7">
        <f t="shared" si="51"/>
        <v>15.486725663716813</v>
      </c>
      <c r="H701" s="7">
        <f t="shared" si="52"/>
        <v>0.51622418879056042</v>
      </c>
      <c r="I701" s="5" t="str">
        <f t="shared" si="53"/>
        <v>крайняя бедность</v>
      </c>
      <c r="J701" t="str">
        <f t="shared" si="54"/>
        <v>не нуждается в помощи</v>
      </c>
    </row>
    <row r="702" spans="1:10" x14ac:dyDescent="0.2">
      <c r="A702" s="4">
        <v>3266</v>
      </c>
      <c r="B702" t="s">
        <v>1</v>
      </c>
      <c r="C702">
        <v>600</v>
      </c>
      <c r="D702">
        <v>2</v>
      </c>
      <c r="E702" t="s">
        <v>11</v>
      </c>
      <c r="F702" s="6">
        <f t="shared" si="50"/>
        <v>300</v>
      </c>
      <c r="G702" s="7">
        <f t="shared" si="51"/>
        <v>26.548672566371678</v>
      </c>
      <c r="H702" s="7">
        <f t="shared" si="52"/>
        <v>0.88495575221238931</v>
      </c>
      <c r="I702" s="5" t="str">
        <f t="shared" si="53"/>
        <v>крайняя бедность</v>
      </c>
      <c r="J702" t="str">
        <f t="shared" si="54"/>
        <v>не нуждается в помощи</v>
      </c>
    </row>
    <row r="703" spans="1:10" x14ac:dyDescent="0.2">
      <c r="A703" s="4">
        <v>1741</v>
      </c>
      <c r="B703" t="s">
        <v>3</v>
      </c>
      <c r="C703">
        <v>1450</v>
      </c>
      <c r="D703">
        <v>2</v>
      </c>
      <c r="E703" t="s">
        <v>10</v>
      </c>
      <c r="F703" s="6">
        <f t="shared" si="50"/>
        <v>725</v>
      </c>
      <c r="G703" s="7">
        <f t="shared" si="51"/>
        <v>64.159292035398224</v>
      </c>
      <c r="H703" s="7">
        <f t="shared" si="52"/>
        <v>2.1386430678466075</v>
      </c>
      <c r="I703" s="5" t="str">
        <f t="shared" si="53"/>
        <v>ниже среднего</v>
      </c>
      <c r="J703" t="str">
        <f t="shared" si="54"/>
        <v>нуждается в помощи</v>
      </c>
    </row>
    <row r="704" spans="1:10" x14ac:dyDescent="0.2">
      <c r="A704" s="4">
        <v>2625</v>
      </c>
      <c r="B704" t="s">
        <v>0</v>
      </c>
      <c r="C704">
        <v>810</v>
      </c>
      <c r="D704">
        <v>2</v>
      </c>
      <c r="E704" t="s">
        <v>11</v>
      </c>
      <c r="F704" s="6">
        <f t="shared" si="50"/>
        <v>405</v>
      </c>
      <c r="G704" s="7">
        <f t="shared" si="51"/>
        <v>35.840707964601769</v>
      </c>
      <c r="H704" s="7">
        <f t="shared" si="52"/>
        <v>1.1946902654867255</v>
      </c>
      <c r="I704" s="5" t="str">
        <f t="shared" si="53"/>
        <v>бедность</v>
      </c>
      <c r="J704" t="str">
        <f t="shared" si="54"/>
        <v>не нуждается в помощи</v>
      </c>
    </row>
    <row r="705" spans="1:10" x14ac:dyDescent="0.2">
      <c r="A705" s="4">
        <v>6665</v>
      </c>
      <c r="B705" t="s">
        <v>3</v>
      </c>
      <c r="C705">
        <v>1190</v>
      </c>
      <c r="D705">
        <v>2</v>
      </c>
      <c r="E705" t="s">
        <v>10</v>
      </c>
      <c r="F705" s="6">
        <f t="shared" si="50"/>
        <v>595</v>
      </c>
      <c r="G705" s="7">
        <f t="shared" si="51"/>
        <v>52.654867256637168</v>
      </c>
      <c r="H705" s="7">
        <f t="shared" si="52"/>
        <v>1.7551622418879054</v>
      </c>
      <c r="I705" s="5" t="str">
        <f t="shared" si="53"/>
        <v>ниже среднего</v>
      </c>
      <c r="J705" t="str">
        <f t="shared" si="54"/>
        <v>не нуждается в помощи</v>
      </c>
    </row>
    <row r="706" spans="1:10" x14ac:dyDescent="0.2">
      <c r="A706" s="4">
        <v>1970</v>
      </c>
      <c r="B706" t="s">
        <v>3</v>
      </c>
      <c r="C706">
        <v>860</v>
      </c>
      <c r="D706">
        <v>2</v>
      </c>
      <c r="E706" t="s">
        <v>10</v>
      </c>
      <c r="F706" s="6">
        <f t="shared" ref="F706:F769" si="55">C706/D706</f>
        <v>430</v>
      </c>
      <c r="G706" s="7">
        <f t="shared" ref="G706:G769" si="56">(C706/D706)/rate</f>
        <v>38.053097345132741</v>
      </c>
      <c r="H706" s="7">
        <f t="shared" ref="H706:H769" si="57">((C706/D706)/30)/rate</f>
        <v>1.2684365781710913</v>
      </c>
      <c r="I706" s="5" t="str">
        <f t="shared" ref="I706:I769" si="58">IF(H706&lt;0.89, "крайняя бедность", IF(AND(H706&gt;0.89, H706&lt;1.33), "бедность", IF(AND(H706&gt;1.33,H706&lt;2.5),"ниже среднего", IF(AND(H706&gt;2.5,H706&lt;4), "средний", IF(H706&gt;4,"в достатке",0)))))</f>
        <v>бедность</v>
      </c>
      <c r="J706" t="str">
        <f t="shared" si="54"/>
        <v>не нуждается в помощи</v>
      </c>
    </row>
    <row r="707" spans="1:10" x14ac:dyDescent="0.2">
      <c r="A707" s="4">
        <v>1633</v>
      </c>
      <c r="B707" t="s">
        <v>5</v>
      </c>
      <c r="C707">
        <v>370</v>
      </c>
      <c r="D707">
        <v>2</v>
      </c>
      <c r="E707" t="s">
        <v>10</v>
      </c>
      <c r="F707" s="6">
        <f t="shared" si="55"/>
        <v>185</v>
      </c>
      <c r="G707" s="7">
        <f t="shared" si="56"/>
        <v>16.371681415929203</v>
      </c>
      <c r="H707" s="7">
        <f t="shared" si="57"/>
        <v>0.54572271386430682</v>
      </c>
      <c r="I707" s="5" t="str">
        <f t="shared" si="58"/>
        <v>крайняя бедность</v>
      </c>
      <c r="J707" t="str">
        <f t="shared" ref="J707:J770" si="59">IF(AND(I716="крайняя бедность",E716="Нет"), "нуждается в помощи", "не нуждается в помощи")</f>
        <v>не нуждается в помощи</v>
      </c>
    </row>
    <row r="708" spans="1:10" x14ac:dyDescent="0.2">
      <c r="A708" s="4">
        <v>1642</v>
      </c>
      <c r="B708" t="s">
        <v>5</v>
      </c>
      <c r="C708">
        <v>768</v>
      </c>
      <c r="D708">
        <v>2</v>
      </c>
      <c r="E708" t="s">
        <v>11</v>
      </c>
      <c r="F708" s="6">
        <f t="shared" si="55"/>
        <v>384</v>
      </c>
      <c r="G708" s="7">
        <f t="shared" si="56"/>
        <v>33.982300884955748</v>
      </c>
      <c r="H708" s="7">
        <f t="shared" si="57"/>
        <v>1.1327433628318584</v>
      </c>
      <c r="I708" s="5" t="str">
        <f t="shared" si="58"/>
        <v>бедность</v>
      </c>
      <c r="J708" t="str">
        <f t="shared" si="59"/>
        <v>нуждается в помощи</v>
      </c>
    </row>
    <row r="709" spans="1:10" x14ac:dyDescent="0.2">
      <c r="A709" s="4">
        <v>2268</v>
      </c>
      <c r="B709" t="s">
        <v>3</v>
      </c>
      <c r="C709">
        <v>700</v>
      </c>
      <c r="D709">
        <v>2</v>
      </c>
      <c r="E709" t="s">
        <v>10</v>
      </c>
      <c r="F709" s="6">
        <f t="shared" si="55"/>
        <v>350</v>
      </c>
      <c r="G709" s="7">
        <f t="shared" si="56"/>
        <v>30.973451327433626</v>
      </c>
      <c r="H709" s="7">
        <f t="shared" si="57"/>
        <v>1.0324483775811208</v>
      </c>
      <c r="I709" s="5" t="str">
        <f t="shared" si="58"/>
        <v>бедность</v>
      </c>
      <c r="J709" t="str">
        <f t="shared" si="59"/>
        <v>не нуждается в помощи</v>
      </c>
    </row>
    <row r="710" spans="1:10" x14ac:dyDescent="0.2">
      <c r="A710" s="4">
        <v>2030</v>
      </c>
      <c r="B710" t="s">
        <v>3</v>
      </c>
      <c r="C710">
        <v>400</v>
      </c>
      <c r="D710">
        <v>2</v>
      </c>
      <c r="E710" t="s">
        <v>11</v>
      </c>
      <c r="F710" s="6">
        <f t="shared" si="55"/>
        <v>200</v>
      </c>
      <c r="G710" s="7">
        <f t="shared" si="56"/>
        <v>17.699115044247787</v>
      </c>
      <c r="H710" s="7">
        <f t="shared" si="57"/>
        <v>0.58997050147492625</v>
      </c>
      <c r="I710" s="5" t="str">
        <f t="shared" si="58"/>
        <v>крайняя бедность</v>
      </c>
      <c r="J710" t="str">
        <f t="shared" si="59"/>
        <v>не нуждается в помощи</v>
      </c>
    </row>
    <row r="711" spans="1:10" x14ac:dyDescent="0.2">
      <c r="A711" s="4">
        <v>2762</v>
      </c>
      <c r="B711" t="s">
        <v>2</v>
      </c>
      <c r="C711">
        <v>400</v>
      </c>
      <c r="D711">
        <v>2</v>
      </c>
      <c r="E711" t="s">
        <v>11</v>
      </c>
      <c r="F711" s="6">
        <f t="shared" si="55"/>
        <v>200</v>
      </c>
      <c r="G711" s="7">
        <f t="shared" si="56"/>
        <v>17.699115044247787</v>
      </c>
      <c r="H711" s="7">
        <f t="shared" si="57"/>
        <v>0.58997050147492625</v>
      </c>
      <c r="I711" s="5" t="str">
        <f t="shared" si="58"/>
        <v>крайняя бедность</v>
      </c>
      <c r="J711" t="str">
        <f t="shared" si="59"/>
        <v>не нуждается в помощи</v>
      </c>
    </row>
    <row r="712" spans="1:10" x14ac:dyDescent="0.2">
      <c r="A712" s="4">
        <v>1775</v>
      </c>
      <c r="B712" t="s">
        <v>3</v>
      </c>
      <c r="C712">
        <v>400</v>
      </c>
      <c r="D712">
        <v>2</v>
      </c>
      <c r="E712" t="s">
        <v>10</v>
      </c>
      <c r="F712" s="6">
        <f t="shared" si="55"/>
        <v>200</v>
      </c>
      <c r="G712" s="7">
        <f t="shared" si="56"/>
        <v>17.699115044247787</v>
      </c>
      <c r="H712" s="7">
        <f t="shared" si="57"/>
        <v>0.58997050147492625</v>
      </c>
      <c r="I712" s="5" t="str">
        <f t="shared" si="58"/>
        <v>крайняя бедность</v>
      </c>
      <c r="J712" t="str">
        <f t="shared" si="59"/>
        <v>не нуждается в помощи</v>
      </c>
    </row>
    <row r="713" spans="1:10" x14ac:dyDescent="0.2">
      <c r="A713" s="4">
        <v>1774</v>
      </c>
      <c r="B713" t="s">
        <v>3</v>
      </c>
      <c r="C713">
        <v>800</v>
      </c>
      <c r="D713">
        <v>2</v>
      </c>
      <c r="E713" t="s">
        <v>11</v>
      </c>
      <c r="F713" s="6">
        <f t="shared" si="55"/>
        <v>400</v>
      </c>
      <c r="G713" s="7">
        <f t="shared" si="56"/>
        <v>35.398230088495573</v>
      </c>
      <c r="H713" s="7">
        <f t="shared" si="57"/>
        <v>1.1799410029498525</v>
      </c>
      <c r="I713" s="5" t="str">
        <f t="shared" si="58"/>
        <v>бедность</v>
      </c>
      <c r="J713" t="str">
        <f t="shared" si="59"/>
        <v>не нуждается в помощи</v>
      </c>
    </row>
    <row r="714" spans="1:10" x14ac:dyDescent="0.2">
      <c r="A714" s="4">
        <v>1629</v>
      </c>
      <c r="B714" t="s">
        <v>5</v>
      </c>
      <c r="C714">
        <v>400</v>
      </c>
      <c r="D714">
        <v>2</v>
      </c>
      <c r="E714" t="s">
        <v>11</v>
      </c>
      <c r="F714" s="6">
        <f t="shared" si="55"/>
        <v>200</v>
      </c>
      <c r="G714" s="7">
        <f t="shared" si="56"/>
        <v>17.699115044247787</v>
      </c>
      <c r="H714" s="7">
        <f t="shared" si="57"/>
        <v>0.58997050147492625</v>
      </c>
      <c r="I714" s="5" t="str">
        <f t="shared" si="58"/>
        <v>крайняя бедность</v>
      </c>
      <c r="J714" t="str">
        <f t="shared" si="59"/>
        <v>не нуждается в помощи</v>
      </c>
    </row>
    <row r="715" spans="1:10" x14ac:dyDescent="0.2">
      <c r="A715" s="4">
        <v>1673</v>
      </c>
      <c r="B715" t="s">
        <v>5</v>
      </c>
      <c r="C715">
        <v>400</v>
      </c>
      <c r="D715">
        <v>2</v>
      </c>
      <c r="E715" t="s">
        <v>11</v>
      </c>
      <c r="F715" s="6">
        <f t="shared" si="55"/>
        <v>200</v>
      </c>
      <c r="G715" s="7">
        <f t="shared" si="56"/>
        <v>17.699115044247787</v>
      </c>
      <c r="H715" s="7">
        <f t="shared" si="57"/>
        <v>0.58997050147492625</v>
      </c>
      <c r="I715" s="5" t="str">
        <f t="shared" si="58"/>
        <v>крайняя бедность</v>
      </c>
      <c r="J715" t="str">
        <f t="shared" si="59"/>
        <v>не нуждается в помощи</v>
      </c>
    </row>
    <row r="716" spans="1:10" x14ac:dyDescent="0.2">
      <c r="A716" s="4">
        <v>1899</v>
      </c>
      <c r="B716" t="s">
        <v>3</v>
      </c>
      <c r="C716">
        <v>1400</v>
      </c>
      <c r="D716">
        <v>2</v>
      </c>
      <c r="E716" t="s">
        <v>11</v>
      </c>
      <c r="F716" s="6">
        <f t="shared" si="55"/>
        <v>700</v>
      </c>
      <c r="G716" s="7">
        <f t="shared" si="56"/>
        <v>61.946902654867252</v>
      </c>
      <c r="H716" s="7">
        <f t="shared" si="57"/>
        <v>2.0648967551622417</v>
      </c>
      <c r="I716" s="5" t="str">
        <f t="shared" si="58"/>
        <v>ниже среднего</v>
      </c>
      <c r="J716" t="str">
        <f t="shared" si="59"/>
        <v>не нуждается в помощи</v>
      </c>
    </row>
    <row r="717" spans="1:10" x14ac:dyDescent="0.2">
      <c r="A717" s="4">
        <v>2084</v>
      </c>
      <c r="B717" t="s">
        <v>3</v>
      </c>
      <c r="C717">
        <v>400</v>
      </c>
      <c r="D717">
        <v>2</v>
      </c>
      <c r="E717" t="s">
        <v>10</v>
      </c>
      <c r="F717" s="6">
        <f t="shared" si="55"/>
        <v>200</v>
      </c>
      <c r="G717" s="7">
        <f t="shared" si="56"/>
        <v>17.699115044247787</v>
      </c>
      <c r="H717" s="7">
        <f t="shared" si="57"/>
        <v>0.58997050147492625</v>
      </c>
      <c r="I717" s="5" t="str">
        <f t="shared" si="58"/>
        <v>крайняя бедность</v>
      </c>
      <c r="J717" t="str">
        <f t="shared" si="59"/>
        <v>нуждается в помощи</v>
      </c>
    </row>
    <row r="718" spans="1:10" x14ac:dyDescent="0.2">
      <c r="A718" s="4">
        <v>2310</v>
      </c>
      <c r="B718" t="s">
        <v>0</v>
      </c>
      <c r="C718">
        <v>400</v>
      </c>
      <c r="D718">
        <v>2</v>
      </c>
      <c r="E718" t="s">
        <v>11</v>
      </c>
      <c r="F718" s="6">
        <f t="shared" si="55"/>
        <v>200</v>
      </c>
      <c r="G718" s="7">
        <f t="shared" si="56"/>
        <v>17.699115044247787</v>
      </c>
      <c r="H718" s="7">
        <f t="shared" si="57"/>
        <v>0.58997050147492625</v>
      </c>
      <c r="I718" s="5" t="str">
        <f t="shared" si="58"/>
        <v>крайняя бедность</v>
      </c>
      <c r="J718" t="str">
        <f t="shared" si="59"/>
        <v>нуждается в помощи</v>
      </c>
    </row>
    <row r="719" spans="1:10" x14ac:dyDescent="0.2">
      <c r="A719" s="4">
        <v>2316</v>
      </c>
      <c r="B719" t="s">
        <v>0</v>
      </c>
      <c r="C719">
        <v>400</v>
      </c>
      <c r="D719">
        <v>2</v>
      </c>
      <c r="E719" t="s">
        <v>11</v>
      </c>
      <c r="F719" s="6">
        <f t="shared" si="55"/>
        <v>200</v>
      </c>
      <c r="G719" s="7">
        <f t="shared" si="56"/>
        <v>17.699115044247787</v>
      </c>
      <c r="H719" s="7">
        <f t="shared" si="57"/>
        <v>0.58997050147492625</v>
      </c>
      <c r="I719" s="5" t="str">
        <f t="shared" si="58"/>
        <v>крайняя бедность</v>
      </c>
      <c r="J719" t="str">
        <f t="shared" si="59"/>
        <v>не нуждается в помощи</v>
      </c>
    </row>
    <row r="720" spans="1:10" x14ac:dyDescent="0.2">
      <c r="A720" s="4">
        <v>2409</v>
      </c>
      <c r="B720" t="s">
        <v>0</v>
      </c>
      <c r="C720">
        <v>1100</v>
      </c>
      <c r="D720">
        <v>2</v>
      </c>
      <c r="E720" t="s">
        <v>11</v>
      </c>
      <c r="F720" s="6">
        <f t="shared" si="55"/>
        <v>550</v>
      </c>
      <c r="G720" s="7">
        <f t="shared" si="56"/>
        <v>48.672566371681413</v>
      </c>
      <c r="H720" s="7">
        <f t="shared" si="57"/>
        <v>1.622418879056047</v>
      </c>
      <c r="I720" s="5" t="str">
        <f t="shared" si="58"/>
        <v>ниже среднего</v>
      </c>
      <c r="J720" t="str">
        <f t="shared" si="59"/>
        <v>не нуждается в помощи</v>
      </c>
    </row>
    <row r="721" spans="1:10" x14ac:dyDescent="0.2">
      <c r="A721" s="4">
        <v>2429</v>
      </c>
      <c r="B721" t="s">
        <v>0</v>
      </c>
      <c r="C721">
        <v>2400</v>
      </c>
      <c r="D721">
        <v>2</v>
      </c>
      <c r="E721" t="s">
        <v>11</v>
      </c>
      <c r="F721" s="6">
        <f t="shared" si="55"/>
        <v>1200</v>
      </c>
      <c r="G721" s="7">
        <f t="shared" si="56"/>
        <v>106.19469026548671</v>
      </c>
      <c r="H721" s="7">
        <f t="shared" si="57"/>
        <v>3.5398230088495573</v>
      </c>
      <c r="I721" s="5" t="str">
        <f t="shared" si="58"/>
        <v>средний</v>
      </c>
      <c r="J721" t="str">
        <f t="shared" si="59"/>
        <v>нуждается в помощи</v>
      </c>
    </row>
    <row r="722" spans="1:10" x14ac:dyDescent="0.2">
      <c r="A722" s="4">
        <v>2493</v>
      </c>
      <c r="B722" t="s">
        <v>0</v>
      </c>
      <c r="C722">
        <v>415</v>
      </c>
      <c r="D722">
        <v>2</v>
      </c>
      <c r="E722" t="s">
        <v>11</v>
      </c>
      <c r="F722" s="6">
        <f t="shared" si="55"/>
        <v>207.5</v>
      </c>
      <c r="G722" s="7">
        <f t="shared" si="56"/>
        <v>18.362831858407077</v>
      </c>
      <c r="H722" s="7">
        <f t="shared" si="57"/>
        <v>0.61209439528023601</v>
      </c>
      <c r="I722" s="5" t="str">
        <f t="shared" si="58"/>
        <v>крайняя бедность</v>
      </c>
      <c r="J722" t="str">
        <f t="shared" si="59"/>
        <v>не нуждается в помощи</v>
      </c>
    </row>
    <row r="723" spans="1:10" x14ac:dyDescent="0.2">
      <c r="A723" s="4">
        <v>2655</v>
      </c>
      <c r="B723" t="s">
        <v>2</v>
      </c>
      <c r="C723">
        <v>1030</v>
      </c>
      <c r="D723">
        <v>2</v>
      </c>
      <c r="E723" t="s">
        <v>10</v>
      </c>
      <c r="F723" s="6">
        <f t="shared" si="55"/>
        <v>515</v>
      </c>
      <c r="G723" s="7">
        <f t="shared" si="56"/>
        <v>45.575221238938049</v>
      </c>
      <c r="H723" s="7">
        <f t="shared" si="57"/>
        <v>1.5191740412979351</v>
      </c>
      <c r="I723" s="5" t="str">
        <f t="shared" si="58"/>
        <v>ниже среднего</v>
      </c>
      <c r="J723" t="str">
        <f t="shared" si="59"/>
        <v>не нуждается в помощи</v>
      </c>
    </row>
    <row r="724" spans="1:10" x14ac:dyDescent="0.2">
      <c r="A724" s="4">
        <v>5027</v>
      </c>
      <c r="B724" t="s">
        <v>4</v>
      </c>
      <c r="C724">
        <v>436</v>
      </c>
      <c r="D724">
        <v>2</v>
      </c>
      <c r="E724" t="s">
        <v>11</v>
      </c>
      <c r="F724" s="6">
        <f t="shared" si="55"/>
        <v>218</v>
      </c>
      <c r="G724" s="7">
        <f t="shared" si="56"/>
        <v>19.292035398230087</v>
      </c>
      <c r="H724" s="7">
        <f t="shared" si="57"/>
        <v>0.64306784660766958</v>
      </c>
      <c r="I724" s="5" t="str">
        <f t="shared" si="58"/>
        <v>крайняя бедность</v>
      </c>
      <c r="J724" t="str">
        <f t="shared" si="59"/>
        <v>не нуждается в помощи</v>
      </c>
    </row>
    <row r="725" spans="1:10" x14ac:dyDescent="0.2">
      <c r="A725" s="4">
        <v>2085</v>
      </c>
      <c r="B725" t="s">
        <v>3</v>
      </c>
      <c r="C725">
        <v>1124</v>
      </c>
      <c r="D725">
        <v>2</v>
      </c>
      <c r="E725" t="s">
        <v>10</v>
      </c>
      <c r="F725" s="6">
        <f t="shared" si="55"/>
        <v>562</v>
      </c>
      <c r="G725" s="7">
        <f t="shared" si="56"/>
        <v>49.73451327433628</v>
      </c>
      <c r="H725" s="7">
        <f t="shared" si="57"/>
        <v>1.6578171091445428</v>
      </c>
      <c r="I725" s="5" t="str">
        <f t="shared" si="58"/>
        <v>ниже среднего</v>
      </c>
      <c r="J725" t="str">
        <f t="shared" si="59"/>
        <v>не нуждается в помощи</v>
      </c>
    </row>
    <row r="726" spans="1:10" x14ac:dyDescent="0.2">
      <c r="A726" s="4">
        <v>3055</v>
      </c>
      <c r="B726" t="s">
        <v>1</v>
      </c>
      <c r="C726">
        <v>450</v>
      </c>
      <c r="D726">
        <v>2</v>
      </c>
      <c r="E726" t="s">
        <v>10</v>
      </c>
      <c r="F726" s="6">
        <f t="shared" si="55"/>
        <v>225</v>
      </c>
      <c r="G726" s="7">
        <f t="shared" si="56"/>
        <v>19.911504424778759</v>
      </c>
      <c r="H726" s="7">
        <f t="shared" si="57"/>
        <v>0.66371681415929196</v>
      </c>
      <c r="I726" s="5" t="str">
        <f t="shared" si="58"/>
        <v>крайняя бедность</v>
      </c>
      <c r="J726" t="str">
        <f t="shared" si="59"/>
        <v>не нуждается в помощи</v>
      </c>
    </row>
    <row r="727" spans="1:10" x14ac:dyDescent="0.2">
      <c r="A727" s="4">
        <v>2005</v>
      </c>
      <c r="B727" t="s">
        <v>3</v>
      </c>
      <c r="C727">
        <v>450</v>
      </c>
      <c r="D727">
        <v>2</v>
      </c>
      <c r="E727" t="s">
        <v>10</v>
      </c>
      <c r="F727" s="6">
        <f t="shared" si="55"/>
        <v>225</v>
      </c>
      <c r="G727" s="7">
        <f t="shared" si="56"/>
        <v>19.911504424778759</v>
      </c>
      <c r="H727" s="7">
        <f t="shared" si="57"/>
        <v>0.66371681415929196</v>
      </c>
      <c r="I727" s="5" t="str">
        <f t="shared" si="58"/>
        <v>крайняя бедность</v>
      </c>
      <c r="J727" t="str">
        <f t="shared" si="59"/>
        <v>не нуждается в помощи</v>
      </c>
    </row>
    <row r="728" spans="1:10" x14ac:dyDescent="0.2">
      <c r="A728" s="4">
        <v>5146</v>
      </c>
      <c r="B728" t="s">
        <v>4</v>
      </c>
      <c r="C728">
        <v>1650</v>
      </c>
      <c r="D728">
        <v>2</v>
      </c>
      <c r="E728" t="s">
        <v>11</v>
      </c>
      <c r="F728" s="6">
        <f t="shared" si="55"/>
        <v>825</v>
      </c>
      <c r="G728" s="7">
        <f t="shared" si="56"/>
        <v>73.008849557522126</v>
      </c>
      <c r="H728" s="7">
        <f t="shared" si="57"/>
        <v>2.4336283185840708</v>
      </c>
      <c r="I728" s="5" t="str">
        <f t="shared" si="58"/>
        <v>ниже среднего</v>
      </c>
      <c r="J728" t="str">
        <f t="shared" si="59"/>
        <v>нуждается в помощи</v>
      </c>
    </row>
    <row r="729" spans="1:10" x14ac:dyDescent="0.2">
      <c r="A729" s="4">
        <v>6281</v>
      </c>
      <c r="B729" t="s">
        <v>1</v>
      </c>
      <c r="C729">
        <v>1160</v>
      </c>
      <c r="D729">
        <v>2</v>
      </c>
      <c r="E729" t="s">
        <v>11</v>
      </c>
      <c r="F729" s="6">
        <f t="shared" si="55"/>
        <v>580</v>
      </c>
      <c r="G729" s="7">
        <f t="shared" si="56"/>
        <v>51.32743362831858</v>
      </c>
      <c r="H729" s="7">
        <f t="shared" si="57"/>
        <v>1.7109144542772858</v>
      </c>
      <c r="I729" s="5" t="str">
        <f t="shared" si="58"/>
        <v>ниже среднего</v>
      </c>
      <c r="J729" t="str">
        <f t="shared" si="59"/>
        <v>не нуждается в помощи</v>
      </c>
    </row>
    <row r="730" spans="1:10" x14ac:dyDescent="0.2">
      <c r="A730" s="4">
        <v>1451</v>
      </c>
      <c r="B730" t="s">
        <v>4</v>
      </c>
      <c r="C730">
        <v>460</v>
      </c>
      <c r="D730">
        <v>2</v>
      </c>
      <c r="E730" t="s">
        <v>10</v>
      </c>
      <c r="F730" s="6">
        <f t="shared" si="55"/>
        <v>230</v>
      </c>
      <c r="G730" s="7">
        <f t="shared" si="56"/>
        <v>20.353982300884955</v>
      </c>
      <c r="H730" s="7">
        <f t="shared" si="57"/>
        <v>0.67846607669616521</v>
      </c>
      <c r="I730" s="5" t="str">
        <f t="shared" si="58"/>
        <v>крайняя бедность</v>
      </c>
      <c r="J730" t="str">
        <f t="shared" si="59"/>
        <v>не нуждается в помощи</v>
      </c>
    </row>
    <row r="731" spans="1:10" x14ac:dyDescent="0.2">
      <c r="A731" s="4">
        <v>1600</v>
      </c>
      <c r="B731" t="s">
        <v>5</v>
      </c>
      <c r="C731">
        <v>960</v>
      </c>
      <c r="D731">
        <v>2</v>
      </c>
      <c r="E731" t="s">
        <v>11</v>
      </c>
      <c r="F731" s="6">
        <f t="shared" si="55"/>
        <v>480</v>
      </c>
      <c r="G731" s="7">
        <f t="shared" si="56"/>
        <v>42.477876106194685</v>
      </c>
      <c r="H731" s="7">
        <f t="shared" si="57"/>
        <v>1.415929203539823</v>
      </c>
      <c r="I731" s="5" t="str">
        <f t="shared" si="58"/>
        <v>ниже среднего</v>
      </c>
      <c r="J731" t="str">
        <f t="shared" si="59"/>
        <v>не нуждается в помощи</v>
      </c>
    </row>
    <row r="732" spans="1:10" x14ac:dyDescent="0.2">
      <c r="A732" s="4">
        <v>6442</v>
      </c>
      <c r="B732" t="s">
        <v>3</v>
      </c>
      <c r="C732">
        <v>477</v>
      </c>
      <c r="D732">
        <v>2</v>
      </c>
      <c r="E732" t="s">
        <v>11</v>
      </c>
      <c r="F732" s="6">
        <f t="shared" si="55"/>
        <v>238.5</v>
      </c>
      <c r="G732" s="7">
        <f t="shared" si="56"/>
        <v>21.106194690265486</v>
      </c>
      <c r="H732" s="7">
        <f t="shared" si="57"/>
        <v>0.70353982300884954</v>
      </c>
      <c r="I732" s="5" t="str">
        <f t="shared" si="58"/>
        <v>крайняя бедность</v>
      </c>
      <c r="J732" t="str">
        <f t="shared" si="59"/>
        <v>не нуждается в помощи</v>
      </c>
    </row>
    <row r="733" spans="1:10" x14ac:dyDescent="0.2">
      <c r="A733" s="4">
        <v>2067</v>
      </c>
      <c r="B733" t="s">
        <v>3</v>
      </c>
      <c r="C733">
        <v>480</v>
      </c>
      <c r="D733">
        <v>2</v>
      </c>
      <c r="E733" t="s">
        <v>11</v>
      </c>
      <c r="F733" s="6">
        <f t="shared" si="55"/>
        <v>240</v>
      </c>
      <c r="G733" s="7">
        <f t="shared" si="56"/>
        <v>21.238938053097343</v>
      </c>
      <c r="H733" s="7">
        <f t="shared" si="57"/>
        <v>0.70796460176991149</v>
      </c>
      <c r="I733" s="5" t="str">
        <f t="shared" si="58"/>
        <v>крайняя бедность</v>
      </c>
      <c r="J733" t="str">
        <f t="shared" si="59"/>
        <v>нуждается в помощи</v>
      </c>
    </row>
    <row r="734" spans="1:10" x14ac:dyDescent="0.2">
      <c r="A734" s="4">
        <v>3077</v>
      </c>
      <c r="B734" t="s">
        <v>1</v>
      </c>
      <c r="C734">
        <v>500</v>
      </c>
      <c r="D734">
        <v>2</v>
      </c>
      <c r="E734" t="s">
        <v>11</v>
      </c>
      <c r="F734" s="6">
        <f t="shared" si="55"/>
        <v>250</v>
      </c>
      <c r="G734" s="7">
        <f t="shared" si="56"/>
        <v>22.123893805309734</v>
      </c>
      <c r="H734" s="7">
        <f t="shared" si="57"/>
        <v>0.73746312684365778</v>
      </c>
      <c r="I734" s="5" t="str">
        <f t="shared" si="58"/>
        <v>крайняя бедность</v>
      </c>
      <c r="J734" t="str">
        <f t="shared" si="59"/>
        <v>не нуждается в помощи</v>
      </c>
    </row>
    <row r="735" spans="1:10" x14ac:dyDescent="0.2">
      <c r="A735" s="4">
        <v>1572</v>
      </c>
      <c r="B735" t="s">
        <v>5</v>
      </c>
      <c r="C735">
        <v>500</v>
      </c>
      <c r="D735">
        <v>2</v>
      </c>
      <c r="E735" t="s">
        <v>11</v>
      </c>
      <c r="F735" s="6">
        <f t="shared" si="55"/>
        <v>250</v>
      </c>
      <c r="G735" s="7">
        <f t="shared" si="56"/>
        <v>22.123893805309734</v>
      </c>
      <c r="H735" s="7">
        <f t="shared" si="57"/>
        <v>0.73746312684365778</v>
      </c>
      <c r="I735" s="5" t="str">
        <f t="shared" si="58"/>
        <v>крайняя бедность</v>
      </c>
      <c r="J735" t="str">
        <f t="shared" si="59"/>
        <v>нуждается в помощи</v>
      </c>
    </row>
    <row r="736" spans="1:10" x14ac:dyDescent="0.2">
      <c r="A736" s="4">
        <v>1599</v>
      </c>
      <c r="B736" t="s">
        <v>5</v>
      </c>
      <c r="C736">
        <v>500</v>
      </c>
      <c r="D736">
        <v>2</v>
      </c>
      <c r="E736" t="s">
        <v>11</v>
      </c>
      <c r="F736" s="6">
        <f t="shared" si="55"/>
        <v>250</v>
      </c>
      <c r="G736" s="7">
        <f t="shared" si="56"/>
        <v>22.123893805309734</v>
      </c>
      <c r="H736" s="7">
        <f t="shared" si="57"/>
        <v>0.73746312684365778</v>
      </c>
      <c r="I736" s="5" t="str">
        <f t="shared" si="58"/>
        <v>крайняя бедность</v>
      </c>
      <c r="J736" t="str">
        <f t="shared" si="59"/>
        <v>не нуждается в помощи</v>
      </c>
    </row>
    <row r="737" spans="1:10" x14ac:dyDescent="0.2">
      <c r="A737" s="4">
        <v>1605</v>
      </c>
      <c r="B737" t="s">
        <v>5</v>
      </c>
      <c r="C737">
        <v>500</v>
      </c>
      <c r="D737">
        <v>2</v>
      </c>
      <c r="E737" t="s">
        <v>10</v>
      </c>
      <c r="F737" s="6">
        <f t="shared" si="55"/>
        <v>250</v>
      </c>
      <c r="G737" s="7">
        <f t="shared" si="56"/>
        <v>22.123893805309734</v>
      </c>
      <c r="H737" s="7">
        <f t="shared" si="57"/>
        <v>0.73746312684365778</v>
      </c>
      <c r="I737" s="5" t="str">
        <f t="shared" si="58"/>
        <v>крайняя бедность</v>
      </c>
      <c r="J737" t="str">
        <f t="shared" si="59"/>
        <v>не нуждается в помощи</v>
      </c>
    </row>
    <row r="738" spans="1:10" x14ac:dyDescent="0.2">
      <c r="A738" s="4">
        <v>1889</v>
      </c>
      <c r="B738" t="s">
        <v>3</v>
      </c>
      <c r="C738">
        <v>500</v>
      </c>
      <c r="D738">
        <v>2</v>
      </c>
      <c r="E738" t="s">
        <v>11</v>
      </c>
      <c r="F738" s="6">
        <f t="shared" si="55"/>
        <v>250</v>
      </c>
      <c r="G738" s="7">
        <f t="shared" si="56"/>
        <v>22.123893805309734</v>
      </c>
      <c r="H738" s="7">
        <f t="shared" si="57"/>
        <v>0.73746312684365778</v>
      </c>
      <c r="I738" s="5" t="str">
        <f t="shared" si="58"/>
        <v>крайняя бедность</v>
      </c>
      <c r="J738" t="str">
        <f t="shared" si="59"/>
        <v>не нуждается в помощи</v>
      </c>
    </row>
    <row r="739" spans="1:10" x14ac:dyDescent="0.2">
      <c r="A739" s="4">
        <v>2121</v>
      </c>
      <c r="B739" t="s">
        <v>3</v>
      </c>
      <c r="C739">
        <v>580</v>
      </c>
      <c r="D739">
        <v>2</v>
      </c>
      <c r="E739" t="s">
        <v>11</v>
      </c>
      <c r="F739" s="6">
        <f t="shared" si="55"/>
        <v>290</v>
      </c>
      <c r="G739" s="7">
        <f t="shared" si="56"/>
        <v>25.66371681415929</v>
      </c>
      <c r="H739" s="7">
        <f t="shared" si="57"/>
        <v>0.85545722713864292</v>
      </c>
      <c r="I739" s="5" t="str">
        <f t="shared" si="58"/>
        <v>крайняя бедность</v>
      </c>
      <c r="J739" t="str">
        <f t="shared" si="59"/>
        <v>не нуждается в помощи</v>
      </c>
    </row>
    <row r="740" spans="1:10" x14ac:dyDescent="0.2">
      <c r="A740" s="4">
        <v>2143</v>
      </c>
      <c r="B740" t="s">
        <v>3</v>
      </c>
      <c r="C740">
        <v>500</v>
      </c>
      <c r="D740">
        <v>2</v>
      </c>
      <c r="E740" t="s">
        <v>11</v>
      </c>
      <c r="F740" s="6">
        <f t="shared" si="55"/>
        <v>250</v>
      </c>
      <c r="G740" s="7">
        <f t="shared" si="56"/>
        <v>22.123893805309734</v>
      </c>
      <c r="H740" s="7">
        <f t="shared" si="57"/>
        <v>0.73746312684365778</v>
      </c>
      <c r="I740" s="5" t="str">
        <f t="shared" si="58"/>
        <v>крайняя бедность</v>
      </c>
      <c r="J740" t="str">
        <f t="shared" si="59"/>
        <v>не нуждается в помощи</v>
      </c>
    </row>
    <row r="741" spans="1:10" x14ac:dyDescent="0.2">
      <c r="A741" s="4">
        <v>2290</v>
      </c>
      <c r="B741" t="s">
        <v>3</v>
      </c>
      <c r="C741">
        <v>500</v>
      </c>
      <c r="D741">
        <v>2</v>
      </c>
      <c r="E741" t="s">
        <v>11</v>
      </c>
      <c r="F741" s="6">
        <f t="shared" si="55"/>
        <v>250</v>
      </c>
      <c r="G741" s="7">
        <f t="shared" si="56"/>
        <v>22.123893805309734</v>
      </c>
      <c r="H741" s="7">
        <f t="shared" si="57"/>
        <v>0.73746312684365778</v>
      </c>
      <c r="I741" s="5" t="str">
        <f t="shared" si="58"/>
        <v>крайняя бедность</v>
      </c>
      <c r="J741" t="str">
        <f t="shared" si="59"/>
        <v>не нуждается в помощи</v>
      </c>
    </row>
    <row r="742" spans="1:10" x14ac:dyDescent="0.2">
      <c r="A742" s="4">
        <v>2339</v>
      </c>
      <c r="B742" t="s">
        <v>0</v>
      </c>
      <c r="C742">
        <v>500</v>
      </c>
      <c r="D742">
        <v>2</v>
      </c>
      <c r="E742" t="s">
        <v>10</v>
      </c>
      <c r="F742" s="6">
        <f t="shared" si="55"/>
        <v>250</v>
      </c>
      <c r="G742" s="7">
        <f t="shared" si="56"/>
        <v>22.123893805309734</v>
      </c>
      <c r="H742" s="7">
        <f t="shared" si="57"/>
        <v>0.73746312684365778</v>
      </c>
      <c r="I742" s="5" t="str">
        <f t="shared" si="58"/>
        <v>крайняя бедность</v>
      </c>
      <c r="J742" t="str">
        <f t="shared" si="59"/>
        <v>не нуждается в помощи</v>
      </c>
    </row>
    <row r="743" spans="1:10" x14ac:dyDescent="0.2">
      <c r="A743" s="4">
        <v>2712</v>
      </c>
      <c r="B743" t="s">
        <v>2</v>
      </c>
      <c r="C743">
        <v>500</v>
      </c>
      <c r="D743">
        <v>2</v>
      </c>
      <c r="E743" t="s">
        <v>11</v>
      </c>
      <c r="F743" s="6">
        <f t="shared" si="55"/>
        <v>250</v>
      </c>
      <c r="G743" s="7">
        <f t="shared" si="56"/>
        <v>22.123893805309734</v>
      </c>
      <c r="H743" s="7">
        <f t="shared" si="57"/>
        <v>0.73746312684365778</v>
      </c>
      <c r="I743" s="5" t="str">
        <f t="shared" si="58"/>
        <v>крайняя бедность</v>
      </c>
      <c r="J743" t="str">
        <f t="shared" si="59"/>
        <v>не нуждается в помощи</v>
      </c>
    </row>
    <row r="744" spans="1:10" x14ac:dyDescent="0.2">
      <c r="A744" s="4">
        <v>2833</v>
      </c>
      <c r="B744" t="s">
        <v>2</v>
      </c>
      <c r="C744">
        <v>500</v>
      </c>
      <c r="D744">
        <v>2</v>
      </c>
      <c r="E744" t="s">
        <v>10</v>
      </c>
      <c r="F744" s="6">
        <f t="shared" si="55"/>
        <v>250</v>
      </c>
      <c r="G744" s="7">
        <f t="shared" si="56"/>
        <v>22.123893805309734</v>
      </c>
      <c r="H744" s="7">
        <f t="shared" si="57"/>
        <v>0.73746312684365778</v>
      </c>
      <c r="I744" s="5" t="str">
        <f t="shared" si="58"/>
        <v>крайняя бедность</v>
      </c>
      <c r="J744" t="str">
        <f t="shared" si="59"/>
        <v>не нуждается в помощи</v>
      </c>
    </row>
    <row r="745" spans="1:10" x14ac:dyDescent="0.2">
      <c r="A745" s="4">
        <v>3052</v>
      </c>
      <c r="B745" t="s">
        <v>1</v>
      </c>
      <c r="C745">
        <v>800</v>
      </c>
      <c r="D745">
        <v>2</v>
      </c>
      <c r="E745" t="s">
        <v>10</v>
      </c>
      <c r="F745" s="6">
        <f t="shared" si="55"/>
        <v>400</v>
      </c>
      <c r="G745" s="7">
        <f t="shared" si="56"/>
        <v>35.398230088495573</v>
      </c>
      <c r="H745" s="7">
        <f t="shared" si="57"/>
        <v>1.1799410029498525</v>
      </c>
      <c r="I745" s="5" t="str">
        <f t="shared" si="58"/>
        <v>бедность</v>
      </c>
      <c r="J745" t="str">
        <f t="shared" si="59"/>
        <v>не нуждается в помощи</v>
      </c>
    </row>
    <row r="746" spans="1:10" x14ac:dyDescent="0.2">
      <c r="A746" s="4">
        <v>3182</v>
      </c>
      <c r="B746" s="1" t="s">
        <v>1</v>
      </c>
      <c r="C746">
        <v>1700</v>
      </c>
      <c r="D746">
        <v>2</v>
      </c>
      <c r="E746" t="s">
        <v>11</v>
      </c>
      <c r="F746" s="6">
        <f t="shared" si="55"/>
        <v>850</v>
      </c>
      <c r="G746" s="7">
        <f t="shared" si="56"/>
        <v>75.221238938053091</v>
      </c>
      <c r="H746" s="7">
        <f t="shared" si="57"/>
        <v>2.5073746312684362</v>
      </c>
      <c r="I746" s="5" t="str">
        <f t="shared" si="58"/>
        <v>средний</v>
      </c>
      <c r="J746" t="str">
        <f t="shared" si="59"/>
        <v>не нуждается в помощи</v>
      </c>
    </row>
    <row r="747" spans="1:10" x14ac:dyDescent="0.2">
      <c r="A747" s="4">
        <v>5122</v>
      </c>
      <c r="B747" s="1" t="s">
        <v>4</v>
      </c>
      <c r="C747">
        <v>1250</v>
      </c>
      <c r="D747">
        <v>2</v>
      </c>
      <c r="E747" t="s">
        <v>10</v>
      </c>
      <c r="F747" s="6">
        <f t="shared" si="55"/>
        <v>625</v>
      </c>
      <c r="G747" s="7">
        <f t="shared" si="56"/>
        <v>55.309734513274336</v>
      </c>
      <c r="H747" s="7">
        <f t="shared" si="57"/>
        <v>1.8436578171091442</v>
      </c>
      <c r="I747" s="5" t="str">
        <f t="shared" si="58"/>
        <v>ниже среднего</v>
      </c>
      <c r="J747" t="str">
        <f t="shared" si="59"/>
        <v>не нуждается в помощи</v>
      </c>
    </row>
    <row r="748" spans="1:10" x14ac:dyDescent="0.2">
      <c r="A748" s="4">
        <v>5826</v>
      </c>
      <c r="B748" s="1" t="s">
        <v>2</v>
      </c>
      <c r="C748">
        <v>500</v>
      </c>
      <c r="D748">
        <v>2</v>
      </c>
      <c r="E748" t="s">
        <v>11</v>
      </c>
      <c r="F748" s="6">
        <f t="shared" si="55"/>
        <v>250</v>
      </c>
      <c r="G748" s="7">
        <f t="shared" si="56"/>
        <v>22.123893805309734</v>
      </c>
      <c r="H748" s="7">
        <f t="shared" si="57"/>
        <v>0.73746312684365778</v>
      </c>
      <c r="I748" s="5" t="str">
        <f t="shared" si="58"/>
        <v>крайняя бедность</v>
      </c>
      <c r="J748" t="str">
        <f t="shared" si="59"/>
        <v>не нуждается в помощи</v>
      </c>
    </row>
    <row r="749" spans="1:10" x14ac:dyDescent="0.2">
      <c r="A749" s="4">
        <v>6042</v>
      </c>
      <c r="B749" s="1" t="s">
        <v>1</v>
      </c>
      <c r="C749">
        <v>2000</v>
      </c>
      <c r="D749">
        <v>2</v>
      </c>
      <c r="E749" t="s">
        <v>10</v>
      </c>
      <c r="F749" s="6">
        <f t="shared" si="55"/>
        <v>1000</v>
      </c>
      <c r="G749" s="7">
        <f t="shared" si="56"/>
        <v>88.495575221238937</v>
      </c>
      <c r="H749" s="7">
        <f t="shared" si="57"/>
        <v>2.9498525073746311</v>
      </c>
      <c r="I749" s="5" t="str">
        <f t="shared" si="58"/>
        <v>средний</v>
      </c>
      <c r="J749" t="str">
        <f t="shared" si="59"/>
        <v>не нуждается в помощи</v>
      </c>
    </row>
    <row r="750" spans="1:10" x14ac:dyDescent="0.2">
      <c r="A750" s="4">
        <v>2669</v>
      </c>
      <c r="B750" s="1" t="s">
        <v>2</v>
      </c>
      <c r="C750">
        <v>840</v>
      </c>
      <c r="D750">
        <v>2</v>
      </c>
      <c r="E750" t="s">
        <v>11</v>
      </c>
      <c r="F750" s="6">
        <f t="shared" si="55"/>
        <v>420</v>
      </c>
      <c r="G750" s="7">
        <f t="shared" si="56"/>
        <v>37.16814159292035</v>
      </c>
      <c r="H750" s="7">
        <f t="shared" si="57"/>
        <v>1.2389380530973451</v>
      </c>
      <c r="I750" s="5" t="str">
        <f t="shared" si="58"/>
        <v>бедность</v>
      </c>
      <c r="J750" t="str">
        <f t="shared" si="59"/>
        <v>нуждается в помощи</v>
      </c>
    </row>
    <row r="751" spans="1:10" x14ac:dyDescent="0.2">
      <c r="A751" s="4">
        <v>3053</v>
      </c>
      <c r="B751" s="1" t="s">
        <v>1</v>
      </c>
      <c r="C751">
        <v>2520</v>
      </c>
      <c r="D751">
        <v>2</v>
      </c>
      <c r="E751" t="s">
        <v>10</v>
      </c>
      <c r="F751" s="6">
        <f t="shared" si="55"/>
        <v>1260</v>
      </c>
      <c r="G751" s="7">
        <f t="shared" si="56"/>
        <v>111.50442477876105</v>
      </c>
      <c r="H751" s="7">
        <f t="shared" si="57"/>
        <v>3.716814159292035</v>
      </c>
      <c r="I751" s="5" t="str">
        <f t="shared" si="58"/>
        <v>средний</v>
      </c>
      <c r="J751" t="str">
        <f t="shared" si="59"/>
        <v>не нуждается в помощи</v>
      </c>
    </row>
    <row r="752" spans="1:10" x14ac:dyDescent="0.2">
      <c r="A752" s="4">
        <v>3122</v>
      </c>
      <c r="B752" s="1" t="s">
        <v>1</v>
      </c>
      <c r="C752">
        <v>520</v>
      </c>
      <c r="D752">
        <v>2</v>
      </c>
      <c r="E752" t="s">
        <v>11</v>
      </c>
      <c r="F752" s="6">
        <f t="shared" si="55"/>
        <v>260</v>
      </c>
      <c r="G752" s="7">
        <f t="shared" si="56"/>
        <v>23.008849557522122</v>
      </c>
      <c r="H752" s="7">
        <f t="shared" si="57"/>
        <v>0.76696165191740406</v>
      </c>
      <c r="I752" s="5" t="str">
        <f t="shared" si="58"/>
        <v>крайняя бедность</v>
      </c>
      <c r="J752" t="str">
        <f t="shared" si="59"/>
        <v>не нуждается в помощи</v>
      </c>
    </row>
    <row r="753" spans="1:10" x14ac:dyDescent="0.2">
      <c r="A753" s="4">
        <v>2482</v>
      </c>
      <c r="B753" s="1" t="s">
        <v>0</v>
      </c>
      <c r="C753">
        <v>2535</v>
      </c>
      <c r="D753">
        <v>2</v>
      </c>
      <c r="E753" t="s">
        <v>10</v>
      </c>
      <c r="F753" s="6">
        <f t="shared" si="55"/>
        <v>1267.5</v>
      </c>
      <c r="G753" s="7">
        <f t="shared" si="56"/>
        <v>112.16814159292035</v>
      </c>
      <c r="H753" s="7">
        <f t="shared" si="57"/>
        <v>3.7389380530973448</v>
      </c>
      <c r="I753" s="5" t="str">
        <f t="shared" si="58"/>
        <v>средний</v>
      </c>
      <c r="J753" t="str">
        <f t="shared" si="59"/>
        <v>не нуждается в помощи</v>
      </c>
    </row>
    <row r="754" spans="1:10" x14ac:dyDescent="0.2">
      <c r="A754" s="4">
        <v>870</v>
      </c>
      <c r="B754" s="1" t="s">
        <v>4</v>
      </c>
      <c r="C754">
        <v>1053</v>
      </c>
      <c r="D754">
        <v>2</v>
      </c>
      <c r="E754" t="s">
        <v>10</v>
      </c>
      <c r="F754" s="6">
        <f t="shared" si="55"/>
        <v>526.5</v>
      </c>
      <c r="G754" s="7">
        <f t="shared" si="56"/>
        <v>46.592920353982301</v>
      </c>
      <c r="H754" s="7">
        <f t="shared" si="57"/>
        <v>1.5530973451327432</v>
      </c>
      <c r="I754" s="5" t="str">
        <f t="shared" si="58"/>
        <v>ниже среднего</v>
      </c>
      <c r="J754" t="str">
        <f t="shared" si="59"/>
        <v>не нуждается в помощи</v>
      </c>
    </row>
    <row r="755" spans="1:10" x14ac:dyDescent="0.2">
      <c r="A755" s="4">
        <v>6781</v>
      </c>
      <c r="B755" s="1" t="s">
        <v>3</v>
      </c>
      <c r="C755">
        <v>3340</v>
      </c>
      <c r="D755">
        <v>2</v>
      </c>
      <c r="E755" t="s">
        <v>10</v>
      </c>
      <c r="F755" s="6">
        <f t="shared" si="55"/>
        <v>1670</v>
      </c>
      <c r="G755" s="7">
        <f t="shared" si="56"/>
        <v>147.78761061946901</v>
      </c>
      <c r="H755" s="7">
        <f t="shared" si="57"/>
        <v>4.9262536873156337</v>
      </c>
      <c r="I755" s="5" t="str">
        <f t="shared" si="58"/>
        <v>в достатке</v>
      </c>
      <c r="J755" t="str">
        <f t="shared" si="59"/>
        <v>не нуждается в помощи</v>
      </c>
    </row>
    <row r="756" spans="1:10" x14ac:dyDescent="0.2">
      <c r="A756" s="4">
        <v>2693</v>
      </c>
      <c r="B756" s="1" t="s">
        <v>2</v>
      </c>
      <c r="C756">
        <v>550</v>
      </c>
      <c r="D756">
        <v>2</v>
      </c>
      <c r="E756" t="s">
        <v>11</v>
      </c>
      <c r="F756" s="6">
        <f t="shared" si="55"/>
        <v>275</v>
      </c>
      <c r="G756" s="7">
        <f t="shared" si="56"/>
        <v>24.336283185840706</v>
      </c>
      <c r="H756" s="7">
        <f t="shared" si="57"/>
        <v>0.81120943952802349</v>
      </c>
      <c r="I756" s="5" t="str">
        <f t="shared" si="58"/>
        <v>крайняя бедность</v>
      </c>
      <c r="J756" t="str">
        <f t="shared" si="59"/>
        <v>не нуждается в помощи</v>
      </c>
    </row>
    <row r="757" spans="1:10" x14ac:dyDescent="0.2">
      <c r="A757" s="4">
        <v>1907</v>
      </c>
      <c r="B757" s="1" t="s">
        <v>3</v>
      </c>
      <c r="C757">
        <v>1975</v>
      </c>
      <c r="D757">
        <v>2</v>
      </c>
      <c r="E757" t="s">
        <v>10</v>
      </c>
      <c r="F757" s="6">
        <f t="shared" si="55"/>
        <v>987.5</v>
      </c>
      <c r="G757" s="7">
        <f t="shared" si="56"/>
        <v>87.38938053097344</v>
      </c>
      <c r="H757" s="7">
        <f t="shared" si="57"/>
        <v>2.912979351032448</v>
      </c>
      <c r="I757" s="5" t="str">
        <f t="shared" si="58"/>
        <v>средний</v>
      </c>
      <c r="J757" t="str">
        <f t="shared" si="59"/>
        <v>нуждается в помощи</v>
      </c>
    </row>
    <row r="758" spans="1:10" x14ac:dyDescent="0.2">
      <c r="A758" s="4">
        <v>2690</v>
      </c>
      <c r="B758" s="1" t="s">
        <v>2</v>
      </c>
      <c r="C758">
        <v>1060</v>
      </c>
      <c r="D758">
        <v>2</v>
      </c>
      <c r="E758" t="s">
        <v>11</v>
      </c>
      <c r="F758" s="6">
        <f t="shared" si="55"/>
        <v>530</v>
      </c>
      <c r="G758" s="7">
        <f t="shared" si="56"/>
        <v>46.902654867256636</v>
      </c>
      <c r="H758" s="7">
        <f t="shared" si="57"/>
        <v>1.5634218289085546</v>
      </c>
      <c r="I758" s="5" t="str">
        <f t="shared" si="58"/>
        <v>ниже среднего</v>
      </c>
      <c r="J758" t="str">
        <f t="shared" si="59"/>
        <v>не нуждается в помощи</v>
      </c>
    </row>
    <row r="759" spans="1:10" x14ac:dyDescent="0.2">
      <c r="A759" s="4">
        <v>2086</v>
      </c>
      <c r="B759" s="1" t="s">
        <v>3</v>
      </c>
      <c r="C759">
        <v>570</v>
      </c>
      <c r="D759">
        <v>2</v>
      </c>
      <c r="E759" t="s">
        <v>10</v>
      </c>
      <c r="F759" s="6">
        <f t="shared" si="55"/>
        <v>285</v>
      </c>
      <c r="G759" s="7">
        <f t="shared" si="56"/>
        <v>25.221238938053094</v>
      </c>
      <c r="H759" s="7">
        <f t="shared" si="57"/>
        <v>0.84070796460176989</v>
      </c>
      <c r="I759" s="5" t="str">
        <f t="shared" si="58"/>
        <v>крайняя бедность</v>
      </c>
      <c r="J759" t="str">
        <f t="shared" si="59"/>
        <v>нуждается в помощи</v>
      </c>
    </row>
    <row r="760" spans="1:10" x14ac:dyDescent="0.2">
      <c r="A760" s="4">
        <v>1776</v>
      </c>
      <c r="B760" s="1" t="s">
        <v>3</v>
      </c>
      <c r="C760">
        <v>3600</v>
      </c>
      <c r="D760">
        <v>2</v>
      </c>
      <c r="E760" t="s">
        <v>10</v>
      </c>
      <c r="F760" s="6">
        <f t="shared" si="55"/>
        <v>1800</v>
      </c>
      <c r="G760" s="7">
        <f t="shared" si="56"/>
        <v>159.29203539823007</v>
      </c>
      <c r="H760" s="7">
        <f t="shared" si="57"/>
        <v>5.3097345132743357</v>
      </c>
      <c r="I760" s="5" t="str">
        <f t="shared" si="58"/>
        <v>в достатке</v>
      </c>
      <c r="J760" t="str">
        <f t="shared" si="59"/>
        <v>не нуждается в помощи</v>
      </c>
    </row>
    <row r="761" spans="1:10" x14ac:dyDescent="0.2">
      <c r="A761" s="4">
        <v>6641</v>
      </c>
      <c r="B761" s="1" t="s">
        <v>3</v>
      </c>
      <c r="C761">
        <v>2600</v>
      </c>
      <c r="D761">
        <v>2</v>
      </c>
      <c r="E761" t="s">
        <v>10</v>
      </c>
      <c r="F761" s="6">
        <f t="shared" si="55"/>
        <v>1300</v>
      </c>
      <c r="G761" s="7">
        <f t="shared" si="56"/>
        <v>115.04424778761062</v>
      </c>
      <c r="H761" s="7">
        <f t="shared" si="57"/>
        <v>3.8348082595870205</v>
      </c>
      <c r="I761" s="5" t="str">
        <f t="shared" si="58"/>
        <v>средний</v>
      </c>
      <c r="J761" t="str">
        <f t="shared" si="59"/>
        <v>не нуждается в помощи</v>
      </c>
    </row>
    <row r="762" spans="1:10" x14ac:dyDescent="0.2">
      <c r="A762" s="4">
        <v>536</v>
      </c>
      <c r="B762" s="1" t="s">
        <v>4</v>
      </c>
      <c r="C762">
        <v>1600</v>
      </c>
      <c r="D762">
        <v>2</v>
      </c>
      <c r="E762" t="s">
        <v>11</v>
      </c>
      <c r="F762" s="6">
        <f t="shared" si="55"/>
        <v>800</v>
      </c>
      <c r="G762" s="7">
        <f t="shared" si="56"/>
        <v>70.796460176991147</v>
      </c>
      <c r="H762" s="7">
        <f t="shared" si="57"/>
        <v>2.359882005899705</v>
      </c>
      <c r="I762" s="5" t="str">
        <f t="shared" si="58"/>
        <v>ниже среднего</v>
      </c>
      <c r="J762" t="str">
        <f t="shared" si="59"/>
        <v>нуждается в помощи</v>
      </c>
    </row>
    <row r="763" spans="1:10" x14ac:dyDescent="0.2">
      <c r="A763" s="4">
        <v>1262</v>
      </c>
      <c r="B763" s="1" t="s">
        <v>4</v>
      </c>
      <c r="C763">
        <v>5600</v>
      </c>
      <c r="D763">
        <v>2</v>
      </c>
      <c r="E763" t="s">
        <v>11</v>
      </c>
      <c r="F763" s="6">
        <f t="shared" si="55"/>
        <v>2800</v>
      </c>
      <c r="G763" s="7">
        <f t="shared" si="56"/>
        <v>247.78761061946901</v>
      </c>
      <c r="H763" s="7">
        <f t="shared" si="57"/>
        <v>8.2595870206489668</v>
      </c>
      <c r="I763" s="5" t="str">
        <f t="shared" si="58"/>
        <v>в достатке</v>
      </c>
      <c r="J763" t="str">
        <f t="shared" si="59"/>
        <v>не нуждается в помощи</v>
      </c>
    </row>
    <row r="764" spans="1:10" x14ac:dyDescent="0.2">
      <c r="A764" s="4">
        <v>1637</v>
      </c>
      <c r="B764" s="1" t="s">
        <v>5</v>
      </c>
      <c r="C764">
        <v>600</v>
      </c>
      <c r="D764">
        <v>2</v>
      </c>
      <c r="E764" t="s">
        <v>11</v>
      </c>
      <c r="F764" s="6">
        <f t="shared" si="55"/>
        <v>300</v>
      </c>
      <c r="G764" s="7">
        <f t="shared" si="56"/>
        <v>26.548672566371678</v>
      </c>
      <c r="H764" s="7">
        <f t="shared" si="57"/>
        <v>0.88495575221238931</v>
      </c>
      <c r="I764" s="5" t="str">
        <f t="shared" si="58"/>
        <v>крайняя бедность</v>
      </c>
      <c r="J764" t="str">
        <f t="shared" si="59"/>
        <v>не нуждается в помощи</v>
      </c>
    </row>
    <row r="765" spans="1:10" x14ac:dyDescent="0.2">
      <c r="A765" s="4">
        <v>2311</v>
      </c>
      <c r="B765" s="1" t="s">
        <v>0</v>
      </c>
      <c r="C765">
        <v>1150</v>
      </c>
      <c r="D765">
        <v>2</v>
      </c>
      <c r="E765" t="s">
        <v>11</v>
      </c>
      <c r="F765" s="6">
        <f t="shared" si="55"/>
        <v>575</v>
      </c>
      <c r="G765" s="7">
        <f t="shared" si="56"/>
        <v>50.884955752212385</v>
      </c>
      <c r="H765" s="7">
        <f t="shared" si="57"/>
        <v>1.696165191740413</v>
      </c>
      <c r="I765" s="5" t="str">
        <f t="shared" si="58"/>
        <v>ниже среднего</v>
      </c>
      <c r="J765" t="str">
        <f t="shared" si="59"/>
        <v>не нуждается в помощи</v>
      </c>
    </row>
    <row r="766" spans="1:10" x14ac:dyDescent="0.2">
      <c r="A766" s="4">
        <v>2387</v>
      </c>
      <c r="B766" s="1" t="s">
        <v>0</v>
      </c>
      <c r="C766">
        <v>600</v>
      </c>
      <c r="D766">
        <v>2</v>
      </c>
      <c r="E766" t="s">
        <v>10</v>
      </c>
      <c r="F766" s="6">
        <f t="shared" si="55"/>
        <v>300</v>
      </c>
      <c r="G766" s="7">
        <f t="shared" si="56"/>
        <v>26.548672566371678</v>
      </c>
      <c r="H766" s="7">
        <f t="shared" si="57"/>
        <v>0.88495575221238931</v>
      </c>
      <c r="I766" s="5" t="str">
        <f t="shared" si="58"/>
        <v>крайняя бедность</v>
      </c>
      <c r="J766" t="str">
        <f t="shared" si="59"/>
        <v>не нуждается в помощи</v>
      </c>
    </row>
    <row r="767" spans="1:10" x14ac:dyDescent="0.2">
      <c r="A767" s="4">
        <v>2476</v>
      </c>
      <c r="B767" s="1" t="s">
        <v>0</v>
      </c>
      <c r="C767">
        <v>600</v>
      </c>
      <c r="D767">
        <v>2</v>
      </c>
      <c r="E767" t="s">
        <v>11</v>
      </c>
      <c r="F767" s="6">
        <f t="shared" si="55"/>
        <v>300</v>
      </c>
      <c r="G767" s="7">
        <f t="shared" si="56"/>
        <v>26.548672566371678</v>
      </c>
      <c r="H767" s="7">
        <f t="shared" si="57"/>
        <v>0.88495575221238931</v>
      </c>
      <c r="I767" s="5" t="str">
        <f t="shared" si="58"/>
        <v>крайняя бедность</v>
      </c>
      <c r="J767" t="str">
        <f t="shared" si="59"/>
        <v>не нуждается в помощи</v>
      </c>
    </row>
    <row r="768" spans="1:10" x14ac:dyDescent="0.2">
      <c r="A768" s="4">
        <v>2495</v>
      </c>
      <c r="B768" s="1" t="s">
        <v>0</v>
      </c>
      <c r="C768">
        <v>600</v>
      </c>
      <c r="D768">
        <v>2</v>
      </c>
      <c r="E768" t="s">
        <v>10</v>
      </c>
      <c r="F768" s="6">
        <f t="shared" si="55"/>
        <v>300</v>
      </c>
      <c r="G768" s="7">
        <f t="shared" si="56"/>
        <v>26.548672566371678</v>
      </c>
      <c r="H768" s="7">
        <f t="shared" si="57"/>
        <v>0.88495575221238931</v>
      </c>
      <c r="I768" s="5" t="str">
        <f t="shared" si="58"/>
        <v>крайняя бедность</v>
      </c>
      <c r="J768" t="str">
        <f t="shared" si="59"/>
        <v>не нуждается в помощи</v>
      </c>
    </row>
    <row r="769" spans="1:10" x14ac:dyDescent="0.2">
      <c r="A769" s="4">
        <v>3170</v>
      </c>
      <c r="B769" s="1" t="s">
        <v>1</v>
      </c>
      <c r="C769">
        <v>750</v>
      </c>
      <c r="D769">
        <v>2</v>
      </c>
      <c r="E769" t="s">
        <v>10</v>
      </c>
      <c r="F769" s="6">
        <f t="shared" si="55"/>
        <v>375</v>
      </c>
      <c r="G769" s="7">
        <f t="shared" si="56"/>
        <v>33.185840707964601</v>
      </c>
      <c r="H769" s="7">
        <f t="shared" si="57"/>
        <v>1.1061946902654867</v>
      </c>
      <c r="I769" s="5" t="str">
        <f t="shared" si="58"/>
        <v>бедность</v>
      </c>
      <c r="J769" t="str">
        <f t="shared" si="59"/>
        <v>не нуждается в помощи</v>
      </c>
    </row>
    <row r="770" spans="1:10" x14ac:dyDescent="0.2">
      <c r="A770" s="4">
        <v>3276</v>
      </c>
      <c r="B770" s="1" t="s">
        <v>1</v>
      </c>
      <c r="C770">
        <v>600</v>
      </c>
      <c r="D770">
        <v>2</v>
      </c>
      <c r="E770" t="s">
        <v>11</v>
      </c>
      <c r="F770" s="6">
        <f t="shared" ref="F770:F833" si="60">C770/D770</f>
        <v>300</v>
      </c>
      <c r="G770" s="7">
        <f t="shared" ref="G770:G833" si="61">(C770/D770)/rate</f>
        <v>26.548672566371678</v>
      </c>
      <c r="H770" s="7">
        <f t="shared" ref="H770:H833" si="62">((C770/D770)/30)/rate</f>
        <v>0.88495575221238931</v>
      </c>
      <c r="I770" s="5" t="str">
        <f t="shared" ref="I770:I833" si="63">IF(H770&lt;0.89, "крайняя бедность", IF(AND(H770&gt;0.89, H770&lt;1.33), "бедность", IF(AND(H770&gt;1.33,H770&lt;2.5),"ниже среднего", IF(AND(H770&gt;2.5,H770&lt;4), "средний", IF(H770&gt;4,"в достатке",0)))))</f>
        <v>крайняя бедность</v>
      </c>
      <c r="J770" t="str">
        <f t="shared" si="59"/>
        <v>не нуждается в помощи</v>
      </c>
    </row>
    <row r="771" spans="1:10" x14ac:dyDescent="0.2">
      <c r="A771" s="4">
        <v>5046</v>
      </c>
      <c r="B771" s="1" t="s">
        <v>4</v>
      </c>
      <c r="C771">
        <v>600</v>
      </c>
      <c r="D771">
        <v>2</v>
      </c>
      <c r="E771" t="s">
        <v>10</v>
      </c>
      <c r="F771" s="6">
        <f t="shared" si="60"/>
        <v>300</v>
      </c>
      <c r="G771" s="7">
        <f t="shared" si="61"/>
        <v>26.548672566371678</v>
      </c>
      <c r="H771" s="7">
        <f t="shared" si="62"/>
        <v>0.88495575221238931</v>
      </c>
      <c r="I771" s="5" t="str">
        <f t="shared" si="63"/>
        <v>крайняя бедность</v>
      </c>
      <c r="J771" t="str">
        <f t="shared" ref="J771:J834" si="64">IF(AND(I780="крайняя бедность",E780="Нет"), "нуждается в помощи", "не нуждается в помощи")</f>
        <v>не нуждается в помощи</v>
      </c>
    </row>
    <row r="772" spans="1:10" x14ac:dyDescent="0.2">
      <c r="A772" s="4">
        <v>5188</v>
      </c>
      <c r="B772" s="1" t="s">
        <v>4</v>
      </c>
      <c r="C772">
        <v>600</v>
      </c>
      <c r="D772">
        <v>2</v>
      </c>
      <c r="E772" t="s">
        <v>11</v>
      </c>
      <c r="F772" s="6">
        <f t="shared" si="60"/>
        <v>300</v>
      </c>
      <c r="G772" s="7">
        <f t="shared" si="61"/>
        <v>26.548672566371678</v>
      </c>
      <c r="H772" s="7">
        <f t="shared" si="62"/>
        <v>0.88495575221238931</v>
      </c>
      <c r="I772" s="5" t="str">
        <f t="shared" si="63"/>
        <v>крайняя бедность</v>
      </c>
      <c r="J772" t="str">
        <f t="shared" si="64"/>
        <v>не нуждается в помощи</v>
      </c>
    </row>
    <row r="773" spans="1:10" x14ac:dyDescent="0.2">
      <c r="A773" s="4">
        <v>2764</v>
      </c>
      <c r="B773" s="1" t="s">
        <v>2</v>
      </c>
      <c r="C773">
        <v>2120</v>
      </c>
      <c r="D773">
        <v>2</v>
      </c>
      <c r="E773" t="s">
        <v>11</v>
      </c>
      <c r="F773" s="6">
        <f t="shared" si="60"/>
        <v>1060</v>
      </c>
      <c r="G773" s="7">
        <f t="shared" si="61"/>
        <v>93.805309734513273</v>
      </c>
      <c r="H773" s="7">
        <f t="shared" si="62"/>
        <v>3.1268436578171093</v>
      </c>
      <c r="I773" s="5" t="str">
        <f t="shared" si="63"/>
        <v>средний</v>
      </c>
      <c r="J773" t="str">
        <f t="shared" si="64"/>
        <v>не нуждается в помощи</v>
      </c>
    </row>
    <row r="774" spans="1:10" x14ac:dyDescent="0.2">
      <c r="A774" s="4">
        <v>1298</v>
      </c>
      <c r="B774" s="1" t="s">
        <v>4</v>
      </c>
      <c r="C774">
        <v>1480</v>
      </c>
      <c r="D774">
        <v>2</v>
      </c>
      <c r="E774" t="s">
        <v>10</v>
      </c>
      <c r="F774" s="6">
        <f t="shared" si="60"/>
        <v>740</v>
      </c>
      <c r="G774" s="7">
        <f t="shared" si="61"/>
        <v>65.486725663716811</v>
      </c>
      <c r="H774" s="7">
        <f t="shared" si="62"/>
        <v>2.1828908554572273</v>
      </c>
      <c r="I774" s="5" t="str">
        <f t="shared" si="63"/>
        <v>ниже среднего</v>
      </c>
      <c r="J774" t="str">
        <f t="shared" si="64"/>
        <v>не нуждается в помощи</v>
      </c>
    </row>
    <row r="775" spans="1:10" x14ac:dyDescent="0.2">
      <c r="A775" s="4">
        <v>1761</v>
      </c>
      <c r="B775" s="1" t="s">
        <v>3</v>
      </c>
      <c r="C775">
        <v>650</v>
      </c>
      <c r="D775">
        <v>2</v>
      </c>
      <c r="E775" t="s">
        <v>11</v>
      </c>
      <c r="F775" s="6">
        <f t="shared" si="60"/>
        <v>325</v>
      </c>
      <c r="G775" s="7">
        <f t="shared" si="61"/>
        <v>28.761061946902654</v>
      </c>
      <c r="H775" s="7">
        <f t="shared" si="62"/>
        <v>0.95870206489675514</v>
      </c>
      <c r="I775" s="5" t="str">
        <f t="shared" si="63"/>
        <v>бедность</v>
      </c>
      <c r="J775" t="str">
        <f t="shared" si="64"/>
        <v>не нуждается в помощи</v>
      </c>
    </row>
    <row r="776" spans="1:10" x14ac:dyDescent="0.2">
      <c r="A776" s="4">
        <v>3291</v>
      </c>
      <c r="B776" s="1" t="s">
        <v>1</v>
      </c>
      <c r="C776">
        <v>650</v>
      </c>
      <c r="D776">
        <v>2</v>
      </c>
      <c r="E776" t="s">
        <v>11</v>
      </c>
      <c r="F776" s="6">
        <f t="shared" si="60"/>
        <v>325</v>
      </c>
      <c r="G776" s="7">
        <f t="shared" si="61"/>
        <v>28.761061946902654</v>
      </c>
      <c r="H776" s="7">
        <f t="shared" si="62"/>
        <v>0.95870206489675514</v>
      </c>
      <c r="I776" s="5" t="str">
        <f t="shared" si="63"/>
        <v>бедность</v>
      </c>
      <c r="J776" t="str">
        <f t="shared" si="64"/>
        <v>не нуждается в помощи</v>
      </c>
    </row>
    <row r="777" spans="1:10" x14ac:dyDescent="0.2">
      <c r="A777" s="4">
        <v>5047</v>
      </c>
      <c r="B777" s="1" t="s">
        <v>4</v>
      </c>
      <c r="C777">
        <v>650</v>
      </c>
      <c r="D777">
        <v>2</v>
      </c>
      <c r="E777" t="s">
        <v>11</v>
      </c>
      <c r="F777" s="6">
        <f t="shared" si="60"/>
        <v>325</v>
      </c>
      <c r="G777" s="7">
        <f t="shared" si="61"/>
        <v>28.761061946902654</v>
      </c>
      <c r="H777" s="7">
        <f t="shared" si="62"/>
        <v>0.95870206489675514</v>
      </c>
      <c r="I777" s="5" t="str">
        <f t="shared" si="63"/>
        <v>бедность</v>
      </c>
      <c r="J777" t="str">
        <f t="shared" si="64"/>
        <v>не нуждается в помощи</v>
      </c>
    </row>
    <row r="778" spans="1:10" x14ac:dyDescent="0.2">
      <c r="A778" s="4">
        <v>1820</v>
      </c>
      <c r="B778" s="1" t="s">
        <v>3</v>
      </c>
      <c r="C778">
        <v>660</v>
      </c>
      <c r="D778">
        <v>2</v>
      </c>
      <c r="E778" t="s">
        <v>10</v>
      </c>
      <c r="F778" s="6">
        <f t="shared" si="60"/>
        <v>330</v>
      </c>
      <c r="G778" s="7">
        <f t="shared" si="61"/>
        <v>29.203539823008846</v>
      </c>
      <c r="H778" s="7">
        <f t="shared" si="62"/>
        <v>0.97345132743362828</v>
      </c>
      <c r="I778" s="5" t="str">
        <f t="shared" si="63"/>
        <v>бедность</v>
      </c>
      <c r="J778" t="str">
        <f t="shared" si="64"/>
        <v>не нуждается в помощи</v>
      </c>
    </row>
    <row r="779" spans="1:10" x14ac:dyDescent="0.2">
      <c r="A779" s="4">
        <v>6246</v>
      </c>
      <c r="B779" s="1" t="s">
        <v>1</v>
      </c>
      <c r="C779">
        <v>660</v>
      </c>
      <c r="D779">
        <v>2</v>
      </c>
      <c r="E779" t="s">
        <v>10</v>
      </c>
      <c r="F779" s="6">
        <f t="shared" si="60"/>
        <v>330</v>
      </c>
      <c r="G779" s="7">
        <f t="shared" si="61"/>
        <v>29.203539823008846</v>
      </c>
      <c r="H779" s="7">
        <f t="shared" si="62"/>
        <v>0.97345132743362828</v>
      </c>
      <c r="I779" s="5" t="str">
        <f t="shared" si="63"/>
        <v>бедность</v>
      </c>
      <c r="J779" t="str">
        <f t="shared" si="64"/>
        <v>не нуждается в помощи</v>
      </c>
    </row>
    <row r="780" spans="1:10" x14ac:dyDescent="0.2">
      <c r="A780" s="4">
        <v>2145</v>
      </c>
      <c r="B780" s="1" t="s">
        <v>3</v>
      </c>
      <c r="C780">
        <v>680</v>
      </c>
      <c r="D780">
        <v>2</v>
      </c>
      <c r="E780" t="s">
        <v>10</v>
      </c>
      <c r="F780" s="6">
        <f t="shared" si="60"/>
        <v>340</v>
      </c>
      <c r="G780" s="7">
        <f t="shared" si="61"/>
        <v>30.088495575221238</v>
      </c>
      <c r="H780" s="7">
        <f t="shared" si="62"/>
        <v>1.0029498525073746</v>
      </c>
      <c r="I780" s="5" t="str">
        <f t="shared" si="63"/>
        <v>бедность</v>
      </c>
      <c r="J780" t="str">
        <f t="shared" si="64"/>
        <v>не нуждается в помощи</v>
      </c>
    </row>
    <row r="781" spans="1:10" x14ac:dyDescent="0.2">
      <c r="A781" s="4">
        <v>2782</v>
      </c>
      <c r="B781" s="1" t="s">
        <v>2</v>
      </c>
      <c r="C781">
        <v>689</v>
      </c>
      <c r="D781">
        <v>2</v>
      </c>
      <c r="E781" t="s">
        <v>11</v>
      </c>
      <c r="F781" s="6">
        <f t="shared" si="60"/>
        <v>344.5</v>
      </c>
      <c r="G781" s="7">
        <f t="shared" si="61"/>
        <v>30.486725663716811</v>
      </c>
      <c r="H781" s="7">
        <f t="shared" si="62"/>
        <v>1.0162241887905603</v>
      </c>
      <c r="I781" s="5" t="str">
        <f t="shared" si="63"/>
        <v>бедность</v>
      </c>
      <c r="J781" t="str">
        <f t="shared" si="64"/>
        <v>не нуждается в помощи</v>
      </c>
    </row>
    <row r="782" spans="1:10" x14ac:dyDescent="0.2">
      <c r="A782" s="4">
        <v>2890</v>
      </c>
      <c r="B782" s="1" t="s">
        <v>1</v>
      </c>
      <c r="C782">
        <v>700</v>
      </c>
      <c r="D782">
        <v>2</v>
      </c>
      <c r="E782" t="s">
        <v>10</v>
      </c>
      <c r="F782" s="6">
        <f t="shared" si="60"/>
        <v>350</v>
      </c>
      <c r="G782" s="7">
        <f t="shared" si="61"/>
        <v>30.973451327433626</v>
      </c>
      <c r="H782" s="7">
        <f t="shared" si="62"/>
        <v>1.0324483775811208</v>
      </c>
      <c r="I782" s="5" t="str">
        <f t="shared" si="63"/>
        <v>бедность</v>
      </c>
      <c r="J782" t="str">
        <f t="shared" si="64"/>
        <v>не нуждается в помощи</v>
      </c>
    </row>
    <row r="783" spans="1:10" x14ac:dyDescent="0.2">
      <c r="A783" s="4">
        <v>2365</v>
      </c>
      <c r="B783" s="1" t="s">
        <v>0</v>
      </c>
      <c r="C783">
        <v>3200</v>
      </c>
      <c r="D783">
        <v>2</v>
      </c>
      <c r="E783" t="s">
        <v>11</v>
      </c>
      <c r="F783" s="6">
        <f t="shared" si="60"/>
        <v>1600</v>
      </c>
      <c r="G783" s="7">
        <f t="shared" si="61"/>
        <v>141.59292035398229</v>
      </c>
      <c r="H783" s="7">
        <f t="shared" si="62"/>
        <v>4.71976401179941</v>
      </c>
      <c r="I783" s="5" t="str">
        <f t="shared" si="63"/>
        <v>в достатке</v>
      </c>
      <c r="J783" t="str">
        <f t="shared" si="64"/>
        <v>не нуждается в помощи</v>
      </c>
    </row>
    <row r="784" spans="1:10" x14ac:dyDescent="0.2">
      <c r="A784" s="4">
        <v>915</v>
      </c>
      <c r="B784" s="1" t="s">
        <v>4</v>
      </c>
      <c r="C784">
        <v>1400</v>
      </c>
      <c r="D784">
        <v>2</v>
      </c>
      <c r="E784" t="s">
        <v>10</v>
      </c>
      <c r="F784" s="6">
        <f t="shared" si="60"/>
        <v>700</v>
      </c>
      <c r="G784" s="7">
        <f t="shared" si="61"/>
        <v>61.946902654867252</v>
      </c>
      <c r="H784" s="7">
        <f t="shared" si="62"/>
        <v>2.0648967551622417</v>
      </c>
      <c r="I784" s="5" t="str">
        <f t="shared" si="63"/>
        <v>ниже среднего</v>
      </c>
      <c r="J784" t="str">
        <f t="shared" si="64"/>
        <v>не нуждается в помощи</v>
      </c>
    </row>
    <row r="785" spans="1:10" x14ac:dyDescent="0.2">
      <c r="A785" s="4">
        <v>1569</v>
      </c>
      <c r="B785" s="1" t="s">
        <v>5</v>
      </c>
      <c r="C785">
        <v>1400</v>
      </c>
      <c r="D785">
        <v>2</v>
      </c>
      <c r="E785" t="s">
        <v>11</v>
      </c>
      <c r="F785" s="6">
        <f t="shared" si="60"/>
        <v>700</v>
      </c>
      <c r="G785" s="7">
        <f t="shared" si="61"/>
        <v>61.946902654867252</v>
      </c>
      <c r="H785" s="7">
        <f t="shared" si="62"/>
        <v>2.0648967551622417</v>
      </c>
      <c r="I785" s="5" t="str">
        <f t="shared" si="63"/>
        <v>ниже среднего</v>
      </c>
      <c r="J785" t="str">
        <f t="shared" si="64"/>
        <v>не нуждается в помощи</v>
      </c>
    </row>
    <row r="786" spans="1:10" x14ac:dyDescent="0.2">
      <c r="A786" s="4">
        <v>1595</v>
      </c>
      <c r="B786" s="1" t="s">
        <v>5</v>
      </c>
      <c r="C786">
        <v>700</v>
      </c>
      <c r="D786">
        <v>2</v>
      </c>
      <c r="E786" t="s">
        <v>11</v>
      </c>
      <c r="F786" s="6">
        <f t="shared" si="60"/>
        <v>350</v>
      </c>
      <c r="G786" s="7">
        <f t="shared" si="61"/>
        <v>30.973451327433626</v>
      </c>
      <c r="H786" s="7">
        <f t="shared" si="62"/>
        <v>1.0324483775811208</v>
      </c>
      <c r="I786" s="5" t="str">
        <f t="shared" si="63"/>
        <v>бедность</v>
      </c>
      <c r="J786" t="str">
        <f t="shared" si="64"/>
        <v>не нуждается в помощи</v>
      </c>
    </row>
    <row r="787" spans="1:10" x14ac:dyDescent="0.2">
      <c r="A787" s="4">
        <v>1896</v>
      </c>
      <c r="B787" s="1" t="s">
        <v>3</v>
      </c>
      <c r="C787">
        <v>700</v>
      </c>
      <c r="D787">
        <v>2</v>
      </c>
      <c r="E787" t="s">
        <v>11</v>
      </c>
      <c r="F787" s="6">
        <f t="shared" si="60"/>
        <v>350</v>
      </c>
      <c r="G787" s="7">
        <f t="shared" si="61"/>
        <v>30.973451327433626</v>
      </c>
      <c r="H787" s="7">
        <f t="shared" si="62"/>
        <v>1.0324483775811208</v>
      </c>
      <c r="I787" s="5" t="str">
        <f t="shared" si="63"/>
        <v>бедность</v>
      </c>
      <c r="J787" t="str">
        <f t="shared" si="64"/>
        <v>не нуждается в помощи</v>
      </c>
    </row>
    <row r="788" spans="1:10" x14ac:dyDescent="0.2">
      <c r="A788" s="4">
        <v>2040</v>
      </c>
      <c r="B788" s="1" t="s">
        <v>3</v>
      </c>
      <c r="C788">
        <v>700</v>
      </c>
      <c r="D788">
        <v>2</v>
      </c>
      <c r="E788" t="s">
        <v>11</v>
      </c>
      <c r="F788" s="6">
        <f t="shared" si="60"/>
        <v>350</v>
      </c>
      <c r="G788" s="7">
        <f t="shared" si="61"/>
        <v>30.973451327433626</v>
      </c>
      <c r="H788" s="7">
        <f t="shared" si="62"/>
        <v>1.0324483775811208</v>
      </c>
      <c r="I788" s="5" t="str">
        <f t="shared" si="63"/>
        <v>бедность</v>
      </c>
      <c r="J788" t="str">
        <f t="shared" si="64"/>
        <v>не нуждается в помощи</v>
      </c>
    </row>
    <row r="789" spans="1:10" x14ac:dyDescent="0.2">
      <c r="A789" s="4">
        <v>2076</v>
      </c>
      <c r="B789" s="1" t="s">
        <v>3</v>
      </c>
      <c r="C789">
        <v>1000</v>
      </c>
      <c r="D789">
        <v>2</v>
      </c>
      <c r="E789" t="s">
        <v>11</v>
      </c>
      <c r="F789" s="6">
        <f t="shared" si="60"/>
        <v>500</v>
      </c>
      <c r="G789" s="7">
        <f t="shared" si="61"/>
        <v>44.247787610619469</v>
      </c>
      <c r="H789" s="7">
        <f t="shared" si="62"/>
        <v>1.4749262536873156</v>
      </c>
      <c r="I789" s="5" t="str">
        <f t="shared" si="63"/>
        <v>ниже среднего</v>
      </c>
      <c r="J789" t="str">
        <f t="shared" si="64"/>
        <v>не нуждается в помощи</v>
      </c>
    </row>
    <row r="790" spans="1:10" x14ac:dyDescent="0.2">
      <c r="A790" s="4">
        <v>2089</v>
      </c>
      <c r="B790" s="1" t="s">
        <v>3</v>
      </c>
      <c r="C790">
        <v>700</v>
      </c>
      <c r="D790">
        <v>2</v>
      </c>
      <c r="E790" t="s">
        <v>11</v>
      </c>
      <c r="F790" s="6">
        <f t="shared" si="60"/>
        <v>350</v>
      </c>
      <c r="G790" s="7">
        <f t="shared" si="61"/>
        <v>30.973451327433626</v>
      </c>
      <c r="H790" s="7">
        <f t="shared" si="62"/>
        <v>1.0324483775811208</v>
      </c>
      <c r="I790" s="5" t="str">
        <f t="shared" si="63"/>
        <v>бедность</v>
      </c>
      <c r="J790" t="str">
        <f t="shared" si="64"/>
        <v>не нуждается в помощи</v>
      </c>
    </row>
    <row r="791" spans="1:10" x14ac:dyDescent="0.2">
      <c r="A791" s="4">
        <v>2103</v>
      </c>
      <c r="B791" s="1" t="s">
        <v>3</v>
      </c>
      <c r="C791">
        <v>700</v>
      </c>
      <c r="D791">
        <v>2</v>
      </c>
      <c r="E791" t="s">
        <v>11</v>
      </c>
      <c r="F791" s="6">
        <f t="shared" si="60"/>
        <v>350</v>
      </c>
      <c r="G791" s="7">
        <f t="shared" si="61"/>
        <v>30.973451327433626</v>
      </c>
      <c r="H791" s="7">
        <f t="shared" si="62"/>
        <v>1.0324483775811208</v>
      </c>
      <c r="I791" s="5" t="str">
        <f t="shared" si="63"/>
        <v>бедность</v>
      </c>
      <c r="J791" t="str">
        <f t="shared" si="64"/>
        <v>не нуждается в помощи</v>
      </c>
    </row>
    <row r="792" spans="1:10" x14ac:dyDescent="0.2">
      <c r="A792" s="4">
        <v>2395</v>
      </c>
      <c r="B792" s="1" t="s">
        <v>0</v>
      </c>
      <c r="C792">
        <v>700</v>
      </c>
      <c r="D792">
        <v>2</v>
      </c>
      <c r="E792" t="s">
        <v>10</v>
      </c>
      <c r="F792" s="6">
        <f t="shared" si="60"/>
        <v>350</v>
      </c>
      <c r="G792" s="7">
        <f t="shared" si="61"/>
        <v>30.973451327433626</v>
      </c>
      <c r="H792" s="7">
        <f t="shared" si="62"/>
        <v>1.0324483775811208</v>
      </c>
      <c r="I792" s="5" t="str">
        <f t="shared" si="63"/>
        <v>бедность</v>
      </c>
      <c r="J792" t="str">
        <f t="shared" si="64"/>
        <v>не нуждается в помощи</v>
      </c>
    </row>
    <row r="793" spans="1:10" x14ac:dyDescent="0.2">
      <c r="A793" s="4">
        <v>5048</v>
      </c>
      <c r="B793" s="1" t="s">
        <v>4</v>
      </c>
      <c r="C793">
        <v>1700</v>
      </c>
      <c r="D793">
        <v>2</v>
      </c>
      <c r="E793" t="s">
        <v>10</v>
      </c>
      <c r="F793" s="6">
        <f t="shared" si="60"/>
        <v>850</v>
      </c>
      <c r="G793" s="7">
        <f t="shared" si="61"/>
        <v>75.221238938053091</v>
      </c>
      <c r="H793" s="7">
        <f t="shared" si="62"/>
        <v>2.5073746312684362</v>
      </c>
      <c r="I793" s="5" t="str">
        <f t="shared" si="63"/>
        <v>средний</v>
      </c>
      <c r="J793" t="str">
        <f t="shared" si="64"/>
        <v>не нуждается в помощи</v>
      </c>
    </row>
    <row r="794" spans="1:10" x14ac:dyDescent="0.2">
      <c r="A794" s="4">
        <v>1578</v>
      </c>
      <c r="B794" s="1" t="s">
        <v>5</v>
      </c>
      <c r="C794">
        <v>1000</v>
      </c>
      <c r="D794">
        <v>2</v>
      </c>
      <c r="E794" t="s">
        <v>11</v>
      </c>
      <c r="F794" s="6">
        <f t="shared" si="60"/>
        <v>500</v>
      </c>
      <c r="G794" s="7">
        <f t="shared" si="61"/>
        <v>44.247787610619469</v>
      </c>
      <c r="H794" s="7">
        <f t="shared" si="62"/>
        <v>1.4749262536873156</v>
      </c>
      <c r="I794" s="5" t="str">
        <f t="shared" si="63"/>
        <v>ниже среднего</v>
      </c>
      <c r="J794" t="str">
        <f t="shared" si="64"/>
        <v>не нуждается в помощи</v>
      </c>
    </row>
    <row r="795" spans="1:10" x14ac:dyDescent="0.2">
      <c r="A795" s="4">
        <v>2628</v>
      </c>
      <c r="B795" s="1" t="s">
        <v>0</v>
      </c>
      <c r="C795">
        <v>1250</v>
      </c>
      <c r="D795">
        <v>2</v>
      </c>
      <c r="E795" t="s">
        <v>11</v>
      </c>
      <c r="F795" s="6">
        <f t="shared" si="60"/>
        <v>625</v>
      </c>
      <c r="G795" s="7">
        <f t="shared" si="61"/>
        <v>55.309734513274336</v>
      </c>
      <c r="H795" s="7">
        <f t="shared" si="62"/>
        <v>1.8436578171091442</v>
      </c>
      <c r="I795" s="5" t="str">
        <f t="shared" si="63"/>
        <v>ниже среднего</v>
      </c>
      <c r="J795" t="str">
        <f t="shared" si="64"/>
        <v>не нуждается в помощи</v>
      </c>
    </row>
    <row r="796" spans="1:10" x14ac:dyDescent="0.2">
      <c r="A796" s="4">
        <v>5049</v>
      </c>
      <c r="B796" s="1" t="s">
        <v>4</v>
      </c>
      <c r="C796">
        <v>750</v>
      </c>
      <c r="D796">
        <v>2</v>
      </c>
      <c r="E796" t="s">
        <v>11</v>
      </c>
      <c r="F796" s="6">
        <f t="shared" si="60"/>
        <v>375</v>
      </c>
      <c r="G796" s="7">
        <f t="shared" si="61"/>
        <v>33.185840707964601</v>
      </c>
      <c r="H796" s="7">
        <f t="shared" si="62"/>
        <v>1.1061946902654867</v>
      </c>
      <c r="I796" s="5" t="str">
        <f t="shared" si="63"/>
        <v>бедность</v>
      </c>
      <c r="J796" t="str">
        <f t="shared" si="64"/>
        <v>не нуждается в помощи</v>
      </c>
    </row>
    <row r="797" spans="1:10" x14ac:dyDescent="0.2">
      <c r="A797" s="4">
        <v>5823</v>
      </c>
      <c r="B797" s="1" t="s">
        <v>2</v>
      </c>
      <c r="C797">
        <v>810</v>
      </c>
      <c r="D797">
        <v>2</v>
      </c>
      <c r="E797" t="s">
        <v>11</v>
      </c>
      <c r="F797" s="6">
        <f t="shared" si="60"/>
        <v>405</v>
      </c>
      <c r="G797" s="7">
        <f t="shared" si="61"/>
        <v>35.840707964601769</v>
      </c>
      <c r="H797" s="7">
        <f t="shared" si="62"/>
        <v>1.1946902654867255</v>
      </c>
      <c r="I797" s="5" t="str">
        <f t="shared" si="63"/>
        <v>бедность</v>
      </c>
      <c r="J797" t="str">
        <f t="shared" si="64"/>
        <v>не нуждается в помощи</v>
      </c>
    </row>
    <row r="798" spans="1:10" x14ac:dyDescent="0.2">
      <c r="A798" s="4">
        <v>5041</v>
      </c>
      <c r="B798" s="1" t="s">
        <v>4</v>
      </c>
      <c r="C798">
        <v>760</v>
      </c>
      <c r="D798">
        <v>2</v>
      </c>
      <c r="E798" t="s">
        <v>11</v>
      </c>
      <c r="F798" s="6">
        <f t="shared" si="60"/>
        <v>380</v>
      </c>
      <c r="G798" s="7">
        <f t="shared" si="61"/>
        <v>33.628318584070797</v>
      </c>
      <c r="H798" s="7">
        <f t="shared" si="62"/>
        <v>1.1209439528023597</v>
      </c>
      <c r="I798" s="5" t="str">
        <f t="shared" si="63"/>
        <v>бедность</v>
      </c>
      <c r="J798" t="str">
        <f t="shared" si="64"/>
        <v>не нуждается в помощи</v>
      </c>
    </row>
    <row r="799" spans="1:10" x14ac:dyDescent="0.2">
      <c r="A799" s="4">
        <v>1763</v>
      </c>
      <c r="B799" s="1" t="s">
        <v>3</v>
      </c>
      <c r="C799">
        <v>2160</v>
      </c>
      <c r="D799">
        <v>2</v>
      </c>
      <c r="E799" t="s">
        <v>11</v>
      </c>
      <c r="F799" s="6">
        <f t="shared" si="60"/>
        <v>1080</v>
      </c>
      <c r="G799" s="7">
        <f t="shared" si="61"/>
        <v>95.575221238938042</v>
      </c>
      <c r="H799" s="7">
        <f t="shared" si="62"/>
        <v>3.1858407079646014</v>
      </c>
      <c r="I799" s="5" t="str">
        <f t="shared" si="63"/>
        <v>средний</v>
      </c>
      <c r="J799" t="str">
        <f t="shared" si="64"/>
        <v>не нуждается в помощи</v>
      </c>
    </row>
    <row r="800" spans="1:10" x14ac:dyDescent="0.2">
      <c r="A800" s="4">
        <v>2193</v>
      </c>
      <c r="B800" s="1" t="s">
        <v>3</v>
      </c>
      <c r="C800">
        <v>800</v>
      </c>
      <c r="D800">
        <v>2</v>
      </c>
      <c r="E800" t="s">
        <v>10</v>
      </c>
      <c r="F800" s="6">
        <f t="shared" si="60"/>
        <v>400</v>
      </c>
      <c r="G800" s="7">
        <f t="shared" si="61"/>
        <v>35.398230088495573</v>
      </c>
      <c r="H800" s="7">
        <f t="shared" si="62"/>
        <v>1.1799410029498525</v>
      </c>
      <c r="I800" s="5" t="str">
        <f t="shared" si="63"/>
        <v>бедность</v>
      </c>
      <c r="J800" t="str">
        <f t="shared" si="64"/>
        <v>не нуждается в помощи</v>
      </c>
    </row>
    <row r="801" spans="1:10" x14ac:dyDescent="0.2">
      <c r="A801" s="4">
        <v>2889</v>
      </c>
      <c r="B801" s="1" t="s">
        <v>1</v>
      </c>
      <c r="C801">
        <v>800</v>
      </c>
      <c r="D801">
        <v>2</v>
      </c>
      <c r="E801" t="s">
        <v>10</v>
      </c>
      <c r="F801" s="6">
        <f t="shared" si="60"/>
        <v>400</v>
      </c>
      <c r="G801" s="7">
        <f t="shared" si="61"/>
        <v>35.398230088495573</v>
      </c>
      <c r="H801" s="7">
        <f t="shared" si="62"/>
        <v>1.1799410029498525</v>
      </c>
      <c r="I801" s="5" t="str">
        <f t="shared" si="63"/>
        <v>бедность</v>
      </c>
      <c r="J801" t="str">
        <f t="shared" si="64"/>
        <v>не нуждается в помощи</v>
      </c>
    </row>
    <row r="802" spans="1:10" x14ac:dyDescent="0.2">
      <c r="A802" s="4">
        <v>458</v>
      </c>
      <c r="B802" s="1" t="s">
        <v>4</v>
      </c>
      <c r="C802">
        <v>800</v>
      </c>
      <c r="D802">
        <v>2</v>
      </c>
      <c r="E802" t="s">
        <v>11</v>
      </c>
      <c r="F802" s="6">
        <f t="shared" si="60"/>
        <v>400</v>
      </c>
      <c r="G802" s="7">
        <f t="shared" si="61"/>
        <v>35.398230088495573</v>
      </c>
      <c r="H802" s="7">
        <f t="shared" si="62"/>
        <v>1.1799410029498525</v>
      </c>
      <c r="I802" s="5" t="str">
        <f t="shared" si="63"/>
        <v>бедность</v>
      </c>
      <c r="J802" t="str">
        <f t="shared" si="64"/>
        <v>не нуждается в помощи</v>
      </c>
    </row>
    <row r="803" spans="1:10" x14ac:dyDescent="0.2">
      <c r="A803" s="4">
        <v>1521</v>
      </c>
      <c r="B803" s="1" t="s">
        <v>5</v>
      </c>
      <c r="C803">
        <v>1500</v>
      </c>
      <c r="D803">
        <v>2</v>
      </c>
      <c r="E803" t="s">
        <v>11</v>
      </c>
      <c r="F803" s="6">
        <f t="shared" si="60"/>
        <v>750</v>
      </c>
      <c r="G803" s="7">
        <f t="shared" si="61"/>
        <v>66.371681415929203</v>
      </c>
      <c r="H803" s="7">
        <f t="shared" si="62"/>
        <v>2.2123893805309733</v>
      </c>
      <c r="I803" s="5" t="str">
        <f t="shared" si="63"/>
        <v>ниже среднего</v>
      </c>
      <c r="J803" t="str">
        <f t="shared" si="64"/>
        <v>не нуждается в помощи</v>
      </c>
    </row>
    <row r="804" spans="1:10" x14ac:dyDescent="0.2">
      <c r="A804" s="4">
        <v>2011</v>
      </c>
      <c r="B804" s="1" t="s">
        <v>3</v>
      </c>
      <c r="C804">
        <v>1800</v>
      </c>
      <c r="D804">
        <v>2</v>
      </c>
      <c r="E804" t="s">
        <v>10</v>
      </c>
      <c r="F804" s="6">
        <f t="shared" si="60"/>
        <v>900</v>
      </c>
      <c r="G804" s="7">
        <f t="shared" si="61"/>
        <v>79.646017699115035</v>
      </c>
      <c r="H804" s="7">
        <f t="shared" si="62"/>
        <v>2.6548672566371678</v>
      </c>
      <c r="I804" s="5" t="str">
        <f t="shared" si="63"/>
        <v>средний</v>
      </c>
      <c r="J804" t="str">
        <f t="shared" si="64"/>
        <v>не нуждается в помощи</v>
      </c>
    </row>
    <row r="805" spans="1:10" x14ac:dyDescent="0.2">
      <c r="A805" s="4">
        <v>2147</v>
      </c>
      <c r="B805" s="1" t="s">
        <v>3</v>
      </c>
      <c r="C805">
        <v>1500</v>
      </c>
      <c r="D805">
        <v>2</v>
      </c>
      <c r="E805" t="s">
        <v>10</v>
      </c>
      <c r="F805" s="6">
        <f t="shared" si="60"/>
        <v>750</v>
      </c>
      <c r="G805" s="7">
        <f t="shared" si="61"/>
        <v>66.371681415929203</v>
      </c>
      <c r="H805" s="7">
        <f t="shared" si="62"/>
        <v>2.2123893805309733</v>
      </c>
      <c r="I805" s="5" t="str">
        <f t="shared" si="63"/>
        <v>ниже среднего</v>
      </c>
      <c r="J805" t="str">
        <f t="shared" si="64"/>
        <v>не нуждается в помощи</v>
      </c>
    </row>
    <row r="806" spans="1:10" x14ac:dyDescent="0.2">
      <c r="A806" s="4">
        <v>2304</v>
      </c>
      <c r="B806" s="1" t="s">
        <v>0</v>
      </c>
      <c r="C806">
        <v>800</v>
      </c>
      <c r="D806">
        <v>2</v>
      </c>
      <c r="E806" t="s">
        <v>10</v>
      </c>
      <c r="F806" s="6">
        <f t="shared" si="60"/>
        <v>400</v>
      </c>
      <c r="G806" s="7">
        <f t="shared" si="61"/>
        <v>35.398230088495573</v>
      </c>
      <c r="H806" s="7">
        <f t="shared" si="62"/>
        <v>1.1799410029498525</v>
      </c>
      <c r="I806" s="5" t="str">
        <f t="shared" si="63"/>
        <v>бедность</v>
      </c>
      <c r="J806" t="str">
        <f t="shared" si="64"/>
        <v>не нуждается в помощи</v>
      </c>
    </row>
    <row r="807" spans="1:10" x14ac:dyDescent="0.2">
      <c r="A807" s="4">
        <v>3202</v>
      </c>
      <c r="B807" s="1" t="s">
        <v>1</v>
      </c>
      <c r="C807">
        <v>800</v>
      </c>
      <c r="D807">
        <v>2</v>
      </c>
      <c r="E807" t="s">
        <v>11</v>
      </c>
      <c r="F807" s="6">
        <f t="shared" si="60"/>
        <v>400</v>
      </c>
      <c r="G807" s="7">
        <f t="shared" si="61"/>
        <v>35.398230088495573</v>
      </c>
      <c r="H807" s="7">
        <f t="shared" si="62"/>
        <v>1.1799410029498525</v>
      </c>
      <c r="I807" s="5" t="str">
        <f t="shared" si="63"/>
        <v>бедность</v>
      </c>
      <c r="J807" t="str">
        <f t="shared" si="64"/>
        <v>не нуждается в помощи</v>
      </c>
    </row>
    <row r="808" spans="1:10" x14ac:dyDescent="0.2">
      <c r="A808" s="4">
        <v>5141</v>
      </c>
      <c r="B808" s="1" t="s">
        <v>4</v>
      </c>
      <c r="C808">
        <v>4300</v>
      </c>
      <c r="D808">
        <v>2</v>
      </c>
      <c r="E808" t="s">
        <v>10</v>
      </c>
      <c r="F808" s="6">
        <f t="shared" si="60"/>
        <v>2150</v>
      </c>
      <c r="G808" s="7">
        <f t="shared" si="61"/>
        <v>190.26548672566369</v>
      </c>
      <c r="H808" s="7">
        <f t="shared" si="62"/>
        <v>6.3421828908554572</v>
      </c>
      <c r="I808" s="5" t="str">
        <f t="shared" si="63"/>
        <v>в достатке</v>
      </c>
      <c r="J808" t="str">
        <f t="shared" si="64"/>
        <v>не нуждается в помощи</v>
      </c>
    </row>
    <row r="809" spans="1:10" x14ac:dyDescent="0.2">
      <c r="A809" s="4">
        <v>2025</v>
      </c>
      <c r="B809" s="1" t="s">
        <v>3</v>
      </c>
      <c r="C809">
        <v>870</v>
      </c>
      <c r="D809">
        <v>2</v>
      </c>
      <c r="E809" t="s">
        <v>10</v>
      </c>
      <c r="F809" s="6">
        <f t="shared" si="60"/>
        <v>435</v>
      </c>
      <c r="G809" s="7">
        <f t="shared" si="61"/>
        <v>38.495575221238937</v>
      </c>
      <c r="H809" s="7">
        <f t="shared" si="62"/>
        <v>1.2831858407079646</v>
      </c>
      <c r="I809" s="5" t="str">
        <f t="shared" si="63"/>
        <v>бедность</v>
      </c>
      <c r="J809" t="str">
        <f t="shared" si="64"/>
        <v>не нуждается в помощи</v>
      </c>
    </row>
    <row r="810" spans="1:10" x14ac:dyDescent="0.2">
      <c r="A810" s="4">
        <v>6443</v>
      </c>
      <c r="B810" s="1" t="s">
        <v>3</v>
      </c>
      <c r="C810">
        <v>900</v>
      </c>
      <c r="D810">
        <v>2</v>
      </c>
      <c r="E810" t="s">
        <v>10</v>
      </c>
      <c r="F810" s="6">
        <f t="shared" si="60"/>
        <v>450</v>
      </c>
      <c r="G810" s="7">
        <f t="shared" si="61"/>
        <v>39.823008849557517</v>
      </c>
      <c r="H810" s="7">
        <f t="shared" si="62"/>
        <v>1.3274336283185839</v>
      </c>
      <c r="I810" s="5" t="str">
        <f t="shared" si="63"/>
        <v>бедность</v>
      </c>
      <c r="J810" t="str">
        <f t="shared" si="64"/>
        <v>не нуждается в помощи</v>
      </c>
    </row>
    <row r="811" spans="1:10" x14ac:dyDescent="0.2">
      <c r="A811" s="4">
        <v>839</v>
      </c>
      <c r="B811" s="1" t="s">
        <v>4</v>
      </c>
      <c r="C811">
        <v>900</v>
      </c>
      <c r="D811">
        <v>2</v>
      </c>
      <c r="E811" t="s">
        <v>10</v>
      </c>
      <c r="F811" s="6">
        <f t="shared" si="60"/>
        <v>450</v>
      </c>
      <c r="G811" s="7">
        <f t="shared" si="61"/>
        <v>39.823008849557517</v>
      </c>
      <c r="H811" s="7">
        <f t="shared" si="62"/>
        <v>1.3274336283185839</v>
      </c>
      <c r="I811" s="5" t="str">
        <f t="shared" si="63"/>
        <v>бедность</v>
      </c>
      <c r="J811" t="str">
        <f t="shared" si="64"/>
        <v>не нуждается в помощи</v>
      </c>
    </row>
    <row r="812" spans="1:10" x14ac:dyDescent="0.2">
      <c r="A812" s="4">
        <v>1780</v>
      </c>
      <c r="B812" s="1" t="s">
        <v>3</v>
      </c>
      <c r="C812">
        <v>2900</v>
      </c>
      <c r="D812">
        <v>2</v>
      </c>
      <c r="E812" t="s">
        <v>11</v>
      </c>
      <c r="F812" s="6">
        <f t="shared" si="60"/>
        <v>1450</v>
      </c>
      <c r="G812" s="7">
        <f t="shared" si="61"/>
        <v>128.31858407079645</v>
      </c>
      <c r="H812" s="7">
        <f t="shared" si="62"/>
        <v>4.277286135693215</v>
      </c>
      <c r="I812" s="5" t="str">
        <f t="shared" si="63"/>
        <v>в достатке</v>
      </c>
      <c r="J812" t="str">
        <f t="shared" si="64"/>
        <v>не нуждается в помощи</v>
      </c>
    </row>
    <row r="813" spans="1:10" x14ac:dyDescent="0.2">
      <c r="A813" s="4">
        <v>1802</v>
      </c>
      <c r="B813" s="1" t="s">
        <v>3</v>
      </c>
      <c r="C813">
        <v>900</v>
      </c>
      <c r="D813">
        <v>2</v>
      </c>
      <c r="E813" t="s">
        <v>11</v>
      </c>
      <c r="F813" s="6">
        <f t="shared" si="60"/>
        <v>450</v>
      </c>
      <c r="G813" s="7">
        <f t="shared" si="61"/>
        <v>39.823008849557517</v>
      </c>
      <c r="H813" s="7">
        <f t="shared" si="62"/>
        <v>1.3274336283185839</v>
      </c>
      <c r="I813" s="5" t="str">
        <f t="shared" si="63"/>
        <v>бедность</v>
      </c>
      <c r="J813" t="str">
        <f t="shared" si="64"/>
        <v>не нуждается в помощи</v>
      </c>
    </row>
    <row r="814" spans="1:10" x14ac:dyDescent="0.2">
      <c r="A814" s="4">
        <v>2091</v>
      </c>
      <c r="B814" s="1" t="s">
        <v>3</v>
      </c>
      <c r="C814">
        <v>900</v>
      </c>
      <c r="D814">
        <v>2</v>
      </c>
      <c r="E814" t="s">
        <v>10</v>
      </c>
      <c r="F814" s="6">
        <f t="shared" si="60"/>
        <v>450</v>
      </c>
      <c r="G814" s="7">
        <f t="shared" si="61"/>
        <v>39.823008849557517</v>
      </c>
      <c r="H814" s="7">
        <f t="shared" si="62"/>
        <v>1.3274336283185839</v>
      </c>
      <c r="I814" s="5" t="str">
        <f t="shared" si="63"/>
        <v>бедность</v>
      </c>
      <c r="J814" t="str">
        <f t="shared" si="64"/>
        <v>не нуждается в помощи</v>
      </c>
    </row>
    <row r="815" spans="1:10" x14ac:dyDescent="0.2">
      <c r="A815" s="4">
        <v>5001</v>
      </c>
      <c r="B815" s="1" t="s">
        <v>4</v>
      </c>
      <c r="C815">
        <v>900</v>
      </c>
      <c r="D815">
        <v>2</v>
      </c>
      <c r="E815" t="s">
        <v>11</v>
      </c>
      <c r="F815" s="6">
        <f t="shared" si="60"/>
        <v>450</v>
      </c>
      <c r="G815" s="7">
        <f t="shared" si="61"/>
        <v>39.823008849557517</v>
      </c>
      <c r="H815" s="7">
        <f t="shared" si="62"/>
        <v>1.3274336283185839</v>
      </c>
      <c r="I815" s="5" t="str">
        <f t="shared" si="63"/>
        <v>бедность</v>
      </c>
      <c r="J815" t="str">
        <f t="shared" si="64"/>
        <v>не нуждается в помощи</v>
      </c>
    </row>
    <row r="816" spans="1:10" x14ac:dyDescent="0.2">
      <c r="A816" s="4">
        <v>1992</v>
      </c>
      <c r="B816" s="1" t="s">
        <v>3</v>
      </c>
      <c r="C816" s="1">
        <v>1500</v>
      </c>
      <c r="D816">
        <v>2</v>
      </c>
      <c r="E816" t="s">
        <v>10</v>
      </c>
      <c r="F816" s="6">
        <f t="shared" si="60"/>
        <v>750</v>
      </c>
      <c r="G816" s="7">
        <f t="shared" si="61"/>
        <v>66.371681415929203</v>
      </c>
      <c r="H816" s="7">
        <f t="shared" si="62"/>
        <v>2.2123893805309733</v>
      </c>
      <c r="I816" s="5" t="str">
        <f t="shared" si="63"/>
        <v>ниже среднего</v>
      </c>
      <c r="J816" t="str">
        <f t="shared" si="64"/>
        <v>не нуждается в помощи</v>
      </c>
    </row>
    <row r="817" spans="1:10" x14ac:dyDescent="0.2">
      <c r="A817" s="4">
        <v>2636</v>
      </c>
      <c r="B817" s="1" t="s">
        <v>0</v>
      </c>
      <c r="C817" s="1">
        <v>1000</v>
      </c>
      <c r="D817">
        <v>2</v>
      </c>
      <c r="E817" t="s">
        <v>11</v>
      </c>
      <c r="F817" s="6">
        <f t="shared" si="60"/>
        <v>500</v>
      </c>
      <c r="G817" s="7">
        <f t="shared" si="61"/>
        <v>44.247787610619469</v>
      </c>
      <c r="H817" s="7">
        <f t="shared" si="62"/>
        <v>1.4749262536873156</v>
      </c>
      <c r="I817" s="5" t="str">
        <f t="shared" si="63"/>
        <v>ниже среднего</v>
      </c>
      <c r="J817" t="str">
        <f t="shared" si="64"/>
        <v>не нуждается в помощи</v>
      </c>
    </row>
    <row r="818" spans="1:10" x14ac:dyDescent="0.2">
      <c r="A818" s="4">
        <v>961</v>
      </c>
      <c r="B818" t="s">
        <v>4</v>
      </c>
      <c r="C818" s="1">
        <v>2000</v>
      </c>
      <c r="D818">
        <v>2</v>
      </c>
      <c r="E818" t="s">
        <v>10</v>
      </c>
      <c r="F818" s="6">
        <f t="shared" si="60"/>
        <v>1000</v>
      </c>
      <c r="G818" s="7">
        <f t="shared" si="61"/>
        <v>88.495575221238937</v>
      </c>
      <c r="H818" s="7">
        <f t="shared" si="62"/>
        <v>2.9498525073746311</v>
      </c>
      <c r="I818" s="5" t="str">
        <f t="shared" si="63"/>
        <v>средний</v>
      </c>
      <c r="J818" t="str">
        <f t="shared" si="64"/>
        <v>не нуждается в помощи</v>
      </c>
    </row>
    <row r="819" spans="1:10" x14ac:dyDescent="0.2">
      <c r="A819" s="4">
        <v>2003</v>
      </c>
      <c r="B819" t="s">
        <v>3</v>
      </c>
      <c r="C819" s="1">
        <v>3000</v>
      </c>
      <c r="D819">
        <v>2</v>
      </c>
      <c r="E819" t="s">
        <v>10</v>
      </c>
      <c r="F819" s="6">
        <f t="shared" si="60"/>
        <v>1500</v>
      </c>
      <c r="G819" s="7">
        <f t="shared" si="61"/>
        <v>132.74336283185841</v>
      </c>
      <c r="H819" s="7">
        <f t="shared" si="62"/>
        <v>4.4247787610619467</v>
      </c>
      <c r="I819" s="5" t="str">
        <f t="shared" si="63"/>
        <v>в достатке</v>
      </c>
      <c r="J819" t="str">
        <f t="shared" si="64"/>
        <v>не нуждается в помощи</v>
      </c>
    </row>
    <row r="820" spans="1:10" x14ac:dyDescent="0.2">
      <c r="A820" s="4">
        <v>2379</v>
      </c>
      <c r="B820" t="s">
        <v>0</v>
      </c>
      <c r="C820" s="1">
        <v>1000</v>
      </c>
      <c r="D820">
        <v>2</v>
      </c>
      <c r="E820" t="s">
        <v>10</v>
      </c>
      <c r="F820" s="6">
        <f t="shared" si="60"/>
        <v>500</v>
      </c>
      <c r="G820" s="7">
        <f t="shared" si="61"/>
        <v>44.247787610619469</v>
      </c>
      <c r="H820" s="7">
        <f t="shared" si="62"/>
        <v>1.4749262536873156</v>
      </c>
      <c r="I820" s="5" t="str">
        <f t="shared" si="63"/>
        <v>ниже среднего</v>
      </c>
      <c r="J820" t="str">
        <f t="shared" si="64"/>
        <v>не нуждается в помощи</v>
      </c>
    </row>
    <row r="821" spans="1:10" x14ac:dyDescent="0.2">
      <c r="A821" s="4">
        <v>2466</v>
      </c>
      <c r="B821" t="s">
        <v>0</v>
      </c>
      <c r="C821" s="1">
        <v>1000</v>
      </c>
      <c r="D821">
        <v>2</v>
      </c>
      <c r="E821" t="s">
        <v>11</v>
      </c>
      <c r="F821" s="6">
        <f t="shared" si="60"/>
        <v>500</v>
      </c>
      <c r="G821" s="7">
        <f t="shared" si="61"/>
        <v>44.247787610619469</v>
      </c>
      <c r="H821" s="7">
        <f t="shared" si="62"/>
        <v>1.4749262536873156</v>
      </c>
      <c r="I821" s="5" t="str">
        <f t="shared" si="63"/>
        <v>ниже среднего</v>
      </c>
      <c r="J821" t="str">
        <f t="shared" si="64"/>
        <v>не нуждается в помощи</v>
      </c>
    </row>
    <row r="822" spans="1:10" x14ac:dyDescent="0.2">
      <c r="A822" s="4">
        <v>2574</v>
      </c>
      <c r="B822" t="s">
        <v>0</v>
      </c>
      <c r="C822" s="1">
        <v>1000</v>
      </c>
      <c r="D822">
        <v>2</v>
      </c>
      <c r="E822" t="s">
        <v>10</v>
      </c>
      <c r="F822" s="6">
        <f t="shared" si="60"/>
        <v>500</v>
      </c>
      <c r="G822" s="7">
        <f t="shared" si="61"/>
        <v>44.247787610619469</v>
      </c>
      <c r="H822" s="7">
        <f t="shared" si="62"/>
        <v>1.4749262536873156</v>
      </c>
      <c r="I822" s="5" t="str">
        <f t="shared" si="63"/>
        <v>ниже среднего</v>
      </c>
      <c r="J822" t="str">
        <f t="shared" si="64"/>
        <v>не нуждается в помощи</v>
      </c>
    </row>
    <row r="823" spans="1:10" x14ac:dyDescent="0.2">
      <c r="A823" s="4">
        <v>2747</v>
      </c>
      <c r="B823" t="s">
        <v>2</v>
      </c>
      <c r="C823" s="1">
        <v>1000</v>
      </c>
      <c r="D823">
        <v>2</v>
      </c>
      <c r="E823" t="s">
        <v>10</v>
      </c>
      <c r="F823" s="6">
        <f t="shared" si="60"/>
        <v>500</v>
      </c>
      <c r="G823" s="7">
        <f t="shared" si="61"/>
        <v>44.247787610619469</v>
      </c>
      <c r="H823" s="7">
        <f t="shared" si="62"/>
        <v>1.4749262536873156</v>
      </c>
      <c r="I823" s="5" t="str">
        <f t="shared" si="63"/>
        <v>ниже среднего</v>
      </c>
      <c r="J823" t="str">
        <f t="shared" si="64"/>
        <v>не нуждается в помощи</v>
      </c>
    </row>
    <row r="824" spans="1:10" x14ac:dyDescent="0.2">
      <c r="A824" s="4">
        <v>2771</v>
      </c>
      <c r="B824" t="s">
        <v>2</v>
      </c>
      <c r="C824" s="1">
        <v>1000</v>
      </c>
      <c r="D824">
        <v>2</v>
      </c>
      <c r="E824" t="s">
        <v>11</v>
      </c>
      <c r="F824" s="6">
        <f t="shared" si="60"/>
        <v>500</v>
      </c>
      <c r="G824" s="7">
        <f t="shared" si="61"/>
        <v>44.247787610619469</v>
      </c>
      <c r="H824" s="7">
        <f t="shared" si="62"/>
        <v>1.4749262536873156</v>
      </c>
      <c r="I824" s="5" t="str">
        <f t="shared" si="63"/>
        <v>ниже среднего</v>
      </c>
      <c r="J824" t="str">
        <f t="shared" si="64"/>
        <v>не нуждается в помощи</v>
      </c>
    </row>
    <row r="825" spans="1:10" x14ac:dyDescent="0.2">
      <c r="A825" s="4">
        <v>3056</v>
      </c>
      <c r="B825" t="s">
        <v>1</v>
      </c>
      <c r="C825" s="1">
        <v>1000</v>
      </c>
      <c r="D825">
        <v>2</v>
      </c>
      <c r="E825" t="s">
        <v>10</v>
      </c>
      <c r="F825" s="6">
        <f t="shared" si="60"/>
        <v>500</v>
      </c>
      <c r="G825" s="7">
        <f t="shared" si="61"/>
        <v>44.247787610619469</v>
      </c>
      <c r="H825" s="7">
        <f t="shared" si="62"/>
        <v>1.4749262536873156</v>
      </c>
      <c r="I825" s="5" t="str">
        <f t="shared" si="63"/>
        <v>ниже среднего</v>
      </c>
      <c r="J825" t="str">
        <f t="shared" si="64"/>
        <v>не нуждается в помощи</v>
      </c>
    </row>
    <row r="826" spans="1:10" x14ac:dyDescent="0.2">
      <c r="A826" s="4">
        <v>3205</v>
      </c>
      <c r="B826" t="s">
        <v>1</v>
      </c>
      <c r="C826" s="1">
        <v>1000</v>
      </c>
      <c r="D826">
        <v>2</v>
      </c>
      <c r="E826" t="s">
        <v>11</v>
      </c>
      <c r="F826" s="6">
        <f t="shared" si="60"/>
        <v>500</v>
      </c>
      <c r="G826" s="7">
        <f t="shared" si="61"/>
        <v>44.247787610619469</v>
      </c>
      <c r="H826" s="7">
        <f t="shared" si="62"/>
        <v>1.4749262536873156</v>
      </c>
      <c r="I826" s="5" t="str">
        <f t="shared" si="63"/>
        <v>ниже среднего</v>
      </c>
      <c r="J826" t="str">
        <f t="shared" si="64"/>
        <v>не нуждается в помощи</v>
      </c>
    </row>
    <row r="827" spans="1:10" x14ac:dyDescent="0.2">
      <c r="A827" s="4">
        <v>6282</v>
      </c>
      <c r="B827" t="s">
        <v>1</v>
      </c>
      <c r="C827" s="1">
        <v>1000</v>
      </c>
      <c r="D827">
        <v>2</v>
      </c>
      <c r="E827" t="s">
        <v>11</v>
      </c>
      <c r="F827" s="6">
        <f t="shared" si="60"/>
        <v>500</v>
      </c>
      <c r="G827" s="7">
        <f t="shared" si="61"/>
        <v>44.247787610619469</v>
      </c>
      <c r="H827" s="7">
        <f t="shared" si="62"/>
        <v>1.4749262536873156</v>
      </c>
      <c r="I827" s="5" t="str">
        <f t="shared" si="63"/>
        <v>ниже среднего</v>
      </c>
      <c r="J827" t="str">
        <f t="shared" si="64"/>
        <v>не нуждается в помощи</v>
      </c>
    </row>
    <row r="828" spans="1:10" x14ac:dyDescent="0.2">
      <c r="A828" s="4">
        <v>6982</v>
      </c>
      <c r="B828" t="s">
        <v>3</v>
      </c>
      <c r="C828" s="1">
        <v>1000</v>
      </c>
      <c r="D828">
        <v>2</v>
      </c>
      <c r="E828" t="s">
        <v>11</v>
      </c>
      <c r="F828" s="6">
        <f t="shared" si="60"/>
        <v>500</v>
      </c>
      <c r="G828" s="7">
        <f t="shared" si="61"/>
        <v>44.247787610619469</v>
      </c>
      <c r="H828" s="7">
        <f t="shared" si="62"/>
        <v>1.4749262536873156</v>
      </c>
      <c r="I828" s="5" t="str">
        <f t="shared" si="63"/>
        <v>ниже среднего</v>
      </c>
      <c r="J828" t="str">
        <f t="shared" si="64"/>
        <v>не нуждается в помощи</v>
      </c>
    </row>
    <row r="829" spans="1:10" x14ac:dyDescent="0.2">
      <c r="A829" s="4">
        <v>1565</v>
      </c>
      <c r="B829" t="s">
        <v>5</v>
      </c>
      <c r="C829" s="1">
        <v>1015</v>
      </c>
      <c r="D829">
        <v>2</v>
      </c>
      <c r="E829" t="s">
        <v>11</v>
      </c>
      <c r="F829" s="6">
        <f t="shared" si="60"/>
        <v>507.5</v>
      </c>
      <c r="G829" s="7">
        <f t="shared" si="61"/>
        <v>44.911504424778755</v>
      </c>
      <c r="H829" s="7">
        <f t="shared" si="62"/>
        <v>1.4970501474926254</v>
      </c>
      <c r="I829" s="5" t="str">
        <f t="shared" si="63"/>
        <v>ниже среднего</v>
      </c>
      <c r="J829" t="str">
        <f t="shared" si="64"/>
        <v>не нуждается в помощи</v>
      </c>
    </row>
    <row r="830" spans="1:10" x14ac:dyDescent="0.2">
      <c r="A830" s="4">
        <v>2113</v>
      </c>
      <c r="B830" t="s">
        <v>3</v>
      </c>
      <c r="C830" s="1">
        <v>1707</v>
      </c>
      <c r="D830">
        <v>2</v>
      </c>
      <c r="E830" t="s">
        <v>11</v>
      </c>
      <c r="F830" s="6">
        <f t="shared" si="60"/>
        <v>853.5</v>
      </c>
      <c r="G830" s="7">
        <f t="shared" si="61"/>
        <v>75.530973451327426</v>
      </c>
      <c r="H830" s="7">
        <f t="shared" si="62"/>
        <v>2.5176991150442474</v>
      </c>
      <c r="I830" s="5" t="str">
        <f t="shared" si="63"/>
        <v>средний</v>
      </c>
      <c r="J830" t="str">
        <f t="shared" si="64"/>
        <v>не нуждается в помощи</v>
      </c>
    </row>
    <row r="831" spans="1:10" x14ac:dyDescent="0.2">
      <c r="A831" s="4">
        <v>2850</v>
      </c>
      <c r="B831" t="s">
        <v>2</v>
      </c>
      <c r="C831" s="1">
        <v>1094</v>
      </c>
      <c r="D831">
        <v>2</v>
      </c>
      <c r="E831" t="s">
        <v>10</v>
      </c>
      <c r="F831" s="6">
        <f t="shared" si="60"/>
        <v>547</v>
      </c>
      <c r="G831" s="7">
        <f t="shared" si="61"/>
        <v>48.407079646017699</v>
      </c>
      <c r="H831" s="7">
        <f t="shared" si="62"/>
        <v>1.6135693215339233</v>
      </c>
      <c r="I831" s="5" t="str">
        <f t="shared" si="63"/>
        <v>ниже среднего</v>
      </c>
      <c r="J831" t="str">
        <f t="shared" si="64"/>
        <v>не нуждается в помощи</v>
      </c>
    </row>
    <row r="832" spans="1:10" x14ac:dyDescent="0.2">
      <c r="A832" s="4">
        <v>1890</v>
      </c>
      <c r="B832" t="s">
        <v>3</v>
      </c>
      <c r="C832" s="1">
        <v>1167</v>
      </c>
      <c r="D832">
        <v>2</v>
      </c>
      <c r="E832" t="s">
        <v>11</v>
      </c>
      <c r="F832" s="6">
        <f t="shared" si="60"/>
        <v>583.5</v>
      </c>
      <c r="G832" s="7">
        <f t="shared" si="61"/>
        <v>51.637168141592916</v>
      </c>
      <c r="H832" s="7">
        <f t="shared" si="62"/>
        <v>1.7212389380530972</v>
      </c>
      <c r="I832" s="5" t="str">
        <f t="shared" si="63"/>
        <v>ниже среднего</v>
      </c>
      <c r="J832" t="str">
        <f t="shared" si="64"/>
        <v>не нуждается в помощи</v>
      </c>
    </row>
    <row r="833" spans="1:10" x14ac:dyDescent="0.2">
      <c r="A833" s="4">
        <v>2397</v>
      </c>
      <c r="B833" t="s">
        <v>0</v>
      </c>
      <c r="C833" s="1">
        <v>2000</v>
      </c>
      <c r="D833">
        <v>2</v>
      </c>
      <c r="E833" t="s">
        <v>11</v>
      </c>
      <c r="F833" s="6">
        <f t="shared" si="60"/>
        <v>1000</v>
      </c>
      <c r="G833" s="7">
        <f t="shared" si="61"/>
        <v>88.495575221238937</v>
      </c>
      <c r="H833" s="7">
        <f t="shared" si="62"/>
        <v>2.9498525073746311</v>
      </c>
      <c r="I833" s="5" t="str">
        <f t="shared" si="63"/>
        <v>средний</v>
      </c>
      <c r="J833" t="str">
        <f t="shared" si="64"/>
        <v>не нуждается в помощи</v>
      </c>
    </row>
    <row r="834" spans="1:10" x14ac:dyDescent="0.2">
      <c r="A834" s="4">
        <v>2612</v>
      </c>
      <c r="B834" t="s">
        <v>0</v>
      </c>
      <c r="C834" s="1">
        <v>1200</v>
      </c>
      <c r="D834">
        <v>2</v>
      </c>
      <c r="E834" t="s">
        <v>10</v>
      </c>
      <c r="F834" s="6">
        <f t="shared" ref="F834:F897" si="65">C834/D834</f>
        <v>600</v>
      </c>
      <c r="G834" s="7">
        <f t="shared" ref="G834:G897" si="66">(C834/D834)/rate</f>
        <v>53.097345132743357</v>
      </c>
      <c r="H834" s="7">
        <f t="shared" ref="H834:H897" si="67">((C834/D834)/30)/rate</f>
        <v>1.7699115044247786</v>
      </c>
      <c r="I834" s="5" t="str">
        <f t="shared" ref="I834:I897" si="68">IF(H834&lt;0.89, "крайняя бедность", IF(AND(H834&gt;0.89, H834&lt;1.33), "бедность", IF(AND(H834&gt;1.33,H834&lt;2.5),"ниже среднего", IF(AND(H834&gt;2.5,H834&lt;4), "средний", IF(H834&gt;4,"в достатке",0)))))</f>
        <v>ниже среднего</v>
      </c>
      <c r="J834" t="str">
        <f t="shared" si="64"/>
        <v>не нуждается в помощи</v>
      </c>
    </row>
    <row r="835" spans="1:10" x14ac:dyDescent="0.2">
      <c r="A835" s="4">
        <v>5005</v>
      </c>
      <c r="B835" t="s">
        <v>4</v>
      </c>
      <c r="C835" s="1">
        <v>1200</v>
      </c>
      <c r="D835">
        <v>2</v>
      </c>
      <c r="E835" t="s">
        <v>10</v>
      </c>
      <c r="F835" s="6">
        <f t="shared" si="65"/>
        <v>600</v>
      </c>
      <c r="G835" s="7">
        <f t="shared" si="66"/>
        <v>53.097345132743357</v>
      </c>
      <c r="H835" s="7">
        <f t="shared" si="67"/>
        <v>1.7699115044247786</v>
      </c>
      <c r="I835" s="5" t="str">
        <f t="shared" si="68"/>
        <v>ниже среднего</v>
      </c>
      <c r="J835" t="str">
        <f t="shared" ref="J835:J898" si="69">IF(AND(I844="крайняя бедность",E844="Нет"), "нуждается в помощи", "не нуждается в помощи")</f>
        <v>не нуждается в помощи</v>
      </c>
    </row>
    <row r="836" spans="1:10" x14ac:dyDescent="0.2">
      <c r="A836" s="4">
        <v>5461</v>
      </c>
      <c r="B836" t="s">
        <v>0</v>
      </c>
      <c r="C836" s="1">
        <v>6200</v>
      </c>
      <c r="D836">
        <v>2</v>
      </c>
      <c r="E836" t="s">
        <v>10</v>
      </c>
      <c r="F836" s="6">
        <f t="shared" si="65"/>
        <v>3100</v>
      </c>
      <c r="G836" s="7">
        <f t="shared" si="66"/>
        <v>274.33628318584067</v>
      </c>
      <c r="H836" s="7">
        <f t="shared" si="67"/>
        <v>9.1445427728613566</v>
      </c>
      <c r="I836" s="5" t="str">
        <f t="shared" si="68"/>
        <v>в достатке</v>
      </c>
      <c r="J836" t="str">
        <f t="shared" si="69"/>
        <v>не нуждается в помощи</v>
      </c>
    </row>
    <row r="837" spans="1:10" x14ac:dyDescent="0.2">
      <c r="A837" s="4">
        <v>3128</v>
      </c>
      <c r="B837" t="s">
        <v>1</v>
      </c>
      <c r="C837" s="1">
        <v>1230</v>
      </c>
      <c r="D837">
        <v>2</v>
      </c>
      <c r="E837" t="s">
        <v>10</v>
      </c>
      <c r="F837" s="6">
        <f t="shared" si="65"/>
        <v>615</v>
      </c>
      <c r="G837" s="7">
        <f t="shared" si="66"/>
        <v>54.424778761061944</v>
      </c>
      <c r="H837" s="7">
        <f t="shared" si="67"/>
        <v>1.8141592920353982</v>
      </c>
      <c r="I837" s="5" t="str">
        <f t="shared" si="68"/>
        <v>ниже среднего</v>
      </c>
      <c r="J837" t="str">
        <f t="shared" si="69"/>
        <v>не нуждается в помощи</v>
      </c>
    </row>
    <row r="838" spans="1:10" x14ac:dyDescent="0.2">
      <c r="A838" s="4">
        <v>1666</v>
      </c>
      <c r="B838" t="s">
        <v>5</v>
      </c>
      <c r="C838" s="1">
        <v>1300</v>
      </c>
      <c r="D838">
        <v>2</v>
      </c>
      <c r="E838" t="s">
        <v>10</v>
      </c>
      <c r="F838" s="6">
        <f t="shared" si="65"/>
        <v>650</v>
      </c>
      <c r="G838" s="7">
        <f t="shared" si="66"/>
        <v>57.522123893805308</v>
      </c>
      <c r="H838" s="7">
        <f t="shared" si="67"/>
        <v>1.9174041297935103</v>
      </c>
      <c r="I838" s="5" t="str">
        <f t="shared" si="68"/>
        <v>ниже среднего</v>
      </c>
      <c r="J838" t="str">
        <f t="shared" si="69"/>
        <v>не нуждается в помощи</v>
      </c>
    </row>
    <row r="839" spans="1:10" x14ac:dyDescent="0.2">
      <c r="A839" s="4">
        <v>1551</v>
      </c>
      <c r="B839" t="s">
        <v>5</v>
      </c>
      <c r="C839" s="1">
        <v>1350</v>
      </c>
      <c r="D839">
        <v>2</v>
      </c>
      <c r="E839" t="s">
        <v>11</v>
      </c>
      <c r="F839" s="6">
        <f t="shared" si="65"/>
        <v>675</v>
      </c>
      <c r="G839" s="7">
        <f t="shared" si="66"/>
        <v>59.73451327433628</v>
      </c>
      <c r="H839" s="7">
        <f t="shared" si="67"/>
        <v>1.9911504424778759</v>
      </c>
      <c r="I839" s="5" t="str">
        <f t="shared" si="68"/>
        <v>ниже среднего</v>
      </c>
      <c r="J839" t="str">
        <f t="shared" si="69"/>
        <v>не нуждается в помощи</v>
      </c>
    </row>
    <row r="840" spans="1:10" x14ac:dyDescent="0.2">
      <c r="A840" s="4">
        <v>2683</v>
      </c>
      <c r="B840" t="s">
        <v>2</v>
      </c>
      <c r="C840" s="1">
        <v>1400</v>
      </c>
      <c r="D840">
        <v>2</v>
      </c>
      <c r="E840" t="s">
        <v>10</v>
      </c>
      <c r="F840" s="6">
        <f t="shared" si="65"/>
        <v>700</v>
      </c>
      <c r="G840" s="7">
        <f t="shared" si="66"/>
        <v>61.946902654867252</v>
      </c>
      <c r="H840" s="7">
        <f t="shared" si="67"/>
        <v>2.0648967551622417</v>
      </c>
      <c r="I840" s="5" t="str">
        <f t="shared" si="68"/>
        <v>ниже среднего</v>
      </c>
      <c r="J840" t="str">
        <f t="shared" si="69"/>
        <v>не нуждается в помощи</v>
      </c>
    </row>
    <row r="841" spans="1:10" x14ac:dyDescent="0.2">
      <c r="A841" s="4">
        <v>2490</v>
      </c>
      <c r="B841" t="s">
        <v>0</v>
      </c>
      <c r="C841" s="1">
        <v>2475</v>
      </c>
      <c r="D841">
        <v>2</v>
      </c>
      <c r="E841" t="s">
        <v>11</v>
      </c>
      <c r="F841" s="6">
        <f t="shared" si="65"/>
        <v>1237.5</v>
      </c>
      <c r="G841" s="7">
        <f t="shared" si="66"/>
        <v>109.51327433628317</v>
      </c>
      <c r="H841" s="7">
        <f t="shared" si="67"/>
        <v>3.6504424778761058</v>
      </c>
      <c r="I841" s="5" t="str">
        <f t="shared" si="68"/>
        <v>средний</v>
      </c>
      <c r="J841" t="str">
        <f t="shared" si="69"/>
        <v>не нуждается в помощи</v>
      </c>
    </row>
    <row r="842" spans="1:10" x14ac:dyDescent="0.2">
      <c r="A842" s="4">
        <v>2886</v>
      </c>
      <c r="B842" t="s">
        <v>1</v>
      </c>
      <c r="C842" s="1">
        <v>1500</v>
      </c>
      <c r="D842">
        <v>2</v>
      </c>
      <c r="E842" t="s">
        <v>11</v>
      </c>
      <c r="F842" s="6">
        <f t="shared" si="65"/>
        <v>750</v>
      </c>
      <c r="G842" s="7">
        <f t="shared" si="66"/>
        <v>66.371681415929203</v>
      </c>
      <c r="H842" s="7">
        <f t="shared" si="67"/>
        <v>2.2123893805309733</v>
      </c>
      <c r="I842" s="5" t="str">
        <f t="shared" si="68"/>
        <v>ниже среднего</v>
      </c>
      <c r="J842" t="str">
        <f t="shared" si="69"/>
        <v>не нуждается в помощи</v>
      </c>
    </row>
    <row r="843" spans="1:10" x14ac:dyDescent="0.2">
      <c r="A843" s="4">
        <v>1724</v>
      </c>
      <c r="B843" t="s">
        <v>3</v>
      </c>
      <c r="C843" s="1">
        <v>5500</v>
      </c>
      <c r="D843">
        <v>2</v>
      </c>
      <c r="E843" t="s">
        <v>11</v>
      </c>
      <c r="F843" s="6">
        <f t="shared" si="65"/>
        <v>2750</v>
      </c>
      <c r="G843" s="7">
        <f t="shared" si="66"/>
        <v>243.36283185840708</v>
      </c>
      <c r="H843" s="7">
        <f t="shared" si="67"/>
        <v>8.112094395280236</v>
      </c>
      <c r="I843" s="5" t="str">
        <f t="shared" si="68"/>
        <v>в достатке</v>
      </c>
      <c r="J843" t="str">
        <f t="shared" si="69"/>
        <v>не нуждается в помощи</v>
      </c>
    </row>
    <row r="844" spans="1:10" x14ac:dyDescent="0.2">
      <c r="A844" s="4">
        <v>1657</v>
      </c>
      <c r="B844" t="s">
        <v>5</v>
      </c>
      <c r="C844" s="1">
        <v>1500</v>
      </c>
      <c r="D844">
        <v>2</v>
      </c>
      <c r="E844" t="s">
        <v>11</v>
      </c>
      <c r="F844" s="6">
        <f t="shared" si="65"/>
        <v>750</v>
      </c>
      <c r="G844" s="7">
        <f t="shared" si="66"/>
        <v>66.371681415929203</v>
      </c>
      <c r="H844" s="7">
        <f t="shared" si="67"/>
        <v>2.2123893805309733</v>
      </c>
      <c r="I844" s="5" t="str">
        <f t="shared" si="68"/>
        <v>ниже среднего</v>
      </c>
      <c r="J844" t="str">
        <f t="shared" si="69"/>
        <v>не нуждается в помощи</v>
      </c>
    </row>
    <row r="845" spans="1:10" x14ac:dyDescent="0.2">
      <c r="A845" s="4">
        <v>1754</v>
      </c>
      <c r="B845" t="s">
        <v>3</v>
      </c>
      <c r="C845" s="1">
        <v>2700</v>
      </c>
      <c r="D845">
        <v>2</v>
      </c>
      <c r="E845" t="s">
        <v>11</v>
      </c>
      <c r="F845" s="6">
        <f t="shared" si="65"/>
        <v>1350</v>
      </c>
      <c r="G845" s="7">
        <f t="shared" si="66"/>
        <v>119.46902654867256</v>
      </c>
      <c r="H845" s="7">
        <f t="shared" si="67"/>
        <v>3.9823008849557517</v>
      </c>
      <c r="I845" s="5" t="str">
        <f t="shared" si="68"/>
        <v>средний</v>
      </c>
      <c r="J845" t="str">
        <f t="shared" si="69"/>
        <v>не нуждается в помощи</v>
      </c>
    </row>
    <row r="846" spans="1:10" x14ac:dyDescent="0.2">
      <c r="A846" s="4">
        <v>1816</v>
      </c>
      <c r="B846" t="s">
        <v>3</v>
      </c>
      <c r="C846" s="1">
        <v>1500</v>
      </c>
      <c r="D846">
        <v>2</v>
      </c>
      <c r="E846" t="s">
        <v>11</v>
      </c>
      <c r="F846" s="6">
        <f t="shared" si="65"/>
        <v>750</v>
      </c>
      <c r="G846" s="7">
        <f t="shared" si="66"/>
        <v>66.371681415929203</v>
      </c>
      <c r="H846" s="7">
        <f t="shared" si="67"/>
        <v>2.2123893805309733</v>
      </c>
      <c r="I846" s="5" t="str">
        <f t="shared" si="68"/>
        <v>ниже среднего</v>
      </c>
      <c r="J846" t="str">
        <f t="shared" si="69"/>
        <v>не нуждается в помощи</v>
      </c>
    </row>
    <row r="847" spans="1:10" x14ac:dyDescent="0.2">
      <c r="A847" s="4">
        <v>2614</v>
      </c>
      <c r="B847" t="s">
        <v>0</v>
      </c>
      <c r="C847" s="1">
        <v>1500</v>
      </c>
      <c r="D847">
        <v>2</v>
      </c>
      <c r="E847" t="s">
        <v>11</v>
      </c>
      <c r="F847" s="6">
        <f t="shared" si="65"/>
        <v>750</v>
      </c>
      <c r="G847" s="7">
        <f t="shared" si="66"/>
        <v>66.371681415929203</v>
      </c>
      <c r="H847" s="7">
        <f t="shared" si="67"/>
        <v>2.2123893805309733</v>
      </c>
      <c r="I847" s="5" t="str">
        <f t="shared" si="68"/>
        <v>ниже среднего</v>
      </c>
      <c r="J847" t="str">
        <f t="shared" si="69"/>
        <v>не нуждается в помощи</v>
      </c>
    </row>
    <row r="848" spans="1:10" x14ac:dyDescent="0.2">
      <c r="A848" s="4">
        <v>2228</v>
      </c>
      <c r="B848" t="s">
        <v>3</v>
      </c>
      <c r="C848" s="1">
        <v>1600</v>
      </c>
      <c r="D848">
        <v>2</v>
      </c>
      <c r="E848" t="s">
        <v>11</v>
      </c>
      <c r="F848" s="6">
        <f t="shared" si="65"/>
        <v>800</v>
      </c>
      <c r="G848" s="7">
        <f t="shared" si="66"/>
        <v>70.796460176991147</v>
      </c>
      <c r="H848" s="7">
        <f t="shared" si="67"/>
        <v>2.359882005899705</v>
      </c>
      <c r="I848" s="5" t="str">
        <f t="shared" si="68"/>
        <v>ниже среднего</v>
      </c>
      <c r="J848" t="str">
        <f t="shared" si="69"/>
        <v>не нуждается в помощи</v>
      </c>
    </row>
    <row r="849" spans="1:10" x14ac:dyDescent="0.2">
      <c r="A849" s="4">
        <v>1887</v>
      </c>
      <c r="B849" t="s">
        <v>3</v>
      </c>
      <c r="C849" s="1">
        <v>4520</v>
      </c>
      <c r="D849">
        <v>2</v>
      </c>
      <c r="E849" t="s">
        <v>10</v>
      </c>
      <c r="F849" s="6">
        <f t="shared" si="65"/>
        <v>2260</v>
      </c>
      <c r="G849" s="7">
        <f t="shared" si="66"/>
        <v>200</v>
      </c>
      <c r="H849" s="7">
        <f t="shared" si="67"/>
        <v>6.6666666666666661</v>
      </c>
      <c r="I849" s="5" t="str">
        <f t="shared" si="68"/>
        <v>в достатке</v>
      </c>
      <c r="J849" t="str">
        <f t="shared" si="69"/>
        <v>не нуждается в помощи</v>
      </c>
    </row>
    <row r="850" spans="1:10" x14ac:dyDescent="0.2">
      <c r="A850" s="4">
        <v>5066</v>
      </c>
      <c r="B850" t="s">
        <v>4</v>
      </c>
      <c r="C850" s="1">
        <v>2000</v>
      </c>
      <c r="D850">
        <v>2</v>
      </c>
      <c r="E850" t="s">
        <v>11</v>
      </c>
      <c r="F850" s="6">
        <f t="shared" si="65"/>
        <v>1000</v>
      </c>
      <c r="G850" s="7">
        <f t="shared" si="66"/>
        <v>88.495575221238937</v>
      </c>
      <c r="H850" s="7">
        <f t="shared" si="67"/>
        <v>2.9498525073746311</v>
      </c>
      <c r="I850" s="5" t="str">
        <f t="shared" si="68"/>
        <v>средний</v>
      </c>
      <c r="J850" t="str">
        <f t="shared" si="69"/>
        <v>не нуждается в помощи</v>
      </c>
    </row>
    <row r="851" spans="1:10" x14ac:dyDescent="0.2">
      <c r="A851" s="4">
        <v>974</v>
      </c>
      <c r="B851" t="s">
        <v>4</v>
      </c>
      <c r="C851" s="1">
        <v>2000</v>
      </c>
      <c r="D851">
        <v>2</v>
      </c>
      <c r="E851" t="s">
        <v>10</v>
      </c>
      <c r="F851" s="6">
        <f t="shared" si="65"/>
        <v>1000</v>
      </c>
      <c r="G851" s="7">
        <f t="shared" si="66"/>
        <v>88.495575221238937</v>
      </c>
      <c r="H851" s="7">
        <f t="shared" si="67"/>
        <v>2.9498525073746311</v>
      </c>
      <c r="I851" s="5" t="str">
        <f t="shared" si="68"/>
        <v>средний</v>
      </c>
      <c r="J851" t="str">
        <f t="shared" si="69"/>
        <v>не нуждается в помощи</v>
      </c>
    </row>
    <row r="852" spans="1:10" x14ac:dyDescent="0.2">
      <c r="A852" s="4">
        <v>1795</v>
      </c>
      <c r="B852" t="s">
        <v>3</v>
      </c>
      <c r="C852" s="1">
        <v>3300</v>
      </c>
      <c r="D852">
        <v>2</v>
      </c>
      <c r="E852" t="s">
        <v>11</v>
      </c>
      <c r="F852" s="6">
        <f t="shared" si="65"/>
        <v>1650</v>
      </c>
      <c r="G852" s="7">
        <f t="shared" si="66"/>
        <v>146.01769911504425</v>
      </c>
      <c r="H852" s="7">
        <f t="shared" si="67"/>
        <v>4.8672566371681416</v>
      </c>
      <c r="I852" s="5" t="str">
        <f t="shared" si="68"/>
        <v>в достатке</v>
      </c>
      <c r="J852" t="str">
        <f t="shared" si="69"/>
        <v>не нуждается в помощи</v>
      </c>
    </row>
    <row r="853" spans="1:10" x14ac:dyDescent="0.2">
      <c r="A853" s="4">
        <v>2215</v>
      </c>
      <c r="B853" t="s">
        <v>3</v>
      </c>
      <c r="C853" s="1">
        <v>2000</v>
      </c>
      <c r="D853">
        <v>2</v>
      </c>
      <c r="E853" t="s">
        <v>10</v>
      </c>
      <c r="F853" s="6">
        <f t="shared" si="65"/>
        <v>1000</v>
      </c>
      <c r="G853" s="7">
        <f t="shared" si="66"/>
        <v>88.495575221238937</v>
      </c>
      <c r="H853" s="7">
        <f t="shared" si="67"/>
        <v>2.9498525073746311</v>
      </c>
      <c r="I853" s="5" t="str">
        <f t="shared" si="68"/>
        <v>средний</v>
      </c>
      <c r="J853" t="str">
        <f t="shared" si="69"/>
        <v>не нуждается в помощи</v>
      </c>
    </row>
    <row r="854" spans="1:10" x14ac:dyDescent="0.2">
      <c r="A854" s="4">
        <v>5187</v>
      </c>
      <c r="B854" t="s">
        <v>4</v>
      </c>
      <c r="C854" s="1">
        <v>2000</v>
      </c>
      <c r="D854">
        <v>2</v>
      </c>
      <c r="E854" t="s">
        <v>11</v>
      </c>
      <c r="F854" s="6">
        <f t="shared" si="65"/>
        <v>1000</v>
      </c>
      <c r="G854" s="7">
        <f t="shared" si="66"/>
        <v>88.495575221238937</v>
      </c>
      <c r="H854" s="7">
        <f t="shared" si="67"/>
        <v>2.9498525073746311</v>
      </c>
      <c r="I854" s="5" t="str">
        <f t="shared" si="68"/>
        <v>средний</v>
      </c>
      <c r="J854" t="str">
        <f t="shared" si="69"/>
        <v>не нуждается в помощи</v>
      </c>
    </row>
    <row r="855" spans="1:10" x14ac:dyDescent="0.2">
      <c r="A855" s="4">
        <v>2487</v>
      </c>
      <c r="B855" t="s">
        <v>0</v>
      </c>
      <c r="C855" s="1">
        <v>3700</v>
      </c>
      <c r="D855">
        <v>2</v>
      </c>
      <c r="E855" t="s">
        <v>11</v>
      </c>
      <c r="F855" s="6">
        <f t="shared" si="65"/>
        <v>1850</v>
      </c>
      <c r="G855" s="7">
        <f t="shared" si="66"/>
        <v>163.71681415929203</v>
      </c>
      <c r="H855" s="7">
        <f t="shared" si="67"/>
        <v>5.4572271386430673</v>
      </c>
      <c r="I855" s="5" t="str">
        <f t="shared" si="68"/>
        <v>в достатке</v>
      </c>
      <c r="J855" t="str">
        <f t="shared" si="69"/>
        <v>не нуждается в помощи</v>
      </c>
    </row>
    <row r="856" spans="1:10" x14ac:dyDescent="0.2">
      <c r="A856" s="4">
        <v>2260</v>
      </c>
      <c r="B856" t="s">
        <v>3</v>
      </c>
      <c r="C856" s="1">
        <v>2500</v>
      </c>
      <c r="D856">
        <v>2</v>
      </c>
      <c r="E856" t="s">
        <v>11</v>
      </c>
      <c r="F856" s="6">
        <f t="shared" si="65"/>
        <v>1250</v>
      </c>
      <c r="G856" s="7">
        <f t="shared" si="66"/>
        <v>110.61946902654867</v>
      </c>
      <c r="H856" s="7">
        <f t="shared" si="67"/>
        <v>3.6873156342182885</v>
      </c>
      <c r="I856" s="5" t="str">
        <f t="shared" si="68"/>
        <v>средний</v>
      </c>
      <c r="J856" t="str">
        <f t="shared" si="69"/>
        <v>не нуждается в помощи</v>
      </c>
    </row>
    <row r="857" spans="1:10" x14ac:dyDescent="0.2">
      <c r="A857" s="4">
        <v>2471</v>
      </c>
      <c r="B857" t="s">
        <v>0</v>
      </c>
      <c r="C857" s="1">
        <v>2500</v>
      </c>
      <c r="D857">
        <v>2</v>
      </c>
      <c r="E857" t="s">
        <v>11</v>
      </c>
      <c r="F857" s="6">
        <f t="shared" si="65"/>
        <v>1250</v>
      </c>
      <c r="G857" s="7">
        <f t="shared" si="66"/>
        <v>110.61946902654867</v>
      </c>
      <c r="H857" s="7">
        <f t="shared" si="67"/>
        <v>3.6873156342182885</v>
      </c>
      <c r="I857" s="5" t="str">
        <f t="shared" si="68"/>
        <v>средний</v>
      </c>
      <c r="J857" t="str">
        <f t="shared" si="69"/>
        <v>не нуждается в помощи</v>
      </c>
    </row>
    <row r="858" spans="1:10" x14ac:dyDescent="0.2">
      <c r="A858" s="4">
        <v>2485</v>
      </c>
      <c r="B858" t="s">
        <v>0</v>
      </c>
      <c r="C858" s="1">
        <v>2500</v>
      </c>
      <c r="D858">
        <v>2</v>
      </c>
      <c r="E858" t="s">
        <v>11</v>
      </c>
      <c r="F858" s="6">
        <f t="shared" si="65"/>
        <v>1250</v>
      </c>
      <c r="G858" s="7">
        <f t="shared" si="66"/>
        <v>110.61946902654867</v>
      </c>
      <c r="H858" s="7">
        <f t="shared" si="67"/>
        <v>3.6873156342182885</v>
      </c>
      <c r="I858" s="5" t="str">
        <f t="shared" si="68"/>
        <v>средний</v>
      </c>
      <c r="J858" t="str">
        <f t="shared" si="69"/>
        <v>не нуждается в помощи</v>
      </c>
    </row>
    <row r="859" spans="1:10" x14ac:dyDescent="0.2">
      <c r="A859" s="4">
        <v>1544</v>
      </c>
      <c r="B859" t="s">
        <v>5</v>
      </c>
      <c r="C859" s="1">
        <v>2600</v>
      </c>
      <c r="D859">
        <v>2</v>
      </c>
      <c r="E859" t="s">
        <v>10</v>
      </c>
      <c r="F859" s="6">
        <f t="shared" si="65"/>
        <v>1300</v>
      </c>
      <c r="G859" s="7">
        <f t="shared" si="66"/>
        <v>115.04424778761062</v>
      </c>
      <c r="H859" s="7">
        <f t="shared" si="67"/>
        <v>3.8348082595870205</v>
      </c>
      <c r="I859" s="5" t="str">
        <f t="shared" si="68"/>
        <v>средний</v>
      </c>
      <c r="J859" t="str">
        <f t="shared" si="69"/>
        <v>не нуждается в помощи</v>
      </c>
    </row>
    <row r="860" spans="1:10" x14ac:dyDescent="0.2">
      <c r="A860" s="4">
        <v>1628</v>
      </c>
      <c r="B860" t="s">
        <v>5</v>
      </c>
      <c r="C860" s="1">
        <v>3151</v>
      </c>
      <c r="D860">
        <v>2</v>
      </c>
      <c r="E860" t="s">
        <v>10</v>
      </c>
      <c r="F860" s="6">
        <f t="shared" si="65"/>
        <v>1575.5</v>
      </c>
      <c r="G860" s="7">
        <f t="shared" si="66"/>
        <v>139.42477876106193</v>
      </c>
      <c r="H860" s="7">
        <f t="shared" si="67"/>
        <v>4.6474926253687308</v>
      </c>
      <c r="I860" s="5" t="str">
        <f t="shared" si="68"/>
        <v>в достатке</v>
      </c>
      <c r="J860" t="str">
        <f t="shared" si="69"/>
        <v>не нуждается в помощи</v>
      </c>
    </row>
    <row r="861" spans="1:10" x14ac:dyDescent="0.2">
      <c r="A861" s="4">
        <v>1684</v>
      </c>
      <c r="B861" t="s">
        <v>5</v>
      </c>
      <c r="C861" s="1">
        <v>2940</v>
      </c>
      <c r="D861">
        <v>2</v>
      </c>
      <c r="E861" t="s">
        <v>10</v>
      </c>
      <c r="F861" s="6">
        <f t="shared" si="65"/>
        <v>1470</v>
      </c>
      <c r="G861" s="7">
        <f t="shared" si="66"/>
        <v>130.08849557522123</v>
      </c>
      <c r="H861" s="7">
        <f t="shared" si="67"/>
        <v>4.336283185840708</v>
      </c>
      <c r="I861" s="5" t="str">
        <f t="shared" si="68"/>
        <v>в достатке</v>
      </c>
      <c r="J861" t="str">
        <f t="shared" si="69"/>
        <v>нуждается в помощи</v>
      </c>
    </row>
    <row r="862" spans="1:10" x14ac:dyDescent="0.2">
      <c r="A862" s="4">
        <v>3137</v>
      </c>
      <c r="B862" t="s">
        <v>1</v>
      </c>
      <c r="C862" s="1">
        <v>3000</v>
      </c>
      <c r="D862">
        <v>2</v>
      </c>
      <c r="E862" t="s">
        <v>11</v>
      </c>
      <c r="F862" s="6">
        <f t="shared" si="65"/>
        <v>1500</v>
      </c>
      <c r="G862" s="7">
        <f t="shared" si="66"/>
        <v>132.74336283185841</v>
      </c>
      <c r="H862" s="7">
        <f t="shared" si="67"/>
        <v>4.4247787610619467</v>
      </c>
      <c r="I862" s="5" t="str">
        <f t="shared" si="68"/>
        <v>в достатке</v>
      </c>
      <c r="J862" t="str">
        <f t="shared" si="69"/>
        <v>не нуждается в помощи</v>
      </c>
    </row>
    <row r="863" spans="1:10" x14ac:dyDescent="0.2">
      <c r="A863" s="4">
        <v>2483</v>
      </c>
      <c r="B863" t="s">
        <v>0</v>
      </c>
      <c r="C863" s="1">
        <v>5000</v>
      </c>
      <c r="D863">
        <v>2</v>
      </c>
      <c r="E863" t="s">
        <v>11</v>
      </c>
      <c r="F863" s="6">
        <f t="shared" si="65"/>
        <v>2500</v>
      </c>
      <c r="G863" s="7">
        <f t="shared" si="66"/>
        <v>221.23893805309734</v>
      </c>
      <c r="H863" s="7">
        <f t="shared" si="67"/>
        <v>7.3746312684365769</v>
      </c>
      <c r="I863" s="5" t="str">
        <f t="shared" si="68"/>
        <v>в достатке</v>
      </c>
      <c r="J863" t="str">
        <f t="shared" si="69"/>
        <v>не нуждается в помощи</v>
      </c>
    </row>
    <row r="864" spans="1:10" x14ac:dyDescent="0.2">
      <c r="A864" s="4">
        <v>5881</v>
      </c>
      <c r="B864" t="s">
        <v>2</v>
      </c>
      <c r="C864" s="1">
        <v>3000</v>
      </c>
      <c r="D864">
        <v>2</v>
      </c>
      <c r="E864" t="s">
        <v>10</v>
      </c>
      <c r="F864" s="6">
        <f t="shared" si="65"/>
        <v>1500</v>
      </c>
      <c r="G864" s="7">
        <f t="shared" si="66"/>
        <v>132.74336283185841</v>
      </c>
      <c r="H864" s="7">
        <f t="shared" si="67"/>
        <v>4.4247787610619467</v>
      </c>
      <c r="I864" s="5" t="str">
        <f t="shared" si="68"/>
        <v>в достатке</v>
      </c>
      <c r="J864" t="str">
        <f t="shared" si="69"/>
        <v>не нуждается в помощи</v>
      </c>
    </row>
    <row r="865" spans="1:10" x14ac:dyDescent="0.2">
      <c r="A865" s="4">
        <v>1895</v>
      </c>
      <c r="B865" t="s">
        <v>3</v>
      </c>
      <c r="C865" s="1">
        <v>3000</v>
      </c>
      <c r="D865">
        <v>2</v>
      </c>
      <c r="E865" t="s">
        <v>10</v>
      </c>
      <c r="F865" s="6">
        <f t="shared" si="65"/>
        <v>1500</v>
      </c>
      <c r="G865" s="7">
        <f t="shared" si="66"/>
        <v>132.74336283185841</v>
      </c>
      <c r="H865" s="7">
        <f t="shared" si="67"/>
        <v>4.4247787610619467</v>
      </c>
      <c r="I865" s="5" t="str">
        <f t="shared" si="68"/>
        <v>в достатке</v>
      </c>
      <c r="J865" t="str">
        <f t="shared" si="69"/>
        <v>не нуждается в помощи</v>
      </c>
    </row>
    <row r="866" spans="1:10" x14ac:dyDescent="0.2">
      <c r="A866" s="4">
        <v>2068</v>
      </c>
      <c r="B866" t="s">
        <v>3</v>
      </c>
      <c r="C866" s="1">
        <v>5700</v>
      </c>
      <c r="D866">
        <v>2</v>
      </c>
      <c r="E866" t="s">
        <v>11</v>
      </c>
      <c r="F866" s="6">
        <f t="shared" si="65"/>
        <v>2850</v>
      </c>
      <c r="G866" s="7">
        <f t="shared" si="66"/>
        <v>252.21238938053096</v>
      </c>
      <c r="H866" s="7">
        <f t="shared" si="67"/>
        <v>8.4070796460176993</v>
      </c>
      <c r="I866" s="5" t="str">
        <f t="shared" si="68"/>
        <v>в достатке</v>
      </c>
      <c r="J866" t="str">
        <f t="shared" si="69"/>
        <v>нуждается в помощи</v>
      </c>
    </row>
    <row r="867" spans="1:10" x14ac:dyDescent="0.2">
      <c r="A867" s="4">
        <v>2302</v>
      </c>
      <c r="B867" t="s">
        <v>0</v>
      </c>
      <c r="C867" s="1">
        <v>4500</v>
      </c>
      <c r="D867">
        <v>2</v>
      </c>
      <c r="E867" t="s">
        <v>11</v>
      </c>
      <c r="F867" s="6">
        <f t="shared" si="65"/>
        <v>2250</v>
      </c>
      <c r="G867" s="7">
        <f t="shared" si="66"/>
        <v>199.11504424778761</v>
      </c>
      <c r="H867" s="7">
        <f t="shared" si="67"/>
        <v>6.6371681415929196</v>
      </c>
      <c r="I867" s="5" t="str">
        <f t="shared" si="68"/>
        <v>в достатке</v>
      </c>
      <c r="J867" t="str">
        <f t="shared" si="69"/>
        <v>нуждается в помощи</v>
      </c>
    </row>
    <row r="868" spans="1:10" x14ac:dyDescent="0.2">
      <c r="A868" s="4">
        <v>2224</v>
      </c>
      <c r="B868" t="s">
        <v>3</v>
      </c>
      <c r="C868" s="1">
        <v>5000</v>
      </c>
      <c r="D868">
        <v>2</v>
      </c>
      <c r="E868" t="s">
        <v>11</v>
      </c>
      <c r="F868" s="6">
        <f t="shared" si="65"/>
        <v>2500</v>
      </c>
      <c r="G868" s="7">
        <f t="shared" si="66"/>
        <v>221.23893805309734</v>
      </c>
      <c r="H868" s="7">
        <f t="shared" si="67"/>
        <v>7.3746312684365769</v>
      </c>
      <c r="I868" s="5" t="str">
        <f t="shared" si="68"/>
        <v>в достатке</v>
      </c>
      <c r="J868" t="str">
        <f t="shared" si="69"/>
        <v>нуждается в помощи</v>
      </c>
    </row>
    <row r="869" spans="1:10" x14ac:dyDescent="0.2">
      <c r="A869" s="4">
        <v>1833</v>
      </c>
      <c r="B869" t="s">
        <v>3</v>
      </c>
      <c r="C869" s="1">
        <v>9000</v>
      </c>
      <c r="D869">
        <v>2</v>
      </c>
      <c r="E869" t="s">
        <v>11</v>
      </c>
      <c r="F869" s="6">
        <f t="shared" si="65"/>
        <v>4500</v>
      </c>
      <c r="G869" s="7">
        <f t="shared" si="66"/>
        <v>398.23008849557522</v>
      </c>
      <c r="H869" s="7">
        <f t="shared" si="67"/>
        <v>13.274336283185839</v>
      </c>
      <c r="I869" s="5" t="str">
        <f t="shared" si="68"/>
        <v>в достатке</v>
      </c>
      <c r="J869" t="str">
        <f t="shared" si="69"/>
        <v>нуждается в помощи</v>
      </c>
    </row>
    <row r="870" spans="1:10" x14ac:dyDescent="0.2">
      <c r="A870" s="4">
        <v>5144</v>
      </c>
      <c r="B870" t="s">
        <v>4</v>
      </c>
      <c r="C870">
        <v>40</v>
      </c>
      <c r="D870">
        <v>1</v>
      </c>
      <c r="E870" t="s">
        <v>10</v>
      </c>
      <c r="F870" s="6">
        <f t="shared" si="65"/>
        <v>40</v>
      </c>
      <c r="G870" s="7">
        <f t="shared" si="66"/>
        <v>3.5398230088495573</v>
      </c>
      <c r="H870" s="7">
        <f t="shared" si="67"/>
        <v>0.11799410029498524</v>
      </c>
      <c r="I870" s="5" t="str">
        <f t="shared" si="68"/>
        <v>крайняя бедность</v>
      </c>
      <c r="J870" t="str">
        <f t="shared" si="69"/>
        <v>нуждается в помощи</v>
      </c>
    </row>
    <row r="871" spans="1:10" x14ac:dyDescent="0.2">
      <c r="A871" s="4">
        <v>2575</v>
      </c>
      <c r="B871" t="s">
        <v>0</v>
      </c>
      <c r="C871">
        <v>50</v>
      </c>
      <c r="D871">
        <v>1</v>
      </c>
      <c r="E871" t="s">
        <v>11</v>
      </c>
      <c r="F871" s="6">
        <f t="shared" si="65"/>
        <v>50</v>
      </c>
      <c r="G871" s="7">
        <f t="shared" si="66"/>
        <v>4.4247787610619467</v>
      </c>
      <c r="H871" s="7">
        <f t="shared" si="67"/>
        <v>0.14749262536873156</v>
      </c>
      <c r="I871" s="5" t="str">
        <f t="shared" si="68"/>
        <v>крайняя бедность</v>
      </c>
      <c r="J871" t="str">
        <f t="shared" si="69"/>
        <v>нуждается в помощи</v>
      </c>
    </row>
    <row r="872" spans="1:10" x14ac:dyDescent="0.2">
      <c r="A872" s="4">
        <v>2921</v>
      </c>
      <c r="B872" t="s">
        <v>1</v>
      </c>
      <c r="C872">
        <v>100</v>
      </c>
      <c r="D872">
        <v>1</v>
      </c>
      <c r="E872" t="s">
        <v>11</v>
      </c>
      <c r="F872" s="6">
        <f t="shared" si="65"/>
        <v>100</v>
      </c>
      <c r="G872" s="7">
        <f t="shared" si="66"/>
        <v>8.8495575221238933</v>
      </c>
      <c r="H872" s="7">
        <f t="shared" si="67"/>
        <v>0.29498525073746312</v>
      </c>
      <c r="I872" s="5" t="str">
        <f t="shared" si="68"/>
        <v>крайняя бедность</v>
      </c>
      <c r="J872" t="str">
        <f t="shared" si="69"/>
        <v>нуждается в помощи</v>
      </c>
    </row>
    <row r="873" spans="1:10" x14ac:dyDescent="0.2">
      <c r="A873" s="4">
        <v>2201</v>
      </c>
      <c r="B873" t="s">
        <v>3</v>
      </c>
      <c r="C873">
        <v>100</v>
      </c>
      <c r="D873">
        <v>1</v>
      </c>
      <c r="E873" t="s">
        <v>11</v>
      </c>
      <c r="F873" s="6">
        <f t="shared" si="65"/>
        <v>100</v>
      </c>
      <c r="G873" s="7">
        <f t="shared" si="66"/>
        <v>8.8495575221238933</v>
      </c>
      <c r="H873" s="7">
        <f t="shared" si="67"/>
        <v>0.29498525073746312</v>
      </c>
      <c r="I873" s="5" t="str">
        <f t="shared" si="68"/>
        <v>крайняя бедность</v>
      </c>
      <c r="J873" t="str">
        <f t="shared" si="69"/>
        <v>нуждается в помощи</v>
      </c>
    </row>
    <row r="874" spans="1:10" x14ac:dyDescent="0.2">
      <c r="A874" s="4">
        <v>2477</v>
      </c>
      <c r="B874" t="s">
        <v>0</v>
      </c>
      <c r="C874">
        <v>100</v>
      </c>
      <c r="D874">
        <v>1</v>
      </c>
      <c r="E874" t="s">
        <v>11</v>
      </c>
      <c r="F874" s="6">
        <f t="shared" si="65"/>
        <v>100</v>
      </c>
      <c r="G874" s="7">
        <f t="shared" si="66"/>
        <v>8.8495575221238933</v>
      </c>
      <c r="H874" s="7">
        <f t="shared" si="67"/>
        <v>0.29498525073746312</v>
      </c>
      <c r="I874" s="5" t="str">
        <f t="shared" si="68"/>
        <v>крайняя бедность</v>
      </c>
      <c r="J874" t="str">
        <f t="shared" si="69"/>
        <v>не нуждается в помощи</v>
      </c>
    </row>
    <row r="875" spans="1:10" x14ac:dyDescent="0.2">
      <c r="A875" s="4">
        <v>2324</v>
      </c>
      <c r="B875" t="s">
        <v>0</v>
      </c>
      <c r="C875">
        <v>150</v>
      </c>
      <c r="D875">
        <v>1</v>
      </c>
      <c r="E875" t="s">
        <v>10</v>
      </c>
      <c r="F875" s="6">
        <f t="shared" si="65"/>
        <v>150</v>
      </c>
      <c r="G875" s="7">
        <f t="shared" si="66"/>
        <v>13.274336283185839</v>
      </c>
      <c r="H875" s="7">
        <f t="shared" si="67"/>
        <v>0.44247787610619466</v>
      </c>
      <c r="I875" s="5" t="str">
        <f t="shared" si="68"/>
        <v>крайняя бедность</v>
      </c>
      <c r="J875" t="str">
        <f t="shared" si="69"/>
        <v>нуждается в помощи</v>
      </c>
    </row>
    <row r="876" spans="1:10" x14ac:dyDescent="0.2">
      <c r="A876" s="4">
        <v>2689</v>
      </c>
      <c r="B876" t="s">
        <v>2</v>
      </c>
      <c r="C876">
        <v>150</v>
      </c>
      <c r="D876">
        <v>1</v>
      </c>
      <c r="E876" t="s">
        <v>10</v>
      </c>
      <c r="F876" s="6">
        <f t="shared" si="65"/>
        <v>150</v>
      </c>
      <c r="G876" s="7">
        <f t="shared" si="66"/>
        <v>13.274336283185839</v>
      </c>
      <c r="H876" s="7">
        <f t="shared" si="67"/>
        <v>0.44247787610619466</v>
      </c>
      <c r="I876" s="5" t="str">
        <f t="shared" si="68"/>
        <v>крайняя бедность</v>
      </c>
      <c r="J876" t="str">
        <f t="shared" si="69"/>
        <v>нуждается в помощи</v>
      </c>
    </row>
    <row r="877" spans="1:10" x14ac:dyDescent="0.2">
      <c r="A877" s="4">
        <v>1611</v>
      </c>
      <c r="B877" t="s">
        <v>5</v>
      </c>
      <c r="C877">
        <v>160</v>
      </c>
      <c r="D877">
        <v>1</v>
      </c>
      <c r="E877" t="s">
        <v>10</v>
      </c>
      <c r="F877" s="6">
        <f t="shared" si="65"/>
        <v>160</v>
      </c>
      <c r="G877" s="7">
        <f t="shared" si="66"/>
        <v>14.159292035398229</v>
      </c>
      <c r="H877" s="7">
        <f t="shared" si="67"/>
        <v>0.47197640117994094</v>
      </c>
      <c r="I877" s="5" t="str">
        <f t="shared" si="68"/>
        <v>крайняя бедность</v>
      </c>
      <c r="J877" t="str">
        <f t="shared" si="69"/>
        <v>нуждается в помощи</v>
      </c>
    </row>
    <row r="878" spans="1:10" x14ac:dyDescent="0.2">
      <c r="A878" s="4">
        <v>6293</v>
      </c>
      <c r="B878" t="s">
        <v>1</v>
      </c>
      <c r="C878">
        <v>180</v>
      </c>
      <c r="D878">
        <v>1</v>
      </c>
      <c r="E878" t="s">
        <v>10</v>
      </c>
      <c r="F878" s="6">
        <f t="shared" si="65"/>
        <v>180</v>
      </c>
      <c r="G878" s="7">
        <f t="shared" si="66"/>
        <v>15.929203539823007</v>
      </c>
      <c r="H878" s="7">
        <f t="shared" si="67"/>
        <v>0.53097345132743357</v>
      </c>
      <c r="I878" s="5" t="str">
        <f t="shared" si="68"/>
        <v>крайняя бедность</v>
      </c>
      <c r="J878" t="str">
        <f t="shared" si="69"/>
        <v>не нуждается в помощи</v>
      </c>
    </row>
    <row r="879" spans="1:10" x14ac:dyDescent="0.2">
      <c r="A879" s="4">
        <v>2111</v>
      </c>
      <c r="B879" t="s">
        <v>3</v>
      </c>
      <c r="C879">
        <v>180</v>
      </c>
      <c r="D879">
        <v>1</v>
      </c>
      <c r="E879" t="s">
        <v>10</v>
      </c>
      <c r="F879" s="6">
        <f t="shared" si="65"/>
        <v>180</v>
      </c>
      <c r="G879" s="7">
        <f t="shared" si="66"/>
        <v>15.929203539823007</v>
      </c>
      <c r="H879" s="7">
        <f t="shared" si="67"/>
        <v>0.53097345132743357</v>
      </c>
      <c r="I879" s="5" t="str">
        <f t="shared" si="68"/>
        <v>крайняя бедность</v>
      </c>
      <c r="J879" t="str">
        <f t="shared" si="69"/>
        <v>не нуждается в помощи</v>
      </c>
    </row>
    <row r="880" spans="1:10" x14ac:dyDescent="0.2">
      <c r="A880" s="4">
        <v>2440</v>
      </c>
      <c r="B880" t="s">
        <v>0</v>
      </c>
      <c r="C880">
        <v>200</v>
      </c>
      <c r="D880">
        <v>1</v>
      </c>
      <c r="E880" t="s">
        <v>10</v>
      </c>
      <c r="F880" s="6">
        <f t="shared" si="65"/>
        <v>200</v>
      </c>
      <c r="G880" s="7">
        <f t="shared" si="66"/>
        <v>17.699115044247787</v>
      </c>
      <c r="H880" s="7">
        <f t="shared" si="67"/>
        <v>0.58997050147492625</v>
      </c>
      <c r="I880" s="5" t="str">
        <f t="shared" si="68"/>
        <v>крайняя бедность</v>
      </c>
      <c r="J880" t="str">
        <f t="shared" si="69"/>
        <v>нуждается в помощи</v>
      </c>
    </row>
    <row r="881" spans="1:10" x14ac:dyDescent="0.2">
      <c r="A881" s="4">
        <v>2336</v>
      </c>
      <c r="B881" t="s">
        <v>0</v>
      </c>
      <c r="C881">
        <v>200</v>
      </c>
      <c r="D881">
        <v>1</v>
      </c>
      <c r="E881" t="s">
        <v>10</v>
      </c>
      <c r="F881" s="6">
        <f t="shared" si="65"/>
        <v>200</v>
      </c>
      <c r="G881" s="7">
        <f t="shared" si="66"/>
        <v>17.699115044247787</v>
      </c>
      <c r="H881" s="7">
        <f t="shared" si="67"/>
        <v>0.58997050147492625</v>
      </c>
      <c r="I881" s="5" t="str">
        <f t="shared" si="68"/>
        <v>крайняя бедность</v>
      </c>
      <c r="J881" t="str">
        <f t="shared" si="69"/>
        <v>не нуждается в помощи</v>
      </c>
    </row>
    <row r="882" spans="1:10" x14ac:dyDescent="0.2">
      <c r="A882" s="4">
        <v>2347</v>
      </c>
      <c r="B882" t="s">
        <v>0</v>
      </c>
      <c r="C882">
        <v>200</v>
      </c>
      <c r="D882">
        <v>1</v>
      </c>
      <c r="E882" t="s">
        <v>10</v>
      </c>
      <c r="F882" s="6">
        <f t="shared" si="65"/>
        <v>200</v>
      </c>
      <c r="G882" s="7">
        <f t="shared" si="66"/>
        <v>17.699115044247787</v>
      </c>
      <c r="H882" s="7">
        <f t="shared" si="67"/>
        <v>0.58997050147492625</v>
      </c>
      <c r="I882" s="5" t="str">
        <f t="shared" si="68"/>
        <v>крайняя бедность</v>
      </c>
      <c r="J882" t="str">
        <f t="shared" si="69"/>
        <v>не нуждается в помощи</v>
      </c>
    </row>
    <row r="883" spans="1:10" x14ac:dyDescent="0.2">
      <c r="A883" s="4">
        <v>2355</v>
      </c>
      <c r="B883" t="s">
        <v>0</v>
      </c>
      <c r="C883">
        <v>200</v>
      </c>
      <c r="D883">
        <v>1</v>
      </c>
      <c r="E883" t="s">
        <v>11</v>
      </c>
      <c r="F883" s="6">
        <f t="shared" si="65"/>
        <v>200</v>
      </c>
      <c r="G883" s="7">
        <f t="shared" si="66"/>
        <v>17.699115044247787</v>
      </c>
      <c r="H883" s="7">
        <f t="shared" si="67"/>
        <v>0.58997050147492625</v>
      </c>
      <c r="I883" s="5" t="str">
        <f t="shared" si="68"/>
        <v>крайняя бедность</v>
      </c>
      <c r="J883" t="str">
        <f t="shared" si="69"/>
        <v>не нуждается в помощи</v>
      </c>
    </row>
    <row r="884" spans="1:10" x14ac:dyDescent="0.2">
      <c r="A884" s="4">
        <v>2582</v>
      </c>
      <c r="B884" t="s">
        <v>0</v>
      </c>
      <c r="C884">
        <v>200</v>
      </c>
      <c r="D884">
        <v>1</v>
      </c>
      <c r="E884" t="s">
        <v>10</v>
      </c>
      <c r="F884" s="6">
        <f t="shared" si="65"/>
        <v>200</v>
      </c>
      <c r="G884" s="7">
        <f t="shared" si="66"/>
        <v>17.699115044247787</v>
      </c>
      <c r="H884" s="7">
        <f t="shared" si="67"/>
        <v>0.58997050147492625</v>
      </c>
      <c r="I884" s="5" t="str">
        <f t="shared" si="68"/>
        <v>крайняя бедность</v>
      </c>
      <c r="J884" t="str">
        <f t="shared" si="69"/>
        <v>нуждается в помощи</v>
      </c>
    </row>
    <row r="885" spans="1:10" x14ac:dyDescent="0.2">
      <c r="A885" s="4">
        <v>2606</v>
      </c>
      <c r="B885" t="s">
        <v>0</v>
      </c>
      <c r="C885">
        <v>200</v>
      </c>
      <c r="D885">
        <v>1</v>
      </c>
      <c r="E885" t="s">
        <v>10</v>
      </c>
      <c r="F885" s="6">
        <f t="shared" si="65"/>
        <v>200</v>
      </c>
      <c r="G885" s="7">
        <f t="shared" si="66"/>
        <v>17.699115044247787</v>
      </c>
      <c r="H885" s="7">
        <f t="shared" si="67"/>
        <v>0.58997050147492625</v>
      </c>
      <c r="I885" s="5" t="str">
        <f t="shared" si="68"/>
        <v>крайняя бедность</v>
      </c>
      <c r="J885" t="str">
        <f t="shared" si="69"/>
        <v>не нуждается в помощи</v>
      </c>
    </row>
    <row r="886" spans="1:10" x14ac:dyDescent="0.2">
      <c r="A886" s="4">
        <v>2934</v>
      </c>
      <c r="B886" t="s">
        <v>1</v>
      </c>
      <c r="C886">
        <v>200</v>
      </c>
      <c r="D886">
        <v>1</v>
      </c>
      <c r="E886" t="s">
        <v>10</v>
      </c>
      <c r="F886" s="6">
        <f t="shared" si="65"/>
        <v>200</v>
      </c>
      <c r="G886" s="7">
        <f t="shared" si="66"/>
        <v>17.699115044247787</v>
      </c>
      <c r="H886" s="7">
        <f t="shared" si="67"/>
        <v>0.58997050147492625</v>
      </c>
      <c r="I886" s="5" t="str">
        <f t="shared" si="68"/>
        <v>крайняя бедность</v>
      </c>
      <c r="J886" t="str">
        <f t="shared" si="69"/>
        <v>не нуждается в помощи</v>
      </c>
    </row>
    <row r="887" spans="1:10" x14ac:dyDescent="0.2">
      <c r="A887" s="4">
        <v>5121</v>
      </c>
      <c r="B887" t="s">
        <v>4</v>
      </c>
      <c r="C887">
        <v>200</v>
      </c>
      <c r="D887">
        <v>1</v>
      </c>
      <c r="E887" t="s">
        <v>11</v>
      </c>
      <c r="F887" s="6">
        <f t="shared" si="65"/>
        <v>200</v>
      </c>
      <c r="G887" s="7">
        <f t="shared" si="66"/>
        <v>17.699115044247787</v>
      </c>
      <c r="H887" s="7">
        <f t="shared" si="67"/>
        <v>0.58997050147492625</v>
      </c>
      <c r="I887" s="5" t="str">
        <f t="shared" si="68"/>
        <v>крайняя бедность</v>
      </c>
      <c r="J887" t="str">
        <f t="shared" si="69"/>
        <v>нуждается в помощи</v>
      </c>
    </row>
    <row r="888" spans="1:10" x14ac:dyDescent="0.2">
      <c r="A888" s="4">
        <v>6245</v>
      </c>
      <c r="B888" t="s">
        <v>1</v>
      </c>
      <c r="C888">
        <v>200</v>
      </c>
      <c r="D888">
        <v>1</v>
      </c>
      <c r="E888" t="s">
        <v>11</v>
      </c>
      <c r="F888" s="6">
        <f t="shared" si="65"/>
        <v>200</v>
      </c>
      <c r="G888" s="7">
        <f t="shared" si="66"/>
        <v>17.699115044247787</v>
      </c>
      <c r="H888" s="7">
        <f t="shared" si="67"/>
        <v>0.58997050147492625</v>
      </c>
      <c r="I888" s="5" t="str">
        <f t="shared" si="68"/>
        <v>крайняя бедность</v>
      </c>
      <c r="J888" t="str">
        <f t="shared" si="69"/>
        <v>не нуждается в помощи</v>
      </c>
    </row>
    <row r="889" spans="1:10" x14ac:dyDescent="0.2">
      <c r="A889" s="4">
        <v>2954</v>
      </c>
      <c r="B889" t="s">
        <v>1</v>
      </c>
      <c r="C889">
        <v>208</v>
      </c>
      <c r="D889">
        <v>1</v>
      </c>
      <c r="E889" t="s">
        <v>10</v>
      </c>
      <c r="F889" s="6">
        <f t="shared" si="65"/>
        <v>208</v>
      </c>
      <c r="G889" s="7">
        <f t="shared" si="66"/>
        <v>18.407079646017699</v>
      </c>
      <c r="H889" s="7">
        <f t="shared" si="67"/>
        <v>0.6135693215339233</v>
      </c>
      <c r="I889" s="5" t="str">
        <f t="shared" si="68"/>
        <v>крайняя бедность</v>
      </c>
      <c r="J889" t="str">
        <f t="shared" si="69"/>
        <v>не нуждается в помощи</v>
      </c>
    </row>
    <row r="890" spans="1:10" x14ac:dyDescent="0.2">
      <c r="A890" s="4">
        <v>2196</v>
      </c>
      <c r="B890" t="s">
        <v>3</v>
      </c>
      <c r="C890">
        <v>250</v>
      </c>
      <c r="D890">
        <v>1</v>
      </c>
      <c r="E890" t="s">
        <v>11</v>
      </c>
      <c r="F890" s="6">
        <f t="shared" si="65"/>
        <v>250</v>
      </c>
      <c r="G890" s="7">
        <f t="shared" si="66"/>
        <v>22.123893805309734</v>
      </c>
      <c r="H890" s="7">
        <f t="shared" si="67"/>
        <v>0.73746312684365778</v>
      </c>
      <c r="I890" s="5" t="str">
        <f t="shared" si="68"/>
        <v>крайняя бедность</v>
      </c>
      <c r="J890" t="str">
        <f t="shared" si="69"/>
        <v>нуждается в помощи</v>
      </c>
    </row>
    <row r="891" spans="1:10" x14ac:dyDescent="0.2">
      <c r="A891" s="4">
        <v>6701</v>
      </c>
      <c r="B891" t="s">
        <v>3</v>
      </c>
      <c r="C891">
        <v>250</v>
      </c>
      <c r="D891">
        <v>1</v>
      </c>
      <c r="E891" t="s">
        <v>11</v>
      </c>
      <c r="F891" s="6">
        <f t="shared" si="65"/>
        <v>250</v>
      </c>
      <c r="G891" s="7">
        <f t="shared" si="66"/>
        <v>22.123893805309734</v>
      </c>
      <c r="H891" s="7">
        <f t="shared" si="67"/>
        <v>0.73746312684365778</v>
      </c>
      <c r="I891" s="5" t="str">
        <f t="shared" si="68"/>
        <v>крайняя бедность</v>
      </c>
      <c r="J891" t="str">
        <f t="shared" si="69"/>
        <v>нуждается в помощи</v>
      </c>
    </row>
    <row r="892" spans="1:10" x14ac:dyDescent="0.2">
      <c r="A892" s="4">
        <v>1740</v>
      </c>
      <c r="B892" t="s">
        <v>3</v>
      </c>
      <c r="C892">
        <v>270</v>
      </c>
      <c r="D892">
        <v>1</v>
      </c>
      <c r="E892" t="s">
        <v>11</v>
      </c>
      <c r="F892" s="6">
        <f t="shared" si="65"/>
        <v>270</v>
      </c>
      <c r="G892" s="7">
        <f t="shared" si="66"/>
        <v>23.89380530973451</v>
      </c>
      <c r="H892" s="7">
        <f t="shared" si="67"/>
        <v>0.79646017699115035</v>
      </c>
      <c r="I892" s="5" t="str">
        <f t="shared" si="68"/>
        <v>крайняя бедность</v>
      </c>
      <c r="J892" t="str">
        <f t="shared" si="69"/>
        <v>нуждается в помощи</v>
      </c>
    </row>
    <row r="893" spans="1:10" x14ac:dyDescent="0.2">
      <c r="A893" s="4">
        <v>5841</v>
      </c>
      <c r="B893" t="s">
        <v>2</v>
      </c>
      <c r="C893">
        <v>275</v>
      </c>
      <c r="D893">
        <v>1</v>
      </c>
      <c r="E893" t="s">
        <v>10</v>
      </c>
      <c r="F893" s="6">
        <f t="shared" si="65"/>
        <v>275</v>
      </c>
      <c r="G893" s="7">
        <f t="shared" si="66"/>
        <v>24.336283185840706</v>
      </c>
      <c r="H893" s="7">
        <f t="shared" si="67"/>
        <v>0.81120943952802349</v>
      </c>
      <c r="I893" s="5" t="str">
        <f t="shared" si="68"/>
        <v>крайняя бедность</v>
      </c>
      <c r="J893" t="str">
        <f t="shared" si="69"/>
        <v>не нуждается в помощи</v>
      </c>
    </row>
    <row r="894" spans="1:10" x14ac:dyDescent="0.2">
      <c r="A894" s="4">
        <v>2424</v>
      </c>
      <c r="B894" t="s">
        <v>0</v>
      </c>
      <c r="C894">
        <v>280</v>
      </c>
      <c r="D894">
        <v>1</v>
      </c>
      <c r="E894" t="s">
        <v>11</v>
      </c>
      <c r="F894" s="6">
        <f t="shared" si="65"/>
        <v>280</v>
      </c>
      <c r="G894" s="7">
        <f t="shared" si="66"/>
        <v>24.778761061946902</v>
      </c>
      <c r="H894" s="7">
        <f t="shared" si="67"/>
        <v>0.82595870206489674</v>
      </c>
      <c r="I894" s="5" t="str">
        <f t="shared" si="68"/>
        <v>крайняя бедность</v>
      </c>
      <c r="J894" t="str">
        <f t="shared" si="69"/>
        <v>не нуждается в помощи</v>
      </c>
    </row>
    <row r="895" spans="1:10" x14ac:dyDescent="0.2">
      <c r="A895" s="4">
        <v>2481</v>
      </c>
      <c r="B895" t="s">
        <v>0</v>
      </c>
      <c r="C895">
        <v>280</v>
      </c>
      <c r="D895">
        <v>1</v>
      </c>
      <c r="E895" t="s">
        <v>11</v>
      </c>
      <c r="F895" s="6">
        <f t="shared" si="65"/>
        <v>280</v>
      </c>
      <c r="G895" s="7">
        <f t="shared" si="66"/>
        <v>24.778761061946902</v>
      </c>
      <c r="H895" s="7">
        <f t="shared" si="67"/>
        <v>0.82595870206489674</v>
      </c>
      <c r="I895" s="5" t="str">
        <f t="shared" si="68"/>
        <v>крайняя бедность</v>
      </c>
      <c r="J895" t="str">
        <f t="shared" si="69"/>
        <v>не нуждается в помощи</v>
      </c>
    </row>
    <row r="896" spans="1:10" x14ac:dyDescent="0.2">
      <c r="A896" s="4">
        <v>2408</v>
      </c>
      <c r="B896" t="s">
        <v>0</v>
      </c>
      <c r="C896">
        <v>300</v>
      </c>
      <c r="D896">
        <v>1</v>
      </c>
      <c r="E896" t="s">
        <v>10</v>
      </c>
      <c r="F896" s="6">
        <f t="shared" si="65"/>
        <v>300</v>
      </c>
      <c r="G896" s="7">
        <f t="shared" si="66"/>
        <v>26.548672566371678</v>
      </c>
      <c r="H896" s="7">
        <f t="shared" si="67"/>
        <v>0.88495575221238931</v>
      </c>
      <c r="I896" s="5" t="str">
        <f t="shared" si="68"/>
        <v>крайняя бедность</v>
      </c>
      <c r="J896" t="str">
        <f t="shared" si="69"/>
        <v>не нуждается в помощи</v>
      </c>
    </row>
    <row r="897" spans="1:10" x14ac:dyDescent="0.2">
      <c r="A897" s="4">
        <v>2615</v>
      </c>
      <c r="B897" t="s">
        <v>0</v>
      </c>
      <c r="C897">
        <v>300</v>
      </c>
      <c r="D897">
        <v>1</v>
      </c>
      <c r="E897" t="s">
        <v>11</v>
      </c>
      <c r="F897" s="6">
        <f t="shared" si="65"/>
        <v>300</v>
      </c>
      <c r="G897" s="7">
        <f t="shared" si="66"/>
        <v>26.548672566371678</v>
      </c>
      <c r="H897" s="7">
        <f t="shared" si="67"/>
        <v>0.88495575221238931</v>
      </c>
      <c r="I897" s="5" t="str">
        <f t="shared" si="68"/>
        <v>крайняя бедность</v>
      </c>
      <c r="J897" t="str">
        <f t="shared" si="69"/>
        <v>не нуждается в помощи</v>
      </c>
    </row>
    <row r="898" spans="1:10" x14ac:dyDescent="0.2">
      <c r="A898" s="4">
        <v>2635</v>
      </c>
      <c r="B898" t="s">
        <v>0</v>
      </c>
      <c r="C898">
        <v>300</v>
      </c>
      <c r="D898">
        <v>1</v>
      </c>
      <c r="E898" t="s">
        <v>11</v>
      </c>
      <c r="F898" s="6">
        <f t="shared" ref="F898:F961" si="70">C898/D898</f>
        <v>300</v>
      </c>
      <c r="G898" s="7">
        <f t="shared" ref="G898:G961" si="71">(C898/D898)/rate</f>
        <v>26.548672566371678</v>
      </c>
      <c r="H898" s="7">
        <f t="shared" ref="H898:H961" si="72">((C898/D898)/30)/rate</f>
        <v>0.88495575221238931</v>
      </c>
      <c r="I898" s="5" t="str">
        <f t="shared" ref="I898:I961" si="73">IF(H898&lt;0.89, "крайняя бедность", IF(AND(H898&gt;0.89, H898&lt;1.33), "бедность", IF(AND(H898&gt;1.33,H898&lt;2.5),"ниже среднего", IF(AND(H898&gt;2.5,H898&lt;4), "средний", IF(H898&gt;4,"в достатке",0)))))</f>
        <v>крайняя бедность</v>
      </c>
      <c r="J898" t="str">
        <f t="shared" si="69"/>
        <v>не нуждается в помощи</v>
      </c>
    </row>
    <row r="899" spans="1:10" x14ac:dyDescent="0.2">
      <c r="A899" s="4">
        <v>2822</v>
      </c>
      <c r="B899" t="s">
        <v>2</v>
      </c>
      <c r="C899">
        <v>300</v>
      </c>
      <c r="D899">
        <v>1</v>
      </c>
      <c r="E899" t="s">
        <v>10</v>
      </c>
      <c r="F899" s="6">
        <f t="shared" si="70"/>
        <v>300</v>
      </c>
      <c r="G899" s="7">
        <f t="shared" si="71"/>
        <v>26.548672566371678</v>
      </c>
      <c r="H899" s="7">
        <f t="shared" si="72"/>
        <v>0.88495575221238931</v>
      </c>
      <c r="I899" s="5" t="str">
        <f t="shared" si="73"/>
        <v>крайняя бедность</v>
      </c>
      <c r="J899" t="str">
        <f t="shared" ref="J899:J962" si="74">IF(AND(I908="крайняя бедность",E908="Нет"), "нуждается в помощи", "не нуждается в помощи")</f>
        <v>не нуждается в помощи</v>
      </c>
    </row>
    <row r="900" spans="1:10" x14ac:dyDescent="0.2">
      <c r="A900" s="4">
        <v>2854</v>
      </c>
      <c r="B900" t="s">
        <v>2</v>
      </c>
      <c r="C900">
        <v>300</v>
      </c>
      <c r="D900">
        <v>1</v>
      </c>
      <c r="E900" t="s">
        <v>10</v>
      </c>
      <c r="F900" s="6">
        <f t="shared" si="70"/>
        <v>300</v>
      </c>
      <c r="G900" s="7">
        <f t="shared" si="71"/>
        <v>26.548672566371678</v>
      </c>
      <c r="H900" s="7">
        <f t="shared" si="72"/>
        <v>0.88495575221238931</v>
      </c>
      <c r="I900" s="5" t="str">
        <f t="shared" si="73"/>
        <v>крайняя бедность</v>
      </c>
      <c r="J900" t="str">
        <f t="shared" si="74"/>
        <v>не нуждается в помощи</v>
      </c>
    </row>
    <row r="901" spans="1:10" x14ac:dyDescent="0.2">
      <c r="A901" s="4">
        <v>2946</v>
      </c>
      <c r="B901" t="s">
        <v>1</v>
      </c>
      <c r="C901">
        <v>300</v>
      </c>
      <c r="D901">
        <v>1</v>
      </c>
      <c r="E901" t="s">
        <v>10</v>
      </c>
      <c r="F901" s="6">
        <f t="shared" si="70"/>
        <v>300</v>
      </c>
      <c r="G901" s="7">
        <f t="shared" si="71"/>
        <v>26.548672566371678</v>
      </c>
      <c r="H901" s="7">
        <f t="shared" si="72"/>
        <v>0.88495575221238931</v>
      </c>
      <c r="I901" s="5" t="str">
        <f t="shared" si="73"/>
        <v>крайняя бедность</v>
      </c>
      <c r="J901" t="str">
        <f t="shared" si="74"/>
        <v>не нуждается в помощи</v>
      </c>
    </row>
    <row r="902" spans="1:10" x14ac:dyDescent="0.2">
      <c r="A902" s="4">
        <v>2979</v>
      </c>
      <c r="B902" t="s">
        <v>1</v>
      </c>
      <c r="C902">
        <v>300</v>
      </c>
      <c r="D902">
        <v>1</v>
      </c>
      <c r="E902" t="s">
        <v>11</v>
      </c>
      <c r="F902" s="6">
        <f t="shared" si="70"/>
        <v>300</v>
      </c>
      <c r="G902" s="7">
        <f t="shared" si="71"/>
        <v>26.548672566371678</v>
      </c>
      <c r="H902" s="7">
        <f t="shared" si="72"/>
        <v>0.88495575221238931</v>
      </c>
      <c r="I902" s="5" t="str">
        <f t="shared" si="73"/>
        <v>крайняя бедность</v>
      </c>
      <c r="J902" t="str">
        <f t="shared" si="74"/>
        <v>не нуждается в помощи</v>
      </c>
    </row>
    <row r="903" spans="1:10" x14ac:dyDescent="0.2">
      <c r="A903" s="4">
        <v>5011</v>
      </c>
      <c r="B903" t="s">
        <v>4</v>
      </c>
      <c r="C903">
        <v>300</v>
      </c>
      <c r="D903">
        <v>1</v>
      </c>
      <c r="E903" t="s">
        <v>11</v>
      </c>
      <c r="F903" s="6">
        <f t="shared" si="70"/>
        <v>300</v>
      </c>
      <c r="G903" s="7">
        <f t="shared" si="71"/>
        <v>26.548672566371678</v>
      </c>
      <c r="H903" s="7">
        <f t="shared" si="72"/>
        <v>0.88495575221238931</v>
      </c>
      <c r="I903" s="5" t="str">
        <f t="shared" si="73"/>
        <v>крайняя бедность</v>
      </c>
      <c r="J903" t="str">
        <f t="shared" si="74"/>
        <v>не нуждается в помощи</v>
      </c>
    </row>
    <row r="904" spans="1:10" x14ac:dyDescent="0.2">
      <c r="A904" s="4">
        <v>5147</v>
      </c>
      <c r="B904" t="s">
        <v>4</v>
      </c>
      <c r="C904">
        <v>300</v>
      </c>
      <c r="D904">
        <v>1</v>
      </c>
      <c r="E904" t="s">
        <v>11</v>
      </c>
      <c r="F904" s="6">
        <f t="shared" si="70"/>
        <v>300</v>
      </c>
      <c r="G904" s="7">
        <f t="shared" si="71"/>
        <v>26.548672566371678</v>
      </c>
      <c r="H904" s="7">
        <f t="shared" si="72"/>
        <v>0.88495575221238931</v>
      </c>
      <c r="I904" s="5" t="str">
        <f t="shared" si="73"/>
        <v>крайняя бедность</v>
      </c>
      <c r="J904" t="str">
        <f t="shared" si="74"/>
        <v>не нуждается в помощи</v>
      </c>
    </row>
    <row r="905" spans="1:10" x14ac:dyDescent="0.2">
      <c r="A905" s="4">
        <v>6141</v>
      </c>
      <c r="B905" t="s">
        <v>1</v>
      </c>
      <c r="C905">
        <v>300</v>
      </c>
      <c r="D905">
        <v>1</v>
      </c>
      <c r="E905" t="s">
        <v>11</v>
      </c>
      <c r="F905" s="6">
        <f t="shared" si="70"/>
        <v>300</v>
      </c>
      <c r="G905" s="7">
        <f t="shared" si="71"/>
        <v>26.548672566371678</v>
      </c>
      <c r="H905" s="7">
        <f t="shared" si="72"/>
        <v>0.88495575221238931</v>
      </c>
      <c r="I905" s="5" t="str">
        <f t="shared" si="73"/>
        <v>крайняя бедность</v>
      </c>
      <c r="J905" t="str">
        <f t="shared" si="74"/>
        <v>не нуждается в помощи</v>
      </c>
    </row>
    <row r="906" spans="1:10" x14ac:dyDescent="0.2">
      <c r="A906" s="4">
        <v>6343</v>
      </c>
      <c r="B906" t="s">
        <v>1</v>
      </c>
      <c r="C906">
        <v>300</v>
      </c>
      <c r="D906">
        <v>1</v>
      </c>
      <c r="E906" t="s">
        <v>11</v>
      </c>
      <c r="F906" s="6">
        <f t="shared" si="70"/>
        <v>300</v>
      </c>
      <c r="G906" s="7">
        <f t="shared" si="71"/>
        <v>26.548672566371678</v>
      </c>
      <c r="H906" s="7">
        <f t="shared" si="72"/>
        <v>0.88495575221238931</v>
      </c>
      <c r="I906" s="5" t="str">
        <f t="shared" si="73"/>
        <v>крайняя бедность</v>
      </c>
      <c r="J906" t="str">
        <f t="shared" si="74"/>
        <v>не нуждается в помощи</v>
      </c>
    </row>
    <row r="907" spans="1:10" x14ac:dyDescent="0.2">
      <c r="A907" s="4">
        <v>5000</v>
      </c>
      <c r="B907" t="s">
        <v>4</v>
      </c>
      <c r="C907">
        <v>320</v>
      </c>
      <c r="D907">
        <v>1</v>
      </c>
      <c r="E907" t="s">
        <v>11</v>
      </c>
      <c r="F907" s="6">
        <f t="shared" si="70"/>
        <v>320</v>
      </c>
      <c r="G907" s="7">
        <f t="shared" si="71"/>
        <v>28.318584070796458</v>
      </c>
      <c r="H907" s="7">
        <f t="shared" si="72"/>
        <v>0.94395280235988188</v>
      </c>
      <c r="I907" s="5" t="str">
        <f t="shared" si="73"/>
        <v>бедность</v>
      </c>
      <c r="J907" t="str">
        <f t="shared" si="74"/>
        <v>не нуждается в помощи</v>
      </c>
    </row>
    <row r="908" spans="1:10" x14ac:dyDescent="0.2">
      <c r="A908" s="4">
        <v>3149</v>
      </c>
      <c r="B908" t="s">
        <v>1</v>
      </c>
      <c r="C908">
        <v>333</v>
      </c>
      <c r="D908">
        <v>1</v>
      </c>
      <c r="E908" t="s">
        <v>10</v>
      </c>
      <c r="F908" s="6">
        <f t="shared" si="70"/>
        <v>333</v>
      </c>
      <c r="G908" s="7">
        <f t="shared" si="71"/>
        <v>29.469026548672563</v>
      </c>
      <c r="H908" s="7">
        <f t="shared" si="72"/>
        <v>0.98230088495575207</v>
      </c>
      <c r="I908" s="5" t="str">
        <f t="shared" si="73"/>
        <v>бедность</v>
      </c>
      <c r="J908" t="str">
        <f t="shared" si="74"/>
        <v>не нуждается в помощи</v>
      </c>
    </row>
    <row r="909" spans="1:10" x14ac:dyDescent="0.2">
      <c r="A909" s="4">
        <v>3138</v>
      </c>
      <c r="B909" t="s">
        <v>1</v>
      </c>
      <c r="C909">
        <v>350</v>
      </c>
      <c r="D909">
        <v>1</v>
      </c>
      <c r="E909" t="s">
        <v>11</v>
      </c>
      <c r="F909" s="6">
        <f t="shared" si="70"/>
        <v>350</v>
      </c>
      <c r="G909" s="7">
        <f t="shared" si="71"/>
        <v>30.973451327433626</v>
      </c>
      <c r="H909" s="7">
        <f t="shared" si="72"/>
        <v>1.0324483775811208</v>
      </c>
      <c r="I909" s="5" t="str">
        <f t="shared" si="73"/>
        <v>бедность</v>
      </c>
      <c r="J909" t="str">
        <f t="shared" si="74"/>
        <v>не нуждается в помощи</v>
      </c>
    </row>
    <row r="910" spans="1:10" x14ac:dyDescent="0.2">
      <c r="A910" s="4">
        <v>1920</v>
      </c>
      <c r="B910" t="s">
        <v>3</v>
      </c>
      <c r="C910">
        <v>350</v>
      </c>
      <c r="D910">
        <v>1</v>
      </c>
      <c r="E910" t="s">
        <v>10</v>
      </c>
      <c r="F910" s="6">
        <f t="shared" si="70"/>
        <v>350</v>
      </c>
      <c r="G910" s="7">
        <f t="shared" si="71"/>
        <v>30.973451327433626</v>
      </c>
      <c r="H910" s="7">
        <f t="shared" si="72"/>
        <v>1.0324483775811208</v>
      </c>
      <c r="I910" s="5" t="str">
        <f t="shared" si="73"/>
        <v>бедность</v>
      </c>
      <c r="J910" t="str">
        <f t="shared" si="74"/>
        <v>не нуждается в помощи</v>
      </c>
    </row>
    <row r="911" spans="1:10" x14ac:dyDescent="0.2">
      <c r="A911" s="4">
        <v>2218</v>
      </c>
      <c r="B911" t="s">
        <v>3</v>
      </c>
      <c r="C911">
        <v>350</v>
      </c>
      <c r="D911">
        <v>1</v>
      </c>
      <c r="E911" t="s">
        <v>11</v>
      </c>
      <c r="F911" s="6">
        <f t="shared" si="70"/>
        <v>350</v>
      </c>
      <c r="G911" s="7">
        <f t="shared" si="71"/>
        <v>30.973451327433626</v>
      </c>
      <c r="H911" s="7">
        <f t="shared" si="72"/>
        <v>1.0324483775811208</v>
      </c>
      <c r="I911" s="5" t="str">
        <f t="shared" si="73"/>
        <v>бедность</v>
      </c>
      <c r="J911" t="str">
        <f t="shared" si="74"/>
        <v>не нуждается в помощи</v>
      </c>
    </row>
    <row r="912" spans="1:10" x14ac:dyDescent="0.2">
      <c r="A912" s="4">
        <v>3134</v>
      </c>
      <c r="B912" t="s">
        <v>1</v>
      </c>
      <c r="C912">
        <v>350</v>
      </c>
      <c r="D912">
        <v>1</v>
      </c>
      <c r="E912" t="s">
        <v>10</v>
      </c>
      <c r="F912" s="6">
        <f t="shared" si="70"/>
        <v>350</v>
      </c>
      <c r="G912" s="7">
        <f t="shared" si="71"/>
        <v>30.973451327433626</v>
      </c>
      <c r="H912" s="7">
        <f t="shared" si="72"/>
        <v>1.0324483775811208</v>
      </c>
      <c r="I912" s="5" t="str">
        <f t="shared" si="73"/>
        <v>бедность</v>
      </c>
      <c r="J912" t="str">
        <f t="shared" si="74"/>
        <v>не нуждается в помощи</v>
      </c>
    </row>
    <row r="913" spans="1:10" x14ac:dyDescent="0.2">
      <c r="A913" s="4">
        <v>3293</v>
      </c>
      <c r="B913" t="s">
        <v>1</v>
      </c>
      <c r="C913">
        <v>380</v>
      </c>
      <c r="D913">
        <v>1</v>
      </c>
      <c r="E913" t="s">
        <v>10</v>
      </c>
      <c r="F913" s="6">
        <f t="shared" si="70"/>
        <v>380</v>
      </c>
      <c r="G913" s="7">
        <f t="shared" si="71"/>
        <v>33.628318584070797</v>
      </c>
      <c r="H913" s="7">
        <f t="shared" si="72"/>
        <v>1.1209439528023597</v>
      </c>
      <c r="I913" s="5" t="str">
        <f t="shared" si="73"/>
        <v>бедность</v>
      </c>
      <c r="J913" t="str">
        <f t="shared" si="74"/>
        <v>не нуждается в помощи</v>
      </c>
    </row>
    <row r="914" spans="1:10" x14ac:dyDescent="0.2">
      <c r="A914" s="4">
        <v>1928</v>
      </c>
      <c r="B914" t="s">
        <v>3</v>
      </c>
      <c r="C914">
        <v>397</v>
      </c>
      <c r="D914">
        <v>1</v>
      </c>
      <c r="E914" t="s">
        <v>11</v>
      </c>
      <c r="F914" s="6">
        <f t="shared" si="70"/>
        <v>397</v>
      </c>
      <c r="G914" s="7">
        <f t="shared" si="71"/>
        <v>35.132743362831853</v>
      </c>
      <c r="H914" s="7">
        <f t="shared" si="72"/>
        <v>1.1710914454277284</v>
      </c>
      <c r="I914" s="5" t="str">
        <f t="shared" si="73"/>
        <v>бедность</v>
      </c>
      <c r="J914" t="str">
        <f t="shared" si="74"/>
        <v>не нуждается в помощи</v>
      </c>
    </row>
    <row r="915" spans="1:10" x14ac:dyDescent="0.2">
      <c r="A915" s="4">
        <v>2380</v>
      </c>
      <c r="B915" t="s">
        <v>0</v>
      </c>
      <c r="C915">
        <v>400</v>
      </c>
      <c r="D915">
        <v>1</v>
      </c>
      <c r="E915" t="s">
        <v>11</v>
      </c>
      <c r="F915" s="6">
        <f t="shared" si="70"/>
        <v>400</v>
      </c>
      <c r="G915" s="7">
        <f t="shared" si="71"/>
        <v>35.398230088495573</v>
      </c>
      <c r="H915" s="7">
        <f t="shared" si="72"/>
        <v>1.1799410029498525</v>
      </c>
      <c r="I915" s="5" t="str">
        <f t="shared" si="73"/>
        <v>бедность</v>
      </c>
      <c r="J915" t="str">
        <f t="shared" si="74"/>
        <v>не нуждается в помощи</v>
      </c>
    </row>
    <row r="916" spans="1:10" x14ac:dyDescent="0.2">
      <c r="A916" s="4">
        <v>2447</v>
      </c>
      <c r="B916" t="s">
        <v>0</v>
      </c>
      <c r="C916">
        <v>400</v>
      </c>
      <c r="D916">
        <v>1</v>
      </c>
      <c r="E916" t="s">
        <v>11</v>
      </c>
      <c r="F916" s="6">
        <f t="shared" si="70"/>
        <v>400</v>
      </c>
      <c r="G916" s="7">
        <f t="shared" si="71"/>
        <v>35.398230088495573</v>
      </c>
      <c r="H916" s="7">
        <f t="shared" si="72"/>
        <v>1.1799410029498525</v>
      </c>
      <c r="I916" s="5" t="str">
        <f t="shared" si="73"/>
        <v>бедность</v>
      </c>
      <c r="J916" t="str">
        <f t="shared" si="74"/>
        <v>не нуждается в помощи</v>
      </c>
    </row>
    <row r="917" spans="1:10" x14ac:dyDescent="0.2">
      <c r="A917" s="4">
        <v>2506</v>
      </c>
      <c r="B917" t="s">
        <v>0</v>
      </c>
      <c r="C917">
        <v>400</v>
      </c>
      <c r="D917">
        <v>1</v>
      </c>
      <c r="E917" t="s">
        <v>11</v>
      </c>
      <c r="F917" s="6">
        <f t="shared" si="70"/>
        <v>400</v>
      </c>
      <c r="G917" s="7">
        <f t="shared" si="71"/>
        <v>35.398230088495573</v>
      </c>
      <c r="H917" s="7">
        <f t="shared" si="72"/>
        <v>1.1799410029498525</v>
      </c>
      <c r="I917" s="5" t="str">
        <f t="shared" si="73"/>
        <v>бедность</v>
      </c>
      <c r="J917" t="str">
        <f t="shared" si="74"/>
        <v>не нуждается в помощи</v>
      </c>
    </row>
    <row r="918" spans="1:10" x14ac:dyDescent="0.2">
      <c r="A918" s="4">
        <v>2799</v>
      </c>
      <c r="B918" t="s">
        <v>2</v>
      </c>
      <c r="C918">
        <v>400</v>
      </c>
      <c r="D918">
        <v>1</v>
      </c>
      <c r="E918" t="s">
        <v>10</v>
      </c>
      <c r="F918" s="6">
        <f t="shared" si="70"/>
        <v>400</v>
      </c>
      <c r="G918" s="7">
        <f t="shared" si="71"/>
        <v>35.398230088495573</v>
      </c>
      <c r="H918" s="7">
        <f t="shared" si="72"/>
        <v>1.1799410029498525</v>
      </c>
      <c r="I918" s="5" t="str">
        <f t="shared" si="73"/>
        <v>бедность</v>
      </c>
      <c r="J918" t="str">
        <f t="shared" si="74"/>
        <v>не нуждается в помощи</v>
      </c>
    </row>
    <row r="919" spans="1:10" x14ac:dyDescent="0.2">
      <c r="A919" s="4">
        <v>2944</v>
      </c>
      <c r="B919" t="s">
        <v>1</v>
      </c>
      <c r="C919">
        <v>400</v>
      </c>
      <c r="D919">
        <v>1</v>
      </c>
      <c r="E919" t="s">
        <v>11</v>
      </c>
      <c r="F919" s="6">
        <f t="shared" si="70"/>
        <v>400</v>
      </c>
      <c r="G919" s="7">
        <f t="shared" si="71"/>
        <v>35.398230088495573</v>
      </c>
      <c r="H919" s="7">
        <f t="shared" si="72"/>
        <v>1.1799410029498525</v>
      </c>
      <c r="I919" s="5" t="str">
        <f t="shared" si="73"/>
        <v>бедность</v>
      </c>
      <c r="J919" t="str">
        <f t="shared" si="74"/>
        <v>не нуждается в помощи</v>
      </c>
    </row>
    <row r="920" spans="1:10" x14ac:dyDescent="0.2">
      <c r="A920" s="4">
        <v>2949</v>
      </c>
      <c r="B920" t="s">
        <v>1</v>
      </c>
      <c r="C920">
        <v>400</v>
      </c>
      <c r="D920">
        <v>1</v>
      </c>
      <c r="E920" t="s">
        <v>11</v>
      </c>
      <c r="F920" s="6">
        <f t="shared" si="70"/>
        <v>400</v>
      </c>
      <c r="G920" s="7">
        <f t="shared" si="71"/>
        <v>35.398230088495573</v>
      </c>
      <c r="H920" s="7">
        <f t="shared" si="72"/>
        <v>1.1799410029498525</v>
      </c>
      <c r="I920" s="5" t="str">
        <f t="shared" si="73"/>
        <v>бедность</v>
      </c>
      <c r="J920" t="str">
        <f t="shared" si="74"/>
        <v>не нуждается в помощи</v>
      </c>
    </row>
    <row r="921" spans="1:10" x14ac:dyDescent="0.2">
      <c r="A921" s="4">
        <v>2976</v>
      </c>
      <c r="B921" t="s">
        <v>1</v>
      </c>
      <c r="C921">
        <v>400</v>
      </c>
      <c r="D921">
        <v>1</v>
      </c>
      <c r="E921" t="s">
        <v>11</v>
      </c>
      <c r="F921" s="6">
        <f t="shared" si="70"/>
        <v>400</v>
      </c>
      <c r="G921" s="7">
        <f t="shared" si="71"/>
        <v>35.398230088495573</v>
      </c>
      <c r="H921" s="7">
        <f t="shared" si="72"/>
        <v>1.1799410029498525</v>
      </c>
      <c r="I921" s="5" t="str">
        <f t="shared" si="73"/>
        <v>бедность</v>
      </c>
      <c r="J921" t="str">
        <f t="shared" si="74"/>
        <v>не нуждается в помощи</v>
      </c>
    </row>
    <row r="922" spans="1:10" x14ac:dyDescent="0.2">
      <c r="A922" s="4">
        <v>2029</v>
      </c>
      <c r="B922" t="s">
        <v>3</v>
      </c>
      <c r="C922">
        <v>421</v>
      </c>
      <c r="D922">
        <v>1</v>
      </c>
      <c r="E922" t="s">
        <v>10</v>
      </c>
      <c r="F922" s="6">
        <f t="shared" si="70"/>
        <v>421</v>
      </c>
      <c r="G922" s="7">
        <f t="shared" si="71"/>
        <v>37.256637168141587</v>
      </c>
      <c r="H922" s="7">
        <f t="shared" si="72"/>
        <v>1.2418879056047196</v>
      </c>
      <c r="I922" s="5" t="str">
        <f t="shared" si="73"/>
        <v>бедность</v>
      </c>
      <c r="J922" t="str">
        <f t="shared" si="74"/>
        <v>не нуждается в помощи</v>
      </c>
    </row>
    <row r="923" spans="1:10" x14ac:dyDescent="0.2">
      <c r="A923" s="4">
        <v>1543</v>
      </c>
      <c r="B923" t="s">
        <v>5</v>
      </c>
      <c r="C923">
        <v>450</v>
      </c>
      <c r="D923">
        <v>1</v>
      </c>
      <c r="E923" t="s">
        <v>11</v>
      </c>
      <c r="F923" s="6">
        <f t="shared" si="70"/>
        <v>450</v>
      </c>
      <c r="G923" s="7">
        <f t="shared" si="71"/>
        <v>39.823008849557517</v>
      </c>
      <c r="H923" s="7">
        <f t="shared" si="72"/>
        <v>1.3274336283185839</v>
      </c>
      <c r="I923" s="5" t="str">
        <f t="shared" si="73"/>
        <v>бедность</v>
      </c>
      <c r="J923" t="str">
        <f t="shared" si="74"/>
        <v>не нуждается в помощи</v>
      </c>
    </row>
    <row r="924" spans="1:10" x14ac:dyDescent="0.2">
      <c r="A924" s="4">
        <v>2499</v>
      </c>
      <c r="B924" t="s">
        <v>0</v>
      </c>
      <c r="C924">
        <v>450</v>
      </c>
      <c r="D924">
        <v>1</v>
      </c>
      <c r="E924" t="s">
        <v>10</v>
      </c>
      <c r="F924" s="6">
        <f t="shared" si="70"/>
        <v>450</v>
      </c>
      <c r="G924" s="7">
        <f t="shared" si="71"/>
        <v>39.823008849557517</v>
      </c>
      <c r="H924" s="7">
        <f t="shared" si="72"/>
        <v>1.3274336283185839</v>
      </c>
      <c r="I924" s="5" t="str">
        <f t="shared" si="73"/>
        <v>бедность</v>
      </c>
      <c r="J924" t="str">
        <f t="shared" si="74"/>
        <v>не нуждается в помощи</v>
      </c>
    </row>
    <row r="925" spans="1:10" x14ac:dyDescent="0.2">
      <c r="A925" s="4">
        <v>2651</v>
      </c>
      <c r="B925" t="s">
        <v>2</v>
      </c>
      <c r="C925">
        <v>450</v>
      </c>
      <c r="D925">
        <v>1</v>
      </c>
      <c r="E925" t="s">
        <v>10</v>
      </c>
      <c r="F925" s="6">
        <f t="shared" si="70"/>
        <v>450</v>
      </c>
      <c r="G925" s="7">
        <f t="shared" si="71"/>
        <v>39.823008849557517</v>
      </c>
      <c r="H925" s="7">
        <f t="shared" si="72"/>
        <v>1.3274336283185839</v>
      </c>
      <c r="I925" s="5" t="str">
        <f t="shared" si="73"/>
        <v>бедность</v>
      </c>
      <c r="J925" t="str">
        <f t="shared" si="74"/>
        <v>не нуждается в помощи</v>
      </c>
    </row>
    <row r="926" spans="1:10" x14ac:dyDescent="0.2">
      <c r="A926" s="4">
        <v>2846</v>
      </c>
      <c r="B926" t="s">
        <v>2</v>
      </c>
      <c r="C926">
        <v>450</v>
      </c>
      <c r="D926">
        <v>1</v>
      </c>
      <c r="E926" t="s">
        <v>11</v>
      </c>
      <c r="F926" s="6">
        <f t="shared" si="70"/>
        <v>450</v>
      </c>
      <c r="G926" s="7">
        <f t="shared" si="71"/>
        <v>39.823008849557517</v>
      </c>
      <c r="H926" s="7">
        <f t="shared" si="72"/>
        <v>1.3274336283185839</v>
      </c>
      <c r="I926" s="5" t="str">
        <f t="shared" si="73"/>
        <v>бедность</v>
      </c>
      <c r="J926" t="str">
        <f t="shared" si="74"/>
        <v>не нуждается в помощи</v>
      </c>
    </row>
    <row r="927" spans="1:10" x14ac:dyDescent="0.2">
      <c r="A927" s="4">
        <v>3095</v>
      </c>
      <c r="B927" t="s">
        <v>1</v>
      </c>
      <c r="C927">
        <v>450</v>
      </c>
      <c r="D927">
        <v>1</v>
      </c>
      <c r="E927" t="s">
        <v>10</v>
      </c>
      <c r="F927" s="6">
        <f t="shared" si="70"/>
        <v>450</v>
      </c>
      <c r="G927" s="7">
        <f t="shared" si="71"/>
        <v>39.823008849557517</v>
      </c>
      <c r="H927" s="7">
        <f t="shared" si="72"/>
        <v>1.3274336283185839</v>
      </c>
      <c r="I927" s="5" t="str">
        <f t="shared" si="73"/>
        <v>бедность</v>
      </c>
      <c r="J927" t="str">
        <f t="shared" si="74"/>
        <v>не нуждается в помощи</v>
      </c>
    </row>
    <row r="928" spans="1:10" x14ac:dyDescent="0.2">
      <c r="A928" s="4">
        <v>6662</v>
      </c>
      <c r="B928" t="s">
        <v>3</v>
      </c>
      <c r="C928">
        <v>450</v>
      </c>
      <c r="D928">
        <v>1</v>
      </c>
      <c r="E928" t="s">
        <v>10</v>
      </c>
      <c r="F928" s="6">
        <f t="shared" si="70"/>
        <v>450</v>
      </c>
      <c r="G928" s="7">
        <f t="shared" si="71"/>
        <v>39.823008849557517</v>
      </c>
      <c r="H928" s="7">
        <f t="shared" si="72"/>
        <v>1.3274336283185839</v>
      </c>
      <c r="I928" s="5" t="str">
        <f t="shared" si="73"/>
        <v>бедность</v>
      </c>
      <c r="J928" t="str">
        <f t="shared" si="74"/>
        <v>не нуждается в помощи</v>
      </c>
    </row>
    <row r="929" spans="1:10" x14ac:dyDescent="0.2">
      <c r="A929" s="4">
        <v>2955</v>
      </c>
      <c r="B929" t="s">
        <v>1</v>
      </c>
      <c r="C929">
        <v>480</v>
      </c>
      <c r="D929">
        <v>1</v>
      </c>
      <c r="E929" t="s">
        <v>11</v>
      </c>
      <c r="F929" s="6">
        <f t="shared" si="70"/>
        <v>480</v>
      </c>
      <c r="G929" s="7">
        <f t="shared" si="71"/>
        <v>42.477876106194685</v>
      </c>
      <c r="H929" s="7">
        <f t="shared" si="72"/>
        <v>1.415929203539823</v>
      </c>
      <c r="I929" s="5" t="str">
        <f t="shared" si="73"/>
        <v>ниже среднего</v>
      </c>
      <c r="J929" t="str">
        <f t="shared" si="74"/>
        <v>не нуждается в помощи</v>
      </c>
    </row>
    <row r="930" spans="1:10" x14ac:dyDescent="0.2">
      <c r="A930" s="4">
        <v>1826</v>
      </c>
      <c r="B930" t="s">
        <v>3</v>
      </c>
      <c r="C930">
        <v>500</v>
      </c>
      <c r="D930">
        <v>1</v>
      </c>
      <c r="E930" t="s">
        <v>10</v>
      </c>
      <c r="F930" s="6">
        <f t="shared" si="70"/>
        <v>500</v>
      </c>
      <c r="G930" s="7">
        <f t="shared" si="71"/>
        <v>44.247787610619469</v>
      </c>
      <c r="H930" s="7">
        <f t="shared" si="72"/>
        <v>1.4749262536873156</v>
      </c>
      <c r="I930" s="5" t="str">
        <f t="shared" si="73"/>
        <v>ниже среднего</v>
      </c>
      <c r="J930" t="str">
        <f t="shared" si="74"/>
        <v>не нуждается в помощи</v>
      </c>
    </row>
    <row r="931" spans="1:10" x14ac:dyDescent="0.2">
      <c r="A931" s="4">
        <v>6621</v>
      </c>
      <c r="B931" t="s">
        <v>3</v>
      </c>
      <c r="C931">
        <v>500</v>
      </c>
      <c r="D931">
        <v>1</v>
      </c>
      <c r="E931" t="s">
        <v>11</v>
      </c>
      <c r="F931" s="6">
        <f t="shared" si="70"/>
        <v>500</v>
      </c>
      <c r="G931" s="7">
        <f t="shared" si="71"/>
        <v>44.247787610619469</v>
      </c>
      <c r="H931" s="7">
        <f t="shared" si="72"/>
        <v>1.4749262536873156</v>
      </c>
      <c r="I931" s="5" t="str">
        <f t="shared" si="73"/>
        <v>ниже среднего</v>
      </c>
      <c r="J931" t="str">
        <f t="shared" si="74"/>
        <v>не нуждается в помощи</v>
      </c>
    </row>
    <row r="932" spans="1:10" x14ac:dyDescent="0.2">
      <c r="A932" s="4">
        <v>2899</v>
      </c>
      <c r="B932" t="s">
        <v>1</v>
      </c>
      <c r="C932">
        <v>500</v>
      </c>
      <c r="D932">
        <v>1</v>
      </c>
      <c r="E932" t="s">
        <v>11</v>
      </c>
      <c r="F932" s="6">
        <f t="shared" si="70"/>
        <v>500</v>
      </c>
      <c r="G932" s="7">
        <f t="shared" si="71"/>
        <v>44.247787610619469</v>
      </c>
      <c r="H932" s="7">
        <f t="shared" si="72"/>
        <v>1.4749262536873156</v>
      </c>
      <c r="I932" s="5" t="str">
        <f t="shared" si="73"/>
        <v>ниже среднего</v>
      </c>
      <c r="J932" t="str">
        <f t="shared" si="74"/>
        <v>не нуждается в помощи</v>
      </c>
    </row>
    <row r="933" spans="1:10" x14ac:dyDescent="0.2">
      <c r="A933" s="4">
        <v>878</v>
      </c>
      <c r="B933" t="s">
        <v>4</v>
      </c>
      <c r="C933">
        <v>500</v>
      </c>
      <c r="D933">
        <v>1</v>
      </c>
      <c r="E933" t="s">
        <v>10</v>
      </c>
      <c r="F933" s="6">
        <f t="shared" si="70"/>
        <v>500</v>
      </c>
      <c r="G933" s="7">
        <f t="shared" si="71"/>
        <v>44.247787610619469</v>
      </c>
      <c r="H933" s="7">
        <f t="shared" si="72"/>
        <v>1.4749262536873156</v>
      </c>
      <c r="I933" s="5" t="str">
        <f t="shared" si="73"/>
        <v>ниже среднего</v>
      </c>
      <c r="J933" t="str">
        <f t="shared" si="74"/>
        <v>не нуждается в помощи</v>
      </c>
    </row>
    <row r="934" spans="1:10" x14ac:dyDescent="0.2">
      <c r="A934" s="4">
        <v>1575</v>
      </c>
      <c r="B934" t="s">
        <v>5</v>
      </c>
      <c r="C934">
        <v>500</v>
      </c>
      <c r="D934">
        <v>1</v>
      </c>
      <c r="E934" t="s">
        <v>11</v>
      </c>
      <c r="F934" s="6">
        <f t="shared" si="70"/>
        <v>500</v>
      </c>
      <c r="G934" s="7">
        <f t="shared" si="71"/>
        <v>44.247787610619469</v>
      </c>
      <c r="H934" s="7">
        <f t="shared" si="72"/>
        <v>1.4749262536873156</v>
      </c>
      <c r="I934" s="5" t="str">
        <f t="shared" si="73"/>
        <v>ниже среднего</v>
      </c>
      <c r="J934" t="str">
        <f t="shared" si="74"/>
        <v>не нуждается в помощи</v>
      </c>
    </row>
    <row r="935" spans="1:10" x14ac:dyDescent="0.2">
      <c r="A935" s="4">
        <v>1643</v>
      </c>
      <c r="B935" t="s">
        <v>5</v>
      </c>
      <c r="C935">
        <v>500</v>
      </c>
      <c r="D935">
        <v>1</v>
      </c>
      <c r="E935" t="s">
        <v>10</v>
      </c>
      <c r="F935" s="6">
        <f t="shared" si="70"/>
        <v>500</v>
      </c>
      <c r="G935" s="7">
        <f t="shared" si="71"/>
        <v>44.247787610619469</v>
      </c>
      <c r="H935" s="7">
        <f t="shared" si="72"/>
        <v>1.4749262536873156</v>
      </c>
      <c r="I935" s="5" t="str">
        <f t="shared" si="73"/>
        <v>ниже среднего</v>
      </c>
      <c r="J935" t="str">
        <f t="shared" si="74"/>
        <v>не нуждается в помощи</v>
      </c>
    </row>
    <row r="936" spans="1:10" x14ac:dyDescent="0.2">
      <c r="A936" s="4">
        <v>2071</v>
      </c>
      <c r="B936" t="s">
        <v>3</v>
      </c>
      <c r="C936">
        <v>500</v>
      </c>
      <c r="D936">
        <v>1</v>
      </c>
      <c r="E936" t="s">
        <v>11</v>
      </c>
      <c r="F936" s="6">
        <f t="shared" si="70"/>
        <v>500</v>
      </c>
      <c r="G936" s="7">
        <f t="shared" si="71"/>
        <v>44.247787610619469</v>
      </c>
      <c r="H936" s="7">
        <f t="shared" si="72"/>
        <v>1.4749262536873156</v>
      </c>
      <c r="I936" s="5" t="str">
        <f t="shared" si="73"/>
        <v>ниже среднего</v>
      </c>
      <c r="J936" t="str">
        <f t="shared" si="74"/>
        <v>не нуждается в помощи</v>
      </c>
    </row>
    <row r="937" spans="1:10" x14ac:dyDescent="0.2">
      <c r="A937" s="4">
        <v>2094</v>
      </c>
      <c r="B937" t="s">
        <v>3</v>
      </c>
      <c r="C937">
        <v>500</v>
      </c>
      <c r="D937">
        <v>1</v>
      </c>
      <c r="E937" t="s">
        <v>10</v>
      </c>
      <c r="F937" s="6">
        <f t="shared" si="70"/>
        <v>500</v>
      </c>
      <c r="G937" s="7">
        <f t="shared" si="71"/>
        <v>44.247787610619469</v>
      </c>
      <c r="H937" s="7">
        <f t="shared" si="72"/>
        <v>1.4749262536873156</v>
      </c>
      <c r="I937" s="5" t="str">
        <f t="shared" si="73"/>
        <v>ниже среднего</v>
      </c>
      <c r="J937" t="str">
        <f t="shared" si="74"/>
        <v>не нуждается в помощи</v>
      </c>
    </row>
    <row r="938" spans="1:10" x14ac:dyDescent="0.2">
      <c r="A938" s="4">
        <v>2129</v>
      </c>
      <c r="B938" t="s">
        <v>3</v>
      </c>
      <c r="C938">
        <v>500</v>
      </c>
      <c r="D938">
        <v>1</v>
      </c>
      <c r="E938" t="s">
        <v>11</v>
      </c>
      <c r="F938" s="6">
        <f t="shared" si="70"/>
        <v>500</v>
      </c>
      <c r="G938" s="7">
        <f t="shared" si="71"/>
        <v>44.247787610619469</v>
      </c>
      <c r="H938" s="7">
        <f t="shared" si="72"/>
        <v>1.4749262536873156</v>
      </c>
      <c r="I938" s="5" t="str">
        <f t="shared" si="73"/>
        <v>ниже среднего</v>
      </c>
      <c r="J938" t="str">
        <f t="shared" si="74"/>
        <v>не нуждается в помощи</v>
      </c>
    </row>
    <row r="939" spans="1:10" x14ac:dyDescent="0.2">
      <c r="A939" s="4">
        <v>2272</v>
      </c>
      <c r="B939" t="s">
        <v>3</v>
      </c>
      <c r="C939">
        <v>500</v>
      </c>
      <c r="D939">
        <v>1</v>
      </c>
      <c r="E939" t="s">
        <v>11</v>
      </c>
      <c r="F939" s="6">
        <f t="shared" si="70"/>
        <v>500</v>
      </c>
      <c r="G939" s="7">
        <f t="shared" si="71"/>
        <v>44.247787610619469</v>
      </c>
      <c r="H939" s="7">
        <f t="shared" si="72"/>
        <v>1.4749262536873156</v>
      </c>
      <c r="I939" s="5" t="str">
        <f t="shared" si="73"/>
        <v>ниже среднего</v>
      </c>
      <c r="J939" t="str">
        <f t="shared" si="74"/>
        <v>не нуждается в помощи</v>
      </c>
    </row>
    <row r="940" spans="1:10" x14ac:dyDescent="0.2">
      <c r="A940" s="4">
        <v>2315</v>
      </c>
      <c r="B940" t="s">
        <v>0</v>
      </c>
      <c r="C940">
        <v>500</v>
      </c>
      <c r="D940">
        <v>1</v>
      </c>
      <c r="E940" t="s">
        <v>11</v>
      </c>
      <c r="F940" s="6">
        <f t="shared" si="70"/>
        <v>500</v>
      </c>
      <c r="G940" s="7">
        <f t="shared" si="71"/>
        <v>44.247787610619469</v>
      </c>
      <c r="H940" s="7">
        <f t="shared" si="72"/>
        <v>1.4749262536873156</v>
      </c>
      <c r="I940" s="5" t="str">
        <f t="shared" si="73"/>
        <v>ниже среднего</v>
      </c>
      <c r="J940" t="str">
        <f t="shared" si="74"/>
        <v>не нуждается в помощи</v>
      </c>
    </row>
    <row r="941" spans="1:10" x14ac:dyDescent="0.2">
      <c r="A941" s="4">
        <v>2320</v>
      </c>
      <c r="B941" t="s">
        <v>0</v>
      </c>
      <c r="C941">
        <v>500</v>
      </c>
      <c r="D941">
        <v>1</v>
      </c>
      <c r="E941" t="s">
        <v>11</v>
      </c>
      <c r="F941" s="6">
        <f t="shared" si="70"/>
        <v>500</v>
      </c>
      <c r="G941" s="7">
        <f t="shared" si="71"/>
        <v>44.247787610619469</v>
      </c>
      <c r="H941" s="7">
        <f t="shared" si="72"/>
        <v>1.4749262536873156</v>
      </c>
      <c r="I941" s="5" t="str">
        <f t="shared" si="73"/>
        <v>ниже среднего</v>
      </c>
      <c r="J941" t="str">
        <f t="shared" si="74"/>
        <v>не нуждается в помощи</v>
      </c>
    </row>
    <row r="942" spans="1:10" x14ac:dyDescent="0.2">
      <c r="A942" s="4">
        <v>2431</v>
      </c>
      <c r="B942" t="s">
        <v>0</v>
      </c>
      <c r="C942">
        <v>500</v>
      </c>
      <c r="D942">
        <v>1</v>
      </c>
      <c r="E942" t="s">
        <v>10</v>
      </c>
      <c r="F942" s="6">
        <f t="shared" si="70"/>
        <v>500</v>
      </c>
      <c r="G942" s="7">
        <f t="shared" si="71"/>
        <v>44.247787610619469</v>
      </c>
      <c r="H942" s="7">
        <f t="shared" si="72"/>
        <v>1.4749262536873156</v>
      </c>
      <c r="I942" s="5" t="str">
        <f t="shared" si="73"/>
        <v>ниже среднего</v>
      </c>
      <c r="J942" t="str">
        <f t="shared" si="74"/>
        <v>не нуждается в помощи</v>
      </c>
    </row>
    <row r="943" spans="1:10" x14ac:dyDescent="0.2">
      <c r="A943" s="4">
        <v>2550</v>
      </c>
      <c r="B943" t="s">
        <v>0</v>
      </c>
      <c r="C943">
        <v>500</v>
      </c>
      <c r="D943">
        <v>1</v>
      </c>
      <c r="E943" t="s">
        <v>11</v>
      </c>
      <c r="F943" s="6">
        <f t="shared" si="70"/>
        <v>500</v>
      </c>
      <c r="G943" s="7">
        <f t="shared" si="71"/>
        <v>44.247787610619469</v>
      </c>
      <c r="H943" s="7">
        <f t="shared" si="72"/>
        <v>1.4749262536873156</v>
      </c>
      <c r="I943" s="5" t="str">
        <f t="shared" si="73"/>
        <v>ниже среднего</v>
      </c>
      <c r="J943" t="str">
        <f t="shared" si="74"/>
        <v>не нуждается в помощи</v>
      </c>
    </row>
    <row r="944" spans="1:10" x14ac:dyDescent="0.2">
      <c r="A944" s="4">
        <v>2607</v>
      </c>
      <c r="B944" t="s">
        <v>0</v>
      </c>
      <c r="C944">
        <v>500</v>
      </c>
      <c r="D944">
        <v>1</v>
      </c>
      <c r="E944" t="s">
        <v>11</v>
      </c>
      <c r="F944" s="6">
        <f t="shared" si="70"/>
        <v>500</v>
      </c>
      <c r="G944" s="7">
        <f t="shared" si="71"/>
        <v>44.247787610619469</v>
      </c>
      <c r="H944" s="7">
        <f t="shared" si="72"/>
        <v>1.4749262536873156</v>
      </c>
      <c r="I944" s="5" t="str">
        <f t="shared" si="73"/>
        <v>ниже среднего</v>
      </c>
      <c r="J944" t="str">
        <f t="shared" si="74"/>
        <v>не нуждается в помощи</v>
      </c>
    </row>
    <row r="945" spans="1:10" x14ac:dyDescent="0.2">
      <c r="A945" s="4">
        <v>2783</v>
      </c>
      <c r="B945" t="s">
        <v>2</v>
      </c>
      <c r="C945">
        <v>500</v>
      </c>
      <c r="D945">
        <v>1</v>
      </c>
      <c r="E945" t="s">
        <v>11</v>
      </c>
      <c r="F945" s="6">
        <f t="shared" si="70"/>
        <v>500</v>
      </c>
      <c r="G945" s="7">
        <f t="shared" si="71"/>
        <v>44.247787610619469</v>
      </c>
      <c r="H945" s="7">
        <f t="shared" si="72"/>
        <v>1.4749262536873156</v>
      </c>
      <c r="I945" s="5" t="str">
        <f t="shared" si="73"/>
        <v>ниже среднего</v>
      </c>
      <c r="J945" t="str">
        <f t="shared" si="74"/>
        <v>не нуждается в помощи</v>
      </c>
    </row>
    <row r="946" spans="1:10" x14ac:dyDescent="0.2">
      <c r="A946" s="4">
        <v>2857</v>
      </c>
      <c r="B946" t="s">
        <v>2</v>
      </c>
      <c r="C946">
        <v>500</v>
      </c>
      <c r="D946">
        <v>1</v>
      </c>
      <c r="E946" t="s">
        <v>11</v>
      </c>
      <c r="F946" s="6">
        <f t="shared" si="70"/>
        <v>500</v>
      </c>
      <c r="G946" s="7">
        <f t="shared" si="71"/>
        <v>44.247787610619469</v>
      </c>
      <c r="H946" s="7">
        <f t="shared" si="72"/>
        <v>1.4749262536873156</v>
      </c>
      <c r="I946" s="5" t="str">
        <f t="shared" si="73"/>
        <v>ниже среднего</v>
      </c>
      <c r="J946" t="str">
        <f t="shared" si="74"/>
        <v>не нуждается в помощи</v>
      </c>
    </row>
    <row r="947" spans="1:10" x14ac:dyDescent="0.2">
      <c r="A947" s="4">
        <v>2945</v>
      </c>
      <c r="B947" t="s">
        <v>1</v>
      </c>
      <c r="C947">
        <v>500</v>
      </c>
      <c r="D947">
        <v>1</v>
      </c>
      <c r="E947" t="s">
        <v>11</v>
      </c>
      <c r="F947" s="6">
        <f t="shared" si="70"/>
        <v>500</v>
      </c>
      <c r="G947" s="7">
        <f t="shared" si="71"/>
        <v>44.247787610619469</v>
      </c>
      <c r="H947" s="7">
        <f t="shared" si="72"/>
        <v>1.4749262536873156</v>
      </c>
      <c r="I947" s="5" t="str">
        <f t="shared" si="73"/>
        <v>ниже среднего</v>
      </c>
      <c r="J947" t="str">
        <f t="shared" si="74"/>
        <v>не нуждается в помощи</v>
      </c>
    </row>
    <row r="948" spans="1:10" x14ac:dyDescent="0.2">
      <c r="A948" s="4">
        <v>2968</v>
      </c>
      <c r="B948" t="s">
        <v>1</v>
      </c>
      <c r="C948">
        <v>500</v>
      </c>
      <c r="D948">
        <v>1</v>
      </c>
      <c r="E948" t="s">
        <v>10</v>
      </c>
      <c r="F948" s="6">
        <f t="shared" si="70"/>
        <v>500</v>
      </c>
      <c r="G948" s="7">
        <f t="shared" si="71"/>
        <v>44.247787610619469</v>
      </c>
      <c r="H948" s="7">
        <f t="shared" si="72"/>
        <v>1.4749262536873156</v>
      </c>
      <c r="I948" s="5" t="str">
        <f t="shared" si="73"/>
        <v>ниже среднего</v>
      </c>
      <c r="J948" t="str">
        <f t="shared" si="74"/>
        <v>не нуждается в помощи</v>
      </c>
    </row>
    <row r="949" spans="1:10" x14ac:dyDescent="0.2">
      <c r="A949" s="4">
        <v>2989</v>
      </c>
      <c r="B949" t="s">
        <v>1</v>
      </c>
      <c r="C949">
        <v>500</v>
      </c>
      <c r="D949">
        <v>1</v>
      </c>
      <c r="E949" t="s">
        <v>11</v>
      </c>
      <c r="F949" s="6">
        <f t="shared" si="70"/>
        <v>500</v>
      </c>
      <c r="G949" s="7">
        <f t="shared" si="71"/>
        <v>44.247787610619469</v>
      </c>
      <c r="H949" s="7">
        <f t="shared" si="72"/>
        <v>1.4749262536873156</v>
      </c>
      <c r="I949" s="5" t="str">
        <f t="shared" si="73"/>
        <v>ниже среднего</v>
      </c>
      <c r="J949" t="str">
        <f t="shared" si="74"/>
        <v>не нуждается в помощи</v>
      </c>
    </row>
    <row r="950" spans="1:10" x14ac:dyDescent="0.2">
      <c r="A950" s="4">
        <v>2999</v>
      </c>
      <c r="B950" t="s">
        <v>1</v>
      </c>
      <c r="C950">
        <v>500</v>
      </c>
      <c r="D950">
        <v>1</v>
      </c>
      <c r="E950" t="s">
        <v>11</v>
      </c>
      <c r="F950" s="6">
        <f t="shared" si="70"/>
        <v>500</v>
      </c>
      <c r="G950" s="7">
        <f t="shared" si="71"/>
        <v>44.247787610619469</v>
      </c>
      <c r="H950" s="7">
        <f t="shared" si="72"/>
        <v>1.4749262536873156</v>
      </c>
      <c r="I950" s="5" t="str">
        <f t="shared" si="73"/>
        <v>ниже среднего</v>
      </c>
      <c r="J950" t="str">
        <f t="shared" si="74"/>
        <v>не нуждается в помощи</v>
      </c>
    </row>
    <row r="951" spans="1:10" x14ac:dyDescent="0.2">
      <c r="A951" s="4">
        <v>3075</v>
      </c>
      <c r="B951" t="s">
        <v>1</v>
      </c>
      <c r="C951">
        <v>500</v>
      </c>
      <c r="D951">
        <v>1</v>
      </c>
      <c r="E951" t="s">
        <v>11</v>
      </c>
      <c r="F951" s="6">
        <f t="shared" si="70"/>
        <v>500</v>
      </c>
      <c r="G951" s="7">
        <f t="shared" si="71"/>
        <v>44.247787610619469</v>
      </c>
      <c r="H951" s="7">
        <f t="shared" si="72"/>
        <v>1.4749262536873156</v>
      </c>
      <c r="I951" s="5" t="str">
        <f t="shared" si="73"/>
        <v>ниже среднего</v>
      </c>
      <c r="J951" t="str">
        <f t="shared" si="74"/>
        <v>не нуждается в помощи</v>
      </c>
    </row>
    <row r="952" spans="1:10" x14ac:dyDescent="0.2">
      <c r="A952" s="4">
        <v>3167</v>
      </c>
      <c r="B952" s="1" t="s">
        <v>1</v>
      </c>
      <c r="C952">
        <v>500</v>
      </c>
      <c r="D952">
        <v>1</v>
      </c>
      <c r="E952" t="s">
        <v>11</v>
      </c>
      <c r="F952" s="6">
        <f t="shared" si="70"/>
        <v>500</v>
      </c>
      <c r="G952" s="7">
        <f t="shared" si="71"/>
        <v>44.247787610619469</v>
      </c>
      <c r="H952" s="7">
        <f t="shared" si="72"/>
        <v>1.4749262536873156</v>
      </c>
      <c r="I952" s="5" t="str">
        <f t="shared" si="73"/>
        <v>ниже среднего</v>
      </c>
      <c r="J952" t="str">
        <f t="shared" si="74"/>
        <v>не нуждается в помощи</v>
      </c>
    </row>
    <row r="953" spans="1:10" x14ac:dyDescent="0.2">
      <c r="A953" s="4">
        <v>3180</v>
      </c>
      <c r="B953" s="1" t="s">
        <v>1</v>
      </c>
      <c r="C953">
        <v>500</v>
      </c>
      <c r="D953">
        <v>1</v>
      </c>
      <c r="E953" t="s">
        <v>10</v>
      </c>
      <c r="F953" s="6">
        <f t="shared" si="70"/>
        <v>500</v>
      </c>
      <c r="G953" s="7">
        <f t="shared" si="71"/>
        <v>44.247787610619469</v>
      </c>
      <c r="H953" s="7">
        <f t="shared" si="72"/>
        <v>1.4749262536873156</v>
      </c>
      <c r="I953" s="5" t="str">
        <f t="shared" si="73"/>
        <v>ниже среднего</v>
      </c>
      <c r="J953" t="str">
        <f t="shared" si="74"/>
        <v>не нуждается в помощи</v>
      </c>
    </row>
    <row r="954" spans="1:10" x14ac:dyDescent="0.2">
      <c r="A954" s="4">
        <v>3183</v>
      </c>
      <c r="B954" s="1" t="s">
        <v>1</v>
      </c>
      <c r="C954">
        <v>500</v>
      </c>
      <c r="D954">
        <v>1</v>
      </c>
      <c r="E954" t="s">
        <v>10</v>
      </c>
      <c r="F954" s="6">
        <f t="shared" si="70"/>
        <v>500</v>
      </c>
      <c r="G954" s="7">
        <f t="shared" si="71"/>
        <v>44.247787610619469</v>
      </c>
      <c r="H954" s="7">
        <f t="shared" si="72"/>
        <v>1.4749262536873156</v>
      </c>
      <c r="I954" s="5" t="str">
        <f t="shared" si="73"/>
        <v>ниже среднего</v>
      </c>
      <c r="J954" t="str">
        <f t="shared" si="74"/>
        <v>не нуждается в помощи</v>
      </c>
    </row>
    <row r="955" spans="1:10" x14ac:dyDescent="0.2">
      <c r="A955" s="4">
        <v>3233</v>
      </c>
      <c r="B955" s="1" t="s">
        <v>1</v>
      </c>
      <c r="C955">
        <v>500</v>
      </c>
      <c r="D955">
        <v>1</v>
      </c>
      <c r="E955" t="s">
        <v>11</v>
      </c>
      <c r="F955" s="6">
        <f t="shared" si="70"/>
        <v>500</v>
      </c>
      <c r="G955" s="7">
        <f t="shared" si="71"/>
        <v>44.247787610619469</v>
      </c>
      <c r="H955" s="7">
        <f t="shared" si="72"/>
        <v>1.4749262536873156</v>
      </c>
      <c r="I955" s="5" t="str">
        <f t="shared" si="73"/>
        <v>ниже среднего</v>
      </c>
      <c r="J955" t="str">
        <f t="shared" si="74"/>
        <v>не нуждается в помощи</v>
      </c>
    </row>
    <row r="956" spans="1:10" x14ac:dyDescent="0.2">
      <c r="A956" s="4">
        <v>5142</v>
      </c>
      <c r="B956" s="1" t="s">
        <v>4</v>
      </c>
      <c r="C956">
        <v>500</v>
      </c>
      <c r="D956">
        <v>1</v>
      </c>
      <c r="E956" t="s">
        <v>10</v>
      </c>
      <c r="F956" s="6">
        <f t="shared" si="70"/>
        <v>500</v>
      </c>
      <c r="G956" s="7">
        <f t="shared" si="71"/>
        <v>44.247787610619469</v>
      </c>
      <c r="H956" s="7">
        <f t="shared" si="72"/>
        <v>1.4749262536873156</v>
      </c>
      <c r="I956" s="5" t="str">
        <f t="shared" si="73"/>
        <v>ниже среднего</v>
      </c>
      <c r="J956" t="str">
        <f t="shared" si="74"/>
        <v>не нуждается в помощи</v>
      </c>
    </row>
    <row r="957" spans="1:10" x14ac:dyDescent="0.2">
      <c r="A957" s="4">
        <v>2597</v>
      </c>
      <c r="B957" s="1" t="s">
        <v>0</v>
      </c>
      <c r="C957">
        <v>540</v>
      </c>
      <c r="D957">
        <v>1</v>
      </c>
      <c r="E957" t="s">
        <v>10</v>
      </c>
      <c r="F957" s="6">
        <f t="shared" si="70"/>
        <v>540</v>
      </c>
      <c r="G957" s="7">
        <f t="shared" si="71"/>
        <v>47.787610619469021</v>
      </c>
      <c r="H957" s="7">
        <f t="shared" si="72"/>
        <v>1.5929203539823007</v>
      </c>
      <c r="I957" s="5" t="str">
        <f t="shared" si="73"/>
        <v>ниже среднего</v>
      </c>
      <c r="J957" t="str">
        <f t="shared" si="74"/>
        <v>не нуждается в помощи</v>
      </c>
    </row>
    <row r="958" spans="1:10" x14ac:dyDescent="0.2">
      <c r="A958" s="4">
        <v>167</v>
      </c>
      <c r="B958" s="1" t="s">
        <v>4</v>
      </c>
      <c r="C958">
        <v>550</v>
      </c>
      <c r="D958">
        <v>1</v>
      </c>
      <c r="E958" t="s">
        <v>11</v>
      </c>
      <c r="F958" s="6">
        <f t="shared" si="70"/>
        <v>550</v>
      </c>
      <c r="G958" s="7">
        <f t="shared" si="71"/>
        <v>48.672566371681413</v>
      </c>
      <c r="H958" s="7">
        <f t="shared" si="72"/>
        <v>1.622418879056047</v>
      </c>
      <c r="I958" s="5" t="str">
        <f t="shared" si="73"/>
        <v>ниже среднего</v>
      </c>
      <c r="J958" t="str">
        <f t="shared" si="74"/>
        <v>не нуждается в помощи</v>
      </c>
    </row>
    <row r="959" spans="1:10" x14ac:dyDescent="0.2">
      <c r="A959" s="4">
        <v>2757</v>
      </c>
      <c r="B959" s="1" t="s">
        <v>2</v>
      </c>
      <c r="C959">
        <v>550</v>
      </c>
      <c r="D959">
        <v>1</v>
      </c>
      <c r="E959" t="s">
        <v>10</v>
      </c>
      <c r="F959" s="6">
        <f t="shared" si="70"/>
        <v>550</v>
      </c>
      <c r="G959" s="7">
        <f t="shared" si="71"/>
        <v>48.672566371681413</v>
      </c>
      <c r="H959" s="7">
        <f t="shared" si="72"/>
        <v>1.622418879056047</v>
      </c>
      <c r="I959" s="5" t="str">
        <f t="shared" si="73"/>
        <v>ниже среднего</v>
      </c>
      <c r="J959" t="str">
        <f t="shared" si="74"/>
        <v>не нуждается в помощи</v>
      </c>
    </row>
    <row r="960" spans="1:10" x14ac:dyDescent="0.2">
      <c r="A960" s="4">
        <v>3238</v>
      </c>
      <c r="B960" s="1" t="s">
        <v>1</v>
      </c>
      <c r="C960">
        <v>600</v>
      </c>
      <c r="D960">
        <v>1</v>
      </c>
      <c r="E960" t="s">
        <v>10</v>
      </c>
      <c r="F960" s="6">
        <f t="shared" si="70"/>
        <v>600</v>
      </c>
      <c r="G960" s="7">
        <f t="shared" si="71"/>
        <v>53.097345132743357</v>
      </c>
      <c r="H960" s="7">
        <f t="shared" si="72"/>
        <v>1.7699115044247786</v>
      </c>
      <c r="I960" s="5" t="str">
        <f t="shared" si="73"/>
        <v>ниже среднего</v>
      </c>
      <c r="J960" t="str">
        <f t="shared" si="74"/>
        <v>не нуждается в помощи</v>
      </c>
    </row>
    <row r="961" spans="1:10" x14ac:dyDescent="0.2">
      <c r="A961" s="4">
        <v>2436</v>
      </c>
      <c r="B961" s="1" t="s">
        <v>0</v>
      </c>
      <c r="C961">
        <v>600</v>
      </c>
      <c r="D961">
        <v>1</v>
      </c>
      <c r="E961" t="s">
        <v>11</v>
      </c>
      <c r="F961" s="6">
        <f t="shared" si="70"/>
        <v>600</v>
      </c>
      <c r="G961" s="7">
        <f t="shared" si="71"/>
        <v>53.097345132743357</v>
      </c>
      <c r="H961" s="7">
        <f t="shared" si="72"/>
        <v>1.7699115044247786</v>
      </c>
      <c r="I961" s="5" t="str">
        <f t="shared" si="73"/>
        <v>ниже среднего</v>
      </c>
      <c r="J961" t="str">
        <f t="shared" si="74"/>
        <v>не нуждается в помощи</v>
      </c>
    </row>
    <row r="962" spans="1:10" x14ac:dyDescent="0.2">
      <c r="A962" s="4">
        <v>895</v>
      </c>
      <c r="B962" s="1" t="s">
        <v>4</v>
      </c>
      <c r="C962">
        <v>600</v>
      </c>
      <c r="D962">
        <v>1</v>
      </c>
      <c r="E962" t="s">
        <v>11</v>
      </c>
      <c r="F962" s="6">
        <f t="shared" ref="F962:F1025" si="75">C962/D962</f>
        <v>600</v>
      </c>
      <c r="G962" s="7">
        <f t="shared" ref="G962:G1025" si="76">(C962/D962)/rate</f>
        <v>53.097345132743357</v>
      </c>
      <c r="H962" s="7">
        <f t="shared" ref="H962:H1025" si="77">((C962/D962)/30)/rate</f>
        <v>1.7699115044247786</v>
      </c>
      <c r="I962" s="5" t="str">
        <f t="shared" ref="I962:I1025" si="78">IF(H962&lt;0.89, "крайняя бедность", IF(AND(H962&gt;0.89, H962&lt;1.33), "бедность", IF(AND(H962&gt;1.33,H962&lt;2.5),"ниже среднего", IF(AND(H962&gt;2.5,H962&lt;4), "средний", IF(H962&gt;4,"в достатке",0)))))</f>
        <v>ниже среднего</v>
      </c>
      <c r="J962" t="str">
        <f t="shared" si="74"/>
        <v>не нуждается в помощи</v>
      </c>
    </row>
    <row r="963" spans="1:10" x14ac:dyDescent="0.2">
      <c r="A963" s="4">
        <v>1452</v>
      </c>
      <c r="B963" s="1" t="s">
        <v>4</v>
      </c>
      <c r="C963">
        <v>600</v>
      </c>
      <c r="D963">
        <v>1</v>
      </c>
      <c r="E963" t="s">
        <v>11</v>
      </c>
      <c r="F963" s="6">
        <f t="shared" si="75"/>
        <v>600</v>
      </c>
      <c r="G963" s="7">
        <f t="shared" si="76"/>
        <v>53.097345132743357</v>
      </c>
      <c r="H963" s="7">
        <f t="shared" si="77"/>
        <v>1.7699115044247786</v>
      </c>
      <c r="I963" s="5" t="str">
        <f t="shared" si="78"/>
        <v>ниже среднего</v>
      </c>
      <c r="J963" t="str">
        <f t="shared" ref="J963:J1026" si="79">IF(AND(I972="крайняя бедность",E972="Нет"), "нуждается в помощи", "не нуждается в помощи")</f>
        <v>не нуждается в помощи</v>
      </c>
    </row>
    <row r="964" spans="1:10" x14ac:dyDescent="0.2">
      <c r="A964" s="4">
        <v>1545</v>
      </c>
      <c r="B964" s="1" t="s">
        <v>5</v>
      </c>
      <c r="C964">
        <v>600</v>
      </c>
      <c r="D964">
        <v>1</v>
      </c>
      <c r="E964" t="s">
        <v>11</v>
      </c>
      <c r="F964" s="6">
        <f t="shared" si="75"/>
        <v>600</v>
      </c>
      <c r="G964" s="7">
        <f t="shared" si="76"/>
        <v>53.097345132743357</v>
      </c>
      <c r="H964" s="7">
        <f t="shared" si="77"/>
        <v>1.7699115044247786</v>
      </c>
      <c r="I964" s="5" t="str">
        <f t="shared" si="78"/>
        <v>ниже среднего</v>
      </c>
      <c r="J964" t="str">
        <f t="shared" si="79"/>
        <v>не нуждается в помощи</v>
      </c>
    </row>
    <row r="965" spans="1:10" x14ac:dyDescent="0.2">
      <c r="A965" s="4">
        <v>1695</v>
      </c>
      <c r="B965" s="1" t="s">
        <v>5</v>
      </c>
      <c r="C965">
        <v>600</v>
      </c>
      <c r="D965">
        <v>1</v>
      </c>
      <c r="E965" t="s">
        <v>11</v>
      </c>
      <c r="F965" s="6">
        <f t="shared" si="75"/>
        <v>600</v>
      </c>
      <c r="G965" s="7">
        <f t="shared" si="76"/>
        <v>53.097345132743357</v>
      </c>
      <c r="H965" s="7">
        <f t="shared" si="77"/>
        <v>1.7699115044247786</v>
      </c>
      <c r="I965" s="5" t="str">
        <f t="shared" si="78"/>
        <v>ниже среднего</v>
      </c>
      <c r="J965" t="str">
        <f t="shared" si="79"/>
        <v>не нуждается в помощи</v>
      </c>
    </row>
    <row r="966" spans="1:10" x14ac:dyDescent="0.2">
      <c r="A966" s="4">
        <v>2044</v>
      </c>
      <c r="B966" s="1" t="s">
        <v>3</v>
      </c>
      <c r="C966">
        <v>600</v>
      </c>
      <c r="D966">
        <v>1</v>
      </c>
      <c r="E966" t="s">
        <v>11</v>
      </c>
      <c r="F966" s="6">
        <f t="shared" si="75"/>
        <v>600</v>
      </c>
      <c r="G966" s="7">
        <f t="shared" si="76"/>
        <v>53.097345132743357</v>
      </c>
      <c r="H966" s="7">
        <f t="shared" si="77"/>
        <v>1.7699115044247786</v>
      </c>
      <c r="I966" s="5" t="str">
        <f t="shared" si="78"/>
        <v>ниже среднего</v>
      </c>
      <c r="J966" t="str">
        <f t="shared" si="79"/>
        <v>не нуждается в помощи</v>
      </c>
    </row>
    <row r="967" spans="1:10" x14ac:dyDescent="0.2">
      <c r="A967" s="4">
        <v>2256</v>
      </c>
      <c r="B967" s="1" t="s">
        <v>3</v>
      </c>
      <c r="C967">
        <v>600</v>
      </c>
      <c r="D967">
        <v>1</v>
      </c>
      <c r="E967" t="s">
        <v>10</v>
      </c>
      <c r="F967" s="6">
        <f t="shared" si="75"/>
        <v>600</v>
      </c>
      <c r="G967" s="7">
        <f t="shared" si="76"/>
        <v>53.097345132743357</v>
      </c>
      <c r="H967" s="7">
        <f t="shared" si="77"/>
        <v>1.7699115044247786</v>
      </c>
      <c r="I967" s="5" t="str">
        <f t="shared" si="78"/>
        <v>ниже среднего</v>
      </c>
      <c r="J967" t="str">
        <f t="shared" si="79"/>
        <v>не нуждается в помощи</v>
      </c>
    </row>
    <row r="968" spans="1:10" x14ac:dyDescent="0.2">
      <c r="A968" s="4">
        <v>2386</v>
      </c>
      <c r="B968" s="1" t="s">
        <v>0</v>
      </c>
      <c r="C968">
        <v>600</v>
      </c>
      <c r="D968">
        <v>1</v>
      </c>
      <c r="E968" t="s">
        <v>10</v>
      </c>
      <c r="F968" s="6">
        <f t="shared" si="75"/>
        <v>600</v>
      </c>
      <c r="G968" s="7">
        <f t="shared" si="76"/>
        <v>53.097345132743357</v>
      </c>
      <c r="H968" s="7">
        <f t="shared" si="77"/>
        <v>1.7699115044247786</v>
      </c>
      <c r="I968" s="5" t="str">
        <f t="shared" si="78"/>
        <v>ниже среднего</v>
      </c>
      <c r="J968" t="str">
        <f t="shared" si="79"/>
        <v>не нуждается в помощи</v>
      </c>
    </row>
    <row r="969" spans="1:10" x14ac:dyDescent="0.2">
      <c r="A969" s="4">
        <v>2444</v>
      </c>
      <c r="B969" s="1" t="s">
        <v>0</v>
      </c>
      <c r="C969">
        <v>600</v>
      </c>
      <c r="D969">
        <v>1</v>
      </c>
      <c r="E969" t="s">
        <v>11</v>
      </c>
      <c r="F969" s="6">
        <f t="shared" si="75"/>
        <v>600</v>
      </c>
      <c r="G969" s="7">
        <f t="shared" si="76"/>
        <v>53.097345132743357</v>
      </c>
      <c r="H969" s="7">
        <f t="shared" si="77"/>
        <v>1.7699115044247786</v>
      </c>
      <c r="I969" s="5" t="str">
        <f t="shared" si="78"/>
        <v>ниже среднего</v>
      </c>
      <c r="J969" t="str">
        <f t="shared" si="79"/>
        <v>не нуждается в помощи</v>
      </c>
    </row>
    <row r="970" spans="1:10" x14ac:dyDescent="0.2">
      <c r="A970" s="4">
        <v>2520</v>
      </c>
      <c r="B970" s="1" t="s">
        <v>0</v>
      </c>
      <c r="C970">
        <v>600</v>
      </c>
      <c r="D970">
        <v>1</v>
      </c>
      <c r="E970" t="s">
        <v>10</v>
      </c>
      <c r="F970" s="6">
        <f t="shared" si="75"/>
        <v>600</v>
      </c>
      <c r="G970" s="7">
        <f t="shared" si="76"/>
        <v>53.097345132743357</v>
      </c>
      <c r="H970" s="7">
        <f t="shared" si="77"/>
        <v>1.7699115044247786</v>
      </c>
      <c r="I970" s="5" t="str">
        <f t="shared" si="78"/>
        <v>ниже среднего</v>
      </c>
      <c r="J970" t="str">
        <f t="shared" si="79"/>
        <v>не нуждается в помощи</v>
      </c>
    </row>
    <row r="971" spans="1:10" x14ac:dyDescent="0.2">
      <c r="A971" s="4">
        <v>2595</v>
      </c>
      <c r="B971" s="1" t="s">
        <v>0</v>
      </c>
      <c r="C971">
        <v>600</v>
      </c>
      <c r="D971">
        <v>1</v>
      </c>
      <c r="E971" t="s">
        <v>11</v>
      </c>
      <c r="F971" s="6">
        <f t="shared" si="75"/>
        <v>600</v>
      </c>
      <c r="G971" s="7">
        <f t="shared" si="76"/>
        <v>53.097345132743357</v>
      </c>
      <c r="H971" s="7">
        <f t="shared" si="77"/>
        <v>1.7699115044247786</v>
      </c>
      <c r="I971" s="5" t="str">
        <f t="shared" si="78"/>
        <v>ниже среднего</v>
      </c>
      <c r="J971" t="str">
        <f t="shared" si="79"/>
        <v>не нуждается в помощи</v>
      </c>
    </row>
    <row r="972" spans="1:10" x14ac:dyDescent="0.2">
      <c r="A972" s="4">
        <v>2668</v>
      </c>
      <c r="B972" s="1" t="s">
        <v>2</v>
      </c>
      <c r="C972">
        <v>600</v>
      </c>
      <c r="D972">
        <v>1</v>
      </c>
      <c r="E972" t="s">
        <v>11</v>
      </c>
      <c r="F972" s="6">
        <f t="shared" si="75"/>
        <v>600</v>
      </c>
      <c r="G972" s="7">
        <f t="shared" si="76"/>
        <v>53.097345132743357</v>
      </c>
      <c r="H972" s="7">
        <f t="shared" si="77"/>
        <v>1.7699115044247786</v>
      </c>
      <c r="I972" s="5" t="str">
        <f t="shared" si="78"/>
        <v>ниже среднего</v>
      </c>
      <c r="J972" t="str">
        <f t="shared" si="79"/>
        <v>не нуждается в помощи</v>
      </c>
    </row>
    <row r="973" spans="1:10" x14ac:dyDescent="0.2">
      <c r="A973" s="4">
        <v>2947</v>
      </c>
      <c r="B973" s="1" t="s">
        <v>1</v>
      </c>
      <c r="C973">
        <v>600</v>
      </c>
      <c r="D973">
        <v>1</v>
      </c>
      <c r="E973" t="s">
        <v>11</v>
      </c>
      <c r="F973" s="6">
        <f t="shared" si="75"/>
        <v>600</v>
      </c>
      <c r="G973" s="7">
        <f t="shared" si="76"/>
        <v>53.097345132743357</v>
      </c>
      <c r="H973" s="7">
        <f t="shared" si="77"/>
        <v>1.7699115044247786</v>
      </c>
      <c r="I973" s="5" t="str">
        <f t="shared" si="78"/>
        <v>ниже среднего</v>
      </c>
      <c r="J973" t="str">
        <f t="shared" si="79"/>
        <v>не нуждается в помощи</v>
      </c>
    </row>
    <row r="974" spans="1:10" x14ac:dyDescent="0.2">
      <c r="A974" s="4">
        <v>3116</v>
      </c>
      <c r="B974" s="1" t="s">
        <v>1</v>
      </c>
      <c r="C974">
        <v>600</v>
      </c>
      <c r="D974">
        <v>1</v>
      </c>
      <c r="E974" t="s">
        <v>11</v>
      </c>
      <c r="F974" s="6">
        <f t="shared" si="75"/>
        <v>600</v>
      </c>
      <c r="G974" s="7">
        <f t="shared" si="76"/>
        <v>53.097345132743357</v>
      </c>
      <c r="H974" s="7">
        <f t="shared" si="77"/>
        <v>1.7699115044247786</v>
      </c>
      <c r="I974" s="5" t="str">
        <f t="shared" si="78"/>
        <v>ниже среднего</v>
      </c>
      <c r="J974" t="str">
        <f t="shared" si="79"/>
        <v>не нуждается в помощи</v>
      </c>
    </row>
    <row r="975" spans="1:10" x14ac:dyDescent="0.2">
      <c r="A975" s="4">
        <v>6127</v>
      </c>
      <c r="B975" s="1" t="s">
        <v>1</v>
      </c>
      <c r="C975">
        <v>600</v>
      </c>
      <c r="D975">
        <v>1</v>
      </c>
      <c r="E975" t="s">
        <v>10</v>
      </c>
      <c r="F975" s="6">
        <f t="shared" si="75"/>
        <v>600</v>
      </c>
      <c r="G975" s="7">
        <f t="shared" si="76"/>
        <v>53.097345132743357</v>
      </c>
      <c r="H975" s="7">
        <f t="shared" si="77"/>
        <v>1.7699115044247786</v>
      </c>
      <c r="I975" s="5" t="str">
        <f t="shared" si="78"/>
        <v>ниже среднего</v>
      </c>
      <c r="J975" t="str">
        <f t="shared" si="79"/>
        <v>не нуждается в помощи</v>
      </c>
    </row>
    <row r="976" spans="1:10" x14ac:dyDescent="0.2">
      <c r="A976" s="4">
        <v>5941</v>
      </c>
      <c r="B976" s="1" t="s">
        <v>2</v>
      </c>
      <c r="C976">
        <v>620</v>
      </c>
      <c r="D976">
        <v>1</v>
      </c>
      <c r="E976" t="s">
        <v>10</v>
      </c>
      <c r="F976" s="6">
        <f t="shared" si="75"/>
        <v>620</v>
      </c>
      <c r="G976" s="7">
        <f t="shared" si="76"/>
        <v>54.86725663716814</v>
      </c>
      <c r="H976" s="7">
        <f t="shared" si="77"/>
        <v>1.8289085545722714</v>
      </c>
      <c r="I976" s="5" t="str">
        <f t="shared" si="78"/>
        <v>ниже среднего</v>
      </c>
      <c r="J976" t="str">
        <f t="shared" si="79"/>
        <v>не нуждается в помощи</v>
      </c>
    </row>
    <row r="977" spans="1:10" x14ac:dyDescent="0.2">
      <c r="A977" s="4">
        <v>2309</v>
      </c>
      <c r="B977" s="1" t="s">
        <v>0</v>
      </c>
      <c r="C977">
        <v>650</v>
      </c>
      <c r="D977">
        <v>1</v>
      </c>
      <c r="E977" t="s">
        <v>10</v>
      </c>
      <c r="F977" s="6">
        <f t="shared" si="75"/>
        <v>650</v>
      </c>
      <c r="G977" s="7">
        <f t="shared" si="76"/>
        <v>57.522123893805308</v>
      </c>
      <c r="H977" s="7">
        <f t="shared" si="77"/>
        <v>1.9174041297935103</v>
      </c>
      <c r="I977" s="5" t="str">
        <f t="shared" si="78"/>
        <v>ниже среднего</v>
      </c>
      <c r="J977" t="str">
        <f t="shared" si="79"/>
        <v>не нуждается в помощи</v>
      </c>
    </row>
    <row r="978" spans="1:10" x14ac:dyDescent="0.2">
      <c r="A978" s="4">
        <v>6249</v>
      </c>
      <c r="B978" s="1" t="s">
        <v>1</v>
      </c>
      <c r="C978">
        <v>650</v>
      </c>
      <c r="D978">
        <v>1</v>
      </c>
      <c r="E978" t="s">
        <v>11</v>
      </c>
      <c r="F978" s="6">
        <f t="shared" si="75"/>
        <v>650</v>
      </c>
      <c r="G978" s="7">
        <f t="shared" si="76"/>
        <v>57.522123893805308</v>
      </c>
      <c r="H978" s="7">
        <f t="shared" si="77"/>
        <v>1.9174041297935103</v>
      </c>
      <c r="I978" s="5" t="str">
        <f t="shared" si="78"/>
        <v>ниже среднего</v>
      </c>
      <c r="J978" t="str">
        <f t="shared" si="79"/>
        <v>не нуждается в помощи</v>
      </c>
    </row>
    <row r="979" spans="1:10" x14ac:dyDescent="0.2">
      <c r="A979" s="4">
        <v>5182</v>
      </c>
      <c r="B979" s="1" t="s">
        <v>4</v>
      </c>
      <c r="C979">
        <v>690</v>
      </c>
      <c r="D979">
        <v>1</v>
      </c>
      <c r="E979" t="s">
        <v>11</v>
      </c>
      <c r="F979" s="6">
        <f t="shared" si="75"/>
        <v>690</v>
      </c>
      <c r="G979" s="7">
        <f t="shared" si="76"/>
        <v>61.06194690265486</v>
      </c>
      <c r="H979" s="7">
        <f t="shared" si="77"/>
        <v>2.0353982300884956</v>
      </c>
      <c r="I979" s="5" t="str">
        <f t="shared" si="78"/>
        <v>ниже среднего</v>
      </c>
      <c r="J979" t="str">
        <f t="shared" si="79"/>
        <v>не нуждается в помощи</v>
      </c>
    </row>
    <row r="980" spans="1:10" x14ac:dyDescent="0.2">
      <c r="A980" s="4">
        <v>2052</v>
      </c>
      <c r="B980" s="1" t="s">
        <v>3</v>
      </c>
      <c r="C980">
        <v>700</v>
      </c>
      <c r="D980">
        <v>1</v>
      </c>
      <c r="E980" t="s">
        <v>10</v>
      </c>
      <c r="F980" s="6">
        <f t="shared" si="75"/>
        <v>700</v>
      </c>
      <c r="G980" s="7">
        <f t="shared" si="76"/>
        <v>61.946902654867252</v>
      </c>
      <c r="H980" s="7">
        <f t="shared" si="77"/>
        <v>2.0648967551622417</v>
      </c>
      <c r="I980" s="5" t="str">
        <f t="shared" si="78"/>
        <v>ниже среднего</v>
      </c>
      <c r="J980" t="str">
        <f t="shared" si="79"/>
        <v>не нуждается в помощи</v>
      </c>
    </row>
    <row r="981" spans="1:10" x14ac:dyDescent="0.2">
      <c r="A981" s="4">
        <v>1721</v>
      </c>
      <c r="B981" s="1" t="s">
        <v>3</v>
      </c>
      <c r="C981">
        <v>700</v>
      </c>
      <c r="D981">
        <v>1</v>
      </c>
      <c r="E981" t="s">
        <v>10</v>
      </c>
      <c r="F981" s="6">
        <f t="shared" si="75"/>
        <v>700</v>
      </c>
      <c r="G981" s="7">
        <f t="shared" si="76"/>
        <v>61.946902654867252</v>
      </c>
      <c r="H981" s="7">
        <f t="shared" si="77"/>
        <v>2.0648967551622417</v>
      </c>
      <c r="I981" s="5" t="str">
        <f t="shared" si="78"/>
        <v>ниже среднего</v>
      </c>
      <c r="J981" t="str">
        <f t="shared" si="79"/>
        <v>не нуждается в помощи</v>
      </c>
    </row>
    <row r="982" spans="1:10" x14ac:dyDescent="0.2">
      <c r="A982" s="4">
        <v>6545</v>
      </c>
      <c r="B982" s="1" t="s">
        <v>3</v>
      </c>
      <c r="C982">
        <v>700</v>
      </c>
      <c r="D982">
        <v>1</v>
      </c>
      <c r="E982" t="s">
        <v>11</v>
      </c>
      <c r="F982" s="6">
        <f t="shared" si="75"/>
        <v>700</v>
      </c>
      <c r="G982" s="7">
        <f t="shared" si="76"/>
        <v>61.946902654867252</v>
      </c>
      <c r="H982" s="7">
        <f t="shared" si="77"/>
        <v>2.0648967551622417</v>
      </c>
      <c r="I982" s="5" t="str">
        <f t="shared" si="78"/>
        <v>ниже среднего</v>
      </c>
      <c r="J982" t="str">
        <f t="shared" si="79"/>
        <v>не нуждается в помощи</v>
      </c>
    </row>
    <row r="983" spans="1:10" x14ac:dyDescent="0.2">
      <c r="A983" s="4">
        <v>6661</v>
      </c>
      <c r="B983" s="1" t="s">
        <v>3</v>
      </c>
      <c r="C983">
        <v>700</v>
      </c>
      <c r="D983">
        <v>1</v>
      </c>
      <c r="E983" t="s">
        <v>11</v>
      </c>
      <c r="F983" s="6">
        <f t="shared" si="75"/>
        <v>700</v>
      </c>
      <c r="G983" s="7">
        <f t="shared" si="76"/>
        <v>61.946902654867252</v>
      </c>
      <c r="H983" s="7">
        <f t="shared" si="77"/>
        <v>2.0648967551622417</v>
      </c>
      <c r="I983" s="5" t="str">
        <f t="shared" si="78"/>
        <v>ниже среднего</v>
      </c>
      <c r="J983" t="str">
        <f t="shared" si="79"/>
        <v>не нуждается в помощи</v>
      </c>
    </row>
    <row r="984" spans="1:10" x14ac:dyDescent="0.2">
      <c r="A984" s="4">
        <v>1875</v>
      </c>
      <c r="B984" s="1" t="s">
        <v>3</v>
      </c>
      <c r="C984">
        <v>700</v>
      </c>
      <c r="D984">
        <v>1</v>
      </c>
      <c r="E984" t="s">
        <v>11</v>
      </c>
      <c r="F984" s="6">
        <f t="shared" si="75"/>
        <v>700</v>
      </c>
      <c r="G984" s="7">
        <f t="shared" si="76"/>
        <v>61.946902654867252</v>
      </c>
      <c r="H984" s="7">
        <f t="shared" si="77"/>
        <v>2.0648967551622417</v>
      </c>
      <c r="I984" s="5" t="str">
        <f t="shared" si="78"/>
        <v>ниже среднего</v>
      </c>
      <c r="J984" t="str">
        <f t="shared" si="79"/>
        <v>не нуждается в помощи</v>
      </c>
    </row>
    <row r="985" spans="1:10" x14ac:dyDescent="0.2">
      <c r="A985" s="4">
        <v>2158</v>
      </c>
      <c r="B985" s="1" t="s">
        <v>3</v>
      </c>
      <c r="C985">
        <v>700</v>
      </c>
      <c r="D985">
        <v>1</v>
      </c>
      <c r="E985" t="s">
        <v>11</v>
      </c>
      <c r="F985" s="6">
        <f t="shared" si="75"/>
        <v>700</v>
      </c>
      <c r="G985" s="7">
        <f t="shared" si="76"/>
        <v>61.946902654867252</v>
      </c>
      <c r="H985" s="7">
        <f t="shared" si="77"/>
        <v>2.0648967551622417</v>
      </c>
      <c r="I985" s="5" t="str">
        <f t="shared" si="78"/>
        <v>ниже среднего</v>
      </c>
      <c r="J985" t="str">
        <f t="shared" si="79"/>
        <v>не нуждается в помощи</v>
      </c>
    </row>
    <row r="986" spans="1:10" x14ac:dyDescent="0.2">
      <c r="A986" s="4">
        <v>1766</v>
      </c>
      <c r="B986" s="1" t="s">
        <v>3</v>
      </c>
      <c r="C986">
        <v>700</v>
      </c>
      <c r="D986">
        <v>1</v>
      </c>
      <c r="E986" t="s">
        <v>11</v>
      </c>
      <c r="F986" s="6">
        <f t="shared" si="75"/>
        <v>700</v>
      </c>
      <c r="G986" s="7">
        <f t="shared" si="76"/>
        <v>61.946902654867252</v>
      </c>
      <c r="H986" s="7">
        <f t="shared" si="77"/>
        <v>2.0648967551622417</v>
      </c>
      <c r="I986" s="5" t="str">
        <f t="shared" si="78"/>
        <v>ниже среднего</v>
      </c>
      <c r="J986" t="str">
        <f t="shared" si="79"/>
        <v>не нуждается в помощи</v>
      </c>
    </row>
    <row r="987" spans="1:10" x14ac:dyDescent="0.2">
      <c r="A987" s="4">
        <v>1925</v>
      </c>
      <c r="B987" s="1" t="s">
        <v>3</v>
      </c>
      <c r="C987">
        <v>700</v>
      </c>
      <c r="D987">
        <v>1</v>
      </c>
      <c r="E987" t="s">
        <v>11</v>
      </c>
      <c r="F987" s="6">
        <f t="shared" si="75"/>
        <v>700</v>
      </c>
      <c r="G987" s="7">
        <f t="shared" si="76"/>
        <v>61.946902654867252</v>
      </c>
      <c r="H987" s="7">
        <f t="shared" si="77"/>
        <v>2.0648967551622417</v>
      </c>
      <c r="I987" s="5" t="str">
        <f t="shared" si="78"/>
        <v>ниже среднего</v>
      </c>
      <c r="J987" t="str">
        <f t="shared" si="79"/>
        <v>не нуждается в помощи</v>
      </c>
    </row>
    <row r="988" spans="1:10" x14ac:dyDescent="0.2">
      <c r="A988" s="4">
        <v>2184</v>
      </c>
      <c r="B988" s="1" t="s">
        <v>3</v>
      </c>
      <c r="C988">
        <v>700</v>
      </c>
      <c r="D988">
        <v>1</v>
      </c>
      <c r="E988" t="s">
        <v>10</v>
      </c>
      <c r="F988" s="6">
        <f t="shared" si="75"/>
        <v>700</v>
      </c>
      <c r="G988" s="7">
        <f t="shared" si="76"/>
        <v>61.946902654867252</v>
      </c>
      <c r="H988" s="7">
        <f t="shared" si="77"/>
        <v>2.0648967551622417</v>
      </c>
      <c r="I988" s="5" t="str">
        <f t="shared" si="78"/>
        <v>ниже среднего</v>
      </c>
      <c r="J988" t="str">
        <f t="shared" si="79"/>
        <v>не нуждается в помощи</v>
      </c>
    </row>
    <row r="989" spans="1:10" x14ac:dyDescent="0.2">
      <c r="A989" s="4">
        <v>2464</v>
      </c>
      <c r="B989" s="1" t="s">
        <v>0</v>
      </c>
      <c r="C989">
        <v>700</v>
      </c>
      <c r="D989">
        <v>1</v>
      </c>
      <c r="E989" t="s">
        <v>10</v>
      </c>
      <c r="F989" s="6">
        <f t="shared" si="75"/>
        <v>700</v>
      </c>
      <c r="G989" s="7">
        <f t="shared" si="76"/>
        <v>61.946902654867252</v>
      </c>
      <c r="H989" s="7">
        <f t="shared" si="77"/>
        <v>2.0648967551622417</v>
      </c>
      <c r="I989" s="5" t="str">
        <f t="shared" si="78"/>
        <v>ниже среднего</v>
      </c>
      <c r="J989" t="str">
        <f t="shared" si="79"/>
        <v>не нуждается в помощи</v>
      </c>
    </row>
    <row r="990" spans="1:10" x14ac:dyDescent="0.2">
      <c r="A990" s="4">
        <v>2647</v>
      </c>
      <c r="B990" s="1" t="s">
        <v>2</v>
      </c>
      <c r="C990">
        <v>700</v>
      </c>
      <c r="D990">
        <v>1</v>
      </c>
      <c r="E990" t="s">
        <v>10</v>
      </c>
      <c r="F990" s="6">
        <f t="shared" si="75"/>
        <v>700</v>
      </c>
      <c r="G990" s="7">
        <f t="shared" si="76"/>
        <v>61.946902654867252</v>
      </c>
      <c r="H990" s="7">
        <f t="shared" si="77"/>
        <v>2.0648967551622417</v>
      </c>
      <c r="I990" s="5" t="str">
        <f t="shared" si="78"/>
        <v>ниже среднего</v>
      </c>
      <c r="J990" t="str">
        <f t="shared" si="79"/>
        <v>не нуждается в помощи</v>
      </c>
    </row>
    <row r="991" spans="1:10" x14ac:dyDescent="0.2">
      <c r="A991" s="4">
        <v>1663</v>
      </c>
      <c r="B991" s="1" t="s">
        <v>5</v>
      </c>
      <c r="C991">
        <v>730</v>
      </c>
      <c r="D991">
        <v>1</v>
      </c>
      <c r="E991" t="s">
        <v>11</v>
      </c>
      <c r="F991" s="6">
        <f t="shared" si="75"/>
        <v>730</v>
      </c>
      <c r="G991" s="7">
        <f t="shared" si="76"/>
        <v>64.601769911504419</v>
      </c>
      <c r="H991" s="7">
        <f t="shared" si="77"/>
        <v>2.1533923303834808</v>
      </c>
      <c r="I991" s="5" t="str">
        <f t="shared" si="78"/>
        <v>ниже среднего</v>
      </c>
      <c r="J991" t="str">
        <f t="shared" si="79"/>
        <v>не нуждается в помощи</v>
      </c>
    </row>
    <row r="992" spans="1:10" x14ac:dyDescent="0.2">
      <c r="A992" s="4">
        <v>2060</v>
      </c>
      <c r="B992" s="1" t="s">
        <v>3</v>
      </c>
      <c r="C992">
        <v>750</v>
      </c>
      <c r="D992">
        <v>1</v>
      </c>
      <c r="E992" t="s">
        <v>11</v>
      </c>
      <c r="F992" s="6">
        <f t="shared" si="75"/>
        <v>750</v>
      </c>
      <c r="G992" s="7">
        <f t="shared" si="76"/>
        <v>66.371681415929203</v>
      </c>
      <c r="H992" s="7">
        <f t="shared" si="77"/>
        <v>2.2123893805309733</v>
      </c>
      <c r="I992" s="5" t="str">
        <f t="shared" si="78"/>
        <v>ниже среднего</v>
      </c>
      <c r="J992" t="str">
        <f t="shared" si="79"/>
        <v>не нуждается в помощи</v>
      </c>
    </row>
    <row r="993" spans="1:10" x14ac:dyDescent="0.2">
      <c r="A993" s="4">
        <v>3132</v>
      </c>
      <c r="B993" s="1" t="s">
        <v>1</v>
      </c>
      <c r="C993">
        <v>750</v>
      </c>
      <c r="D993">
        <v>1</v>
      </c>
      <c r="E993" t="s">
        <v>10</v>
      </c>
      <c r="F993" s="6">
        <f t="shared" si="75"/>
        <v>750</v>
      </c>
      <c r="G993" s="7">
        <f t="shared" si="76"/>
        <v>66.371681415929203</v>
      </c>
      <c r="H993" s="7">
        <f t="shared" si="77"/>
        <v>2.2123893805309733</v>
      </c>
      <c r="I993" s="5" t="str">
        <f t="shared" si="78"/>
        <v>ниже среднего</v>
      </c>
      <c r="J993" t="str">
        <f t="shared" si="79"/>
        <v>не нуждается в помощи</v>
      </c>
    </row>
    <row r="994" spans="1:10" x14ac:dyDescent="0.2">
      <c r="A994" s="4">
        <v>2049</v>
      </c>
      <c r="B994" s="1" t="s">
        <v>3</v>
      </c>
      <c r="C994">
        <v>750</v>
      </c>
      <c r="D994">
        <v>1</v>
      </c>
      <c r="E994" t="s">
        <v>10</v>
      </c>
      <c r="F994" s="6">
        <f t="shared" si="75"/>
        <v>750</v>
      </c>
      <c r="G994" s="7">
        <f t="shared" si="76"/>
        <v>66.371681415929203</v>
      </c>
      <c r="H994" s="7">
        <f t="shared" si="77"/>
        <v>2.2123893805309733</v>
      </c>
      <c r="I994" s="5" t="str">
        <f t="shared" si="78"/>
        <v>ниже среднего</v>
      </c>
      <c r="J994" t="str">
        <f t="shared" si="79"/>
        <v>не нуждается в помощи</v>
      </c>
    </row>
    <row r="995" spans="1:10" x14ac:dyDescent="0.2">
      <c r="A995" s="4">
        <v>3009</v>
      </c>
      <c r="B995" s="1" t="s">
        <v>1</v>
      </c>
      <c r="C995">
        <v>750</v>
      </c>
      <c r="D995">
        <v>1</v>
      </c>
      <c r="E995" t="s">
        <v>10</v>
      </c>
      <c r="F995" s="6">
        <f t="shared" si="75"/>
        <v>750</v>
      </c>
      <c r="G995" s="7">
        <f t="shared" si="76"/>
        <v>66.371681415929203</v>
      </c>
      <c r="H995" s="7">
        <f t="shared" si="77"/>
        <v>2.2123893805309733</v>
      </c>
      <c r="I995" s="5" t="str">
        <f t="shared" si="78"/>
        <v>ниже среднего</v>
      </c>
      <c r="J995" t="str">
        <f t="shared" si="79"/>
        <v>не нуждается в помощи</v>
      </c>
    </row>
    <row r="996" spans="1:10" x14ac:dyDescent="0.2">
      <c r="A996" s="4">
        <v>6283</v>
      </c>
      <c r="B996" s="1" t="s">
        <v>1</v>
      </c>
      <c r="C996">
        <v>750</v>
      </c>
      <c r="D996">
        <v>1</v>
      </c>
      <c r="E996" t="s">
        <v>11</v>
      </c>
      <c r="F996" s="6">
        <f t="shared" si="75"/>
        <v>750</v>
      </c>
      <c r="G996" s="7">
        <f t="shared" si="76"/>
        <v>66.371681415929203</v>
      </c>
      <c r="H996" s="7">
        <f t="shared" si="77"/>
        <v>2.2123893805309733</v>
      </c>
      <c r="I996" s="5" t="str">
        <f t="shared" si="78"/>
        <v>ниже среднего</v>
      </c>
      <c r="J996" t="str">
        <f t="shared" si="79"/>
        <v>не нуждается в помощи</v>
      </c>
    </row>
    <row r="997" spans="1:10" x14ac:dyDescent="0.2">
      <c r="A997" s="4">
        <v>2629</v>
      </c>
      <c r="B997" s="1" t="s">
        <v>0</v>
      </c>
      <c r="C997">
        <v>800</v>
      </c>
      <c r="D997">
        <v>1</v>
      </c>
      <c r="E997" t="s">
        <v>11</v>
      </c>
      <c r="F997" s="6">
        <f t="shared" si="75"/>
        <v>800</v>
      </c>
      <c r="G997" s="7">
        <f t="shared" si="76"/>
        <v>70.796460176991147</v>
      </c>
      <c r="H997" s="7">
        <f t="shared" si="77"/>
        <v>2.359882005899705</v>
      </c>
      <c r="I997" s="5" t="str">
        <f t="shared" si="78"/>
        <v>ниже среднего</v>
      </c>
      <c r="J997" t="str">
        <f t="shared" si="79"/>
        <v>не нуждается в помощи</v>
      </c>
    </row>
    <row r="998" spans="1:10" x14ac:dyDescent="0.2">
      <c r="A998" s="4">
        <v>2549</v>
      </c>
      <c r="B998" s="1" t="s">
        <v>0</v>
      </c>
      <c r="C998">
        <v>800</v>
      </c>
      <c r="D998">
        <v>1</v>
      </c>
      <c r="E998" t="s">
        <v>11</v>
      </c>
      <c r="F998" s="6">
        <f t="shared" si="75"/>
        <v>800</v>
      </c>
      <c r="G998" s="7">
        <f t="shared" si="76"/>
        <v>70.796460176991147</v>
      </c>
      <c r="H998" s="7">
        <f t="shared" si="77"/>
        <v>2.359882005899705</v>
      </c>
      <c r="I998" s="5" t="str">
        <f t="shared" si="78"/>
        <v>ниже среднего</v>
      </c>
      <c r="J998" t="str">
        <f t="shared" si="79"/>
        <v>не нуждается в помощи</v>
      </c>
    </row>
    <row r="999" spans="1:10" x14ac:dyDescent="0.2">
      <c r="A999" s="4">
        <v>794</v>
      </c>
      <c r="B999" s="1" t="s">
        <v>4</v>
      </c>
      <c r="C999">
        <v>800</v>
      </c>
      <c r="D999">
        <v>1</v>
      </c>
      <c r="E999" t="s">
        <v>10</v>
      </c>
      <c r="F999" s="6">
        <f t="shared" si="75"/>
        <v>800</v>
      </c>
      <c r="G999" s="7">
        <f t="shared" si="76"/>
        <v>70.796460176991147</v>
      </c>
      <c r="H999" s="7">
        <f t="shared" si="77"/>
        <v>2.359882005899705</v>
      </c>
      <c r="I999" s="5" t="str">
        <f t="shared" si="78"/>
        <v>ниже среднего</v>
      </c>
      <c r="J999" t="str">
        <f t="shared" si="79"/>
        <v>не нуждается в помощи</v>
      </c>
    </row>
    <row r="1000" spans="1:10" x14ac:dyDescent="0.2">
      <c r="A1000" s="4">
        <v>1419</v>
      </c>
      <c r="B1000" s="1" t="s">
        <v>4</v>
      </c>
      <c r="C1000">
        <v>800</v>
      </c>
      <c r="D1000">
        <v>1</v>
      </c>
      <c r="E1000" t="s">
        <v>11</v>
      </c>
      <c r="F1000" s="6">
        <f t="shared" si="75"/>
        <v>800</v>
      </c>
      <c r="G1000" s="7">
        <f t="shared" si="76"/>
        <v>70.796460176991147</v>
      </c>
      <c r="H1000" s="7">
        <f t="shared" si="77"/>
        <v>2.359882005899705</v>
      </c>
      <c r="I1000" s="5" t="str">
        <f t="shared" si="78"/>
        <v>ниже среднего</v>
      </c>
      <c r="J1000" t="str">
        <f t="shared" si="79"/>
        <v>не нуждается в помощи</v>
      </c>
    </row>
    <row r="1001" spans="1:10" x14ac:dyDescent="0.2">
      <c r="A1001" s="4">
        <v>1450</v>
      </c>
      <c r="B1001" s="1" t="s">
        <v>4</v>
      </c>
      <c r="C1001">
        <v>800</v>
      </c>
      <c r="D1001">
        <v>1</v>
      </c>
      <c r="E1001" t="s">
        <v>10</v>
      </c>
      <c r="F1001" s="6">
        <f t="shared" si="75"/>
        <v>800</v>
      </c>
      <c r="G1001" s="7">
        <f t="shared" si="76"/>
        <v>70.796460176991147</v>
      </c>
      <c r="H1001" s="7">
        <f t="shared" si="77"/>
        <v>2.359882005899705</v>
      </c>
      <c r="I1001" s="5" t="str">
        <f t="shared" si="78"/>
        <v>ниже среднего</v>
      </c>
      <c r="J1001" t="str">
        <f t="shared" si="79"/>
        <v>не нуждается в помощи</v>
      </c>
    </row>
    <row r="1002" spans="1:10" x14ac:dyDescent="0.2">
      <c r="A1002" s="4">
        <v>1700</v>
      </c>
      <c r="B1002" s="1" t="s">
        <v>5</v>
      </c>
      <c r="C1002">
        <v>800</v>
      </c>
      <c r="D1002">
        <v>1</v>
      </c>
      <c r="E1002" t="s">
        <v>11</v>
      </c>
      <c r="F1002" s="6">
        <f t="shared" si="75"/>
        <v>800</v>
      </c>
      <c r="G1002" s="7">
        <f t="shared" si="76"/>
        <v>70.796460176991147</v>
      </c>
      <c r="H1002" s="7">
        <f t="shared" si="77"/>
        <v>2.359882005899705</v>
      </c>
      <c r="I1002" s="5" t="str">
        <f t="shared" si="78"/>
        <v>ниже среднего</v>
      </c>
      <c r="J1002" t="str">
        <f t="shared" si="79"/>
        <v>не нуждается в помощи</v>
      </c>
    </row>
    <row r="1003" spans="1:10" x14ac:dyDescent="0.2">
      <c r="A1003" s="4">
        <v>1854</v>
      </c>
      <c r="B1003" s="1" t="s">
        <v>3</v>
      </c>
      <c r="C1003">
        <v>800</v>
      </c>
      <c r="D1003">
        <v>1</v>
      </c>
      <c r="E1003" t="s">
        <v>11</v>
      </c>
      <c r="F1003" s="6">
        <f t="shared" si="75"/>
        <v>800</v>
      </c>
      <c r="G1003" s="7">
        <f t="shared" si="76"/>
        <v>70.796460176991147</v>
      </c>
      <c r="H1003" s="7">
        <f t="shared" si="77"/>
        <v>2.359882005899705</v>
      </c>
      <c r="I1003" s="5" t="str">
        <f t="shared" si="78"/>
        <v>ниже среднего</v>
      </c>
      <c r="J1003" t="str">
        <f t="shared" si="79"/>
        <v>не нуждается в помощи</v>
      </c>
    </row>
    <row r="1004" spans="1:10" x14ac:dyDescent="0.2">
      <c r="A1004" s="4">
        <v>2015</v>
      </c>
      <c r="B1004" s="1" t="s">
        <v>3</v>
      </c>
      <c r="C1004">
        <v>800</v>
      </c>
      <c r="D1004">
        <v>1</v>
      </c>
      <c r="E1004" t="s">
        <v>11</v>
      </c>
      <c r="F1004" s="6">
        <f t="shared" si="75"/>
        <v>800</v>
      </c>
      <c r="G1004" s="7">
        <f t="shared" si="76"/>
        <v>70.796460176991147</v>
      </c>
      <c r="H1004" s="7">
        <f t="shared" si="77"/>
        <v>2.359882005899705</v>
      </c>
      <c r="I1004" s="5" t="str">
        <f t="shared" si="78"/>
        <v>ниже среднего</v>
      </c>
      <c r="J1004" t="str">
        <f t="shared" si="79"/>
        <v>не нуждается в помощи</v>
      </c>
    </row>
    <row r="1005" spans="1:10" x14ac:dyDescent="0.2">
      <c r="A1005" s="4">
        <v>5148</v>
      </c>
      <c r="B1005" s="1" t="s">
        <v>4</v>
      </c>
      <c r="C1005">
        <v>800</v>
      </c>
      <c r="D1005">
        <v>1</v>
      </c>
      <c r="E1005" t="s">
        <v>11</v>
      </c>
      <c r="F1005" s="6">
        <f t="shared" si="75"/>
        <v>800</v>
      </c>
      <c r="G1005" s="7">
        <f t="shared" si="76"/>
        <v>70.796460176991147</v>
      </c>
      <c r="H1005" s="7">
        <f t="shared" si="77"/>
        <v>2.359882005899705</v>
      </c>
      <c r="I1005" s="5" t="str">
        <f t="shared" si="78"/>
        <v>ниже среднего</v>
      </c>
      <c r="J1005" t="str">
        <f t="shared" si="79"/>
        <v>не нуждается в помощи</v>
      </c>
    </row>
    <row r="1006" spans="1:10" x14ac:dyDescent="0.2">
      <c r="A1006" s="4">
        <v>5824</v>
      </c>
      <c r="B1006" s="1" t="s">
        <v>2</v>
      </c>
      <c r="C1006">
        <v>800</v>
      </c>
      <c r="D1006">
        <v>1</v>
      </c>
      <c r="E1006" t="s">
        <v>11</v>
      </c>
      <c r="F1006" s="6">
        <f t="shared" si="75"/>
        <v>800</v>
      </c>
      <c r="G1006" s="7">
        <f t="shared" si="76"/>
        <v>70.796460176991147</v>
      </c>
      <c r="H1006" s="7">
        <f t="shared" si="77"/>
        <v>2.359882005899705</v>
      </c>
      <c r="I1006" s="5" t="str">
        <f t="shared" si="78"/>
        <v>ниже среднего</v>
      </c>
      <c r="J1006" t="str">
        <f t="shared" si="79"/>
        <v>не нуждается в помощи</v>
      </c>
    </row>
    <row r="1007" spans="1:10" x14ac:dyDescent="0.2">
      <c r="A1007" s="4">
        <v>6664</v>
      </c>
      <c r="B1007" s="1" t="s">
        <v>3</v>
      </c>
      <c r="C1007">
        <v>800</v>
      </c>
      <c r="D1007">
        <v>1</v>
      </c>
      <c r="E1007" t="s">
        <v>11</v>
      </c>
      <c r="F1007" s="6">
        <f t="shared" si="75"/>
        <v>800</v>
      </c>
      <c r="G1007" s="7">
        <f t="shared" si="76"/>
        <v>70.796460176991147</v>
      </c>
      <c r="H1007" s="7">
        <f t="shared" si="77"/>
        <v>2.359882005899705</v>
      </c>
      <c r="I1007" s="5" t="str">
        <f t="shared" si="78"/>
        <v>ниже среднего</v>
      </c>
      <c r="J1007" t="str">
        <f t="shared" si="79"/>
        <v>не нуждается в помощи</v>
      </c>
    </row>
    <row r="1008" spans="1:10" x14ac:dyDescent="0.2">
      <c r="A1008" s="4">
        <v>6861</v>
      </c>
      <c r="B1008" s="1" t="s">
        <v>3</v>
      </c>
      <c r="C1008">
        <v>800</v>
      </c>
      <c r="D1008">
        <v>1</v>
      </c>
      <c r="E1008" t="s">
        <v>10</v>
      </c>
      <c r="F1008" s="6">
        <f t="shared" si="75"/>
        <v>800</v>
      </c>
      <c r="G1008" s="7">
        <f t="shared" si="76"/>
        <v>70.796460176991147</v>
      </c>
      <c r="H1008" s="7">
        <f t="shared" si="77"/>
        <v>2.359882005899705</v>
      </c>
      <c r="I1008" s="5" t="str">
        <f t="shared" si="78"/>
        <v>ниже среднего</v>
      </c>
      <c r="J1008" t="str">
        <f t="shared" si="79"/>
        <v>не нуждается в помощи</v>
      </c>
    </row>
    <row r="1009" spans="1:10" x14ac:dyDescent="0.2">
      <c r="A1009" s="4">
        <v>3197</v>
      </c>
      <c r="B1009" s="1" t="s">
        <v>1</v>
      </c>
      <c r="C1009">
        <v>820</v>
      </c>
      <c r="D1009">
        <v>1</v>
      </c>
      <c r="E1009" t="s">
        <v>11</v>
      </c>
      <c r="F1009" s="6">
        <f t="shared" si="75"/>
        <v>820</v>
      </c>
      <c r="G1009" s="7">
        <f t="shared" si="76"/>
        <v>72.56637168141593</v>
      </c>
      <c r="H1009" s="7">
        <f t="shared" si="77"/>
        <v>2.4188790560471976</v>
      </c>
      <c r="I1009" s="5" t="str">
        <f t="shared" si="78"/>
        <v>ниже среднего</v>
      </c>
      <c r="J1009" t="str">
        <f t="shared" si="79"/>
        <v>не нуждается в помощи</v>
      </c>
    </row>
    <row r="1010" spans="1:10" x14ac:dyDescent="0.2">
      <c r="A1010" s="4">
        <v>1755</v>
      </c>
      <c r="B1010" s="1" t="s">
        <v>3</v>
      </c>
      <c r="C1010">
        <v>840</v>
      </c>
      <c r="D1010">
        <v>1</v>
      </c>
      <c r="E1010" t="s">
        <v>11</v>
      </c>
      <c r="F1010" s="6">
        <f t="shared" si="75"/>
        <v>840</v>
      </c>
      <c r="G1010" s="7">
        <f t="shared" si="76"/>
        <v>74.336283185840699</v>
      </c>
      <c r="H1010" s="7">
        <f t="shared" si="77"/>
        <v>2.4778761061946901</v>
      </c>
      <c r="I1010" s="5" t="str">
        <f t="shared" si="78"/>
        <v>ниже среднего</v>
      </c>
      <c r="J1010" t="str">
        <f t="shared" si="79"/>
        <v>не нуждается в помощи</v>
      </c>
    </row>
    <row r="1011" spans="1:10" x14ac:dyDescent="0.2">
      <c r="A1011" s="4">
        <v>3181</v>
      </c>
      <c r="B1011" s="1" t="s">
        <v>1</v>
      </c>
      <c r="C1011">
        <v>892</v>
      </c>
      <c r="D1011">
        <v>1</v>
      </c>
      <c r="E1011" t="s">
        <v>11</v>
      </c>
      <c r="F1011" s="6">
        <f t="shared" si="75"/>
        <v>892</v>
      </c>
      <c r="G1011" s="7">
        <f t="shared" si="76"/>
        <v>78.938053097345133</v>
      </c>
      <c r="H1011" s="7">
        <f t="shared" si="77"/>
        <v>2.6312684365781709</v>
      </c>
      <c r="I1011" s="5" t="str">
        <f t="shared" si="78"/>
        <v>средний</v>
      </c>
      <c r="J1011" t="str">
        <f t="shared" si="79"/>
        <v>не нуждается в помощи</v>
      </c>
    </row>
    <row r="1012" spans="1:10" x14ac:dyDescent="0.2">
      <c r="A1012" s="4">
        <v>2230</v>
      </c>
      <c r="B1012" s="1" t="s">
        <v>3</v>
      </c>
      <c r="C1012">
        <v>900</v>
      </c>
      <c r="D1012">
        <v>1</v>
      </c>
      <c r="E1012" t="s">
        <v>11</v>
      </c>
      <c r="F1012" s="6">
        <f t="shared" si="75"/>
        <v>900</v>
      </c>
      <c r="G1012" s="7">
        <f t="shared" si="76"/>
        <v>79.646017699115035</v>
      </c>
      <c r="H1012" s="7">
        <f t="shared" si="77"/>
        <v>2.6548672566371678</v>
      </c>
      <c r="I1012" s="5" t="str">
        <f t="shared" si="78"/>
        <v>средний</v>
      </c>
      <c r="J1012" t="str">
        <f t="shared" si="79"/>
        <v>не нуждается в помощи</v>
      </c>
    </row>
    <row r="1013" spans="1:10" x14ac:dyDescent="0.2">
      <c r="A1013" s="4">
        <v>3112</v>
      </c>
      <c r="B1013" s="1" t="s">
        <v>1</v>
      </c>
      <c r="C1013">
        <v>900</v>
      </c>
      <c r="D1013">
        <v>1</v>
      </c>
      <c r="E1013" t="s">
        <v>10</v>
      </c>
      <c r="F1013" s="6">
        <f t="shared" si="75"/>
        <v>900</v>
      </c>
      <c r="G1013" s="7">
        <f t="shared" si="76"/>
        <v>79.646017699115035</v>
      </c>
      <c r="H1013" s="7">
        <f t="shared" si="77"/>
        <v>2.6548672566371678</v>
      </c>
      <c r="I1013" s="5" t="str">
        <f t="shared" si="78"/>
        <v>средний</v>
      </c>
      <c r="J1013" t="str">
        <f t="shared" si="79"/>
        <v>не нуждается в помощи</v>
      </c>
    </row>
    <row r="1014" spans="1:10" x14ac:dyDescent="0.2">
      <c r="A1014" s="4">
        <v>3179</v>
      </c>
      <c r="B1014" s="1" t="s">
        <v>1</v>
      </c>
      <c r="C1014">
        <v>900</v>
      </c>
      <c r="D1014">
        <v>1</v>
      </c>
      <c r="E1014" t="s">
        <v>11</v>
      </c>
      <c r="F1014" s="6">
        <f t="shared" si="75"/>
        <v>900</v>
      </c>
      <c r="G1014" s="7">
        <f t="shared" si="76"/>
        <v>79.646017699115035</v>
      </c>
      <c r="H1014" s="7">
        <f t="shared" si="77"/>
        <v>2.6548672566371678</v>
      </c>
      <c r="I1014" s="5" t="str">
        <f t="shared" si="78"/>
        <v>средний</v>
      </c>
      <c r="J1014" t="str">
        <f t="shared" si="79"/>
        <v>не нуждается в помощи</v>
      </c>
    </row>
    <row r="1015" spans="1:10" x14ac:dyDescent="0.2">
      <c r="A1015" s="4">
        <v>5103</v>
      </c>
      <c r="B1015" s="1" t="s">
        <v>4</v>
      </c>
      <c r="C1015">
        <v>900</v>
      </c>
      <c r="D1015">
        <v>1</v>
      </c>
      <c r="E1015" t="s">
        <v>10</v>
      </c>
      <c r="F1015" s="6">
        <f t="shared" si="75"/>
        <v>900</v>
      </c>
      <c r="G1015" s="7">
        <f t="shared" si="76"/>
        <v>79.646017699115035</v>
      </c>
      <c r="H1015" s="7">
        <f t="shared" si="77"/>
        <v>2.6548672566371678</v>
      </c>
      <c r="I1015" s="5" t="str">
        <f t="shared" si="78"/>
        <v>средний</v>
      </c>
      <c r="J1015" t="str">
        <f t="shared" si="79"/>
        <v>не нуждается в помощи</v>
      </c>
    </row>
    <row r="1016" spans="1:10" x14ac:dyDescent="0.2">
      <c r="A1016" s="4">
        <v>6804</v>
      </c>
      <c r="B1016" s="1" t="s">
        <v>3</v>
      </c>
      <c r="C1016">
        <v>950</v>
      </c>
      <c r="D1016">
        <v>1</v>
      </c>
      <c r="E1016" t="s">
        <v>10</v>
      </c>
      <c r="F1016" s="6">
        <f t="shared" si="75"/>
        <v>950</v>
      </c>
      <c r="G1016" s="7">
        <f t="shared" si="76"/>
        <v>84.070796460176979</v>
      </c>
      <c r="H1016" s="7">
        <f t="shared" si="77"/>
        <v>2.8023598820058995</v>
      </c>
      <c r="I1016" s="5" t="str">
        <f t="shared" si="78"/>
        <v>средний</v>
      </c>
      <c r="J1016" t="str">
        <f t="shared" si="79"/>
        <v>не нуждается в помощи</v>
      </c>
    </row>
    <row r="1017" spans="1:10" x14ac:dyDescent="0.2">
      <c r="A1017" s="4">
        <v>2893</v>
      </c>
      <c r="B1017" s="1" t="s">
        <v>1</v>
      </c>
      <c r="C1017">
        <v>995</v>
      </c>
      <c r="D1017">
        <v>1</v>
      </c>
      <c r="E1017" t="s">
        <v>11</v>
      </c>
      <c r="F1017" s="6">
        <f t="shared" si="75"/>
        <v>995</v>
      </c>
      <c r="G1017" s="7">
        <f t="shared" si="76"/>
        <v>88.053097345132741</v>
      </c>
      <c r="H1017" s="7">
        <f t="shared" si="77"/>
        <v>2.9351032448377579</v>
      </c>
      <c r="I1017" s="5" t="str">
        <f t="shared" si="78"/>
        <v>средний</v>
      </c>
      <c r="J1017" t="str">
        <f t="shared" si="79"/>
        <v>не нуждается в помощи</v>
      </c>
    </row>
    <row r="1018" spans="1:10" x14ac:dyDescent="0.2">
      <c r="A1018" s="4">
        <v>2428</v>
      </c>
      <c r="B1018" s="1" t="s">
        <v>0</v>
      </c>
      <c r="C1018" s="1">
        <v>1000</v>
      </c>
      <c r="D1018">
        <v>1</v>
      </c>
      <c r="E1018" t="s">
        <v>10</v>
      </c>
      <c r="F1018" s="6">
        <f t="shared" si="75"/>
        <v>1000</v>
      </c>
      <c r="G1018" s="7">
        <f t="shared" si="76"/>
        <v>88.495575221238937</v>
      </c>
      <c r="H1018" s="7">
        <f t="shared" si="77"/>
        <v>2.9498525073746311</v>
      </c>
      <c r="I1018" s="5" t="str">
        <f t="shared" si="78"/>
        <v>средний</v>
      </c>
      <c r="J1018" t="str">
        <f t="shared" si="79"/>
        <v>не нуждается в помощи</v>
      </c>
    </row>
    <row r="1019" spans="1:10" x14ac:dyDescent="0.2">
      <c r="A1019" s="4">
        <v>2643</v>
      </c>
      <c r="B1019" s="1" t="s">
        <v>2</v>
      </c>
      <c r="C1019" s="1">
        <v>1000</v>
      </c>
      <c r="D1019">
        <v>1</v>
      </c>
      <c r="E1019" t="s">
        <v>11</v>
      </c>
      <c r="F1019" s="6">
        <f t="shared" si="75"/>
        <v>1000</v>
      </c>
      <c r="G1019" s="7">
        <f t="shared" si="76"/>
        <v>88.495575221238937</v>
      </c>
      <c r="H1019" s="7">
        <f t="shared" si="77"/>
        <v>2.9498525073746311</v>
      </c>
      <c r="I1019" s="5" t="str">
        <f t="shared" si="78"/>
        <v>средний</v>
      </c>
      <c r="J1019" t="str">
        <f t="shared" si="79"/>
        <v>не нуждается в помощи</v>
      </c>
    </row>
    <row r="1020" spans="1:10" x14ac:dyDescent="0.2">
      <c r="A1020" s="4">
        <v>2246</v>
      </c>
      <c r="B1020" s="1" t="s">
        <v>3</v>
      </c>
      <c r="C1020" s="1">
        <v>1000</v>
      </c>
      <c r="D1020">
        <v>1</v>
      </c>
      <c r="E1020" t="s">
        <v>11</v>
      </c>
      <c r="F1020" s="6">
        <f t="shared" si="75"/>
        <v>1000</v>
      </c>
      <c r="G1020" s="7">
        <f t="shared" si="76"/>
        <v>88.495575221238937</v>
      </c>
      <c r="H1020" s="7">
        <f t="shared" si="77"/>
        <v>2.9498525073746311</v>
      </c>
      <c r="I1020" s="5" t="str">
        <f t="shared" si="78"/>
        <v>средний</v>
      </c>
      <c r="J1020" t="str">
        <f t="shared" si="79"/>
        <v>не нуждается в помощи</v>
      </c>
    </row>
    <row r="1021" spans="1:10" x14ac:dyDescent="0.2">
      <c r="A1021" s="4">
        <v>1874</v>
      </c>
      <c r="B1021" s="1" t="s">
        <v>3</v>
      </c>
      <c r="C1021" s="1">
        <v>1000</v>
      </c>
      <c r="D1021">
        <v>1</v>
      </c>
      <c r="E1021" t="s">
        <v>10</v>
      </c>
      <c r="F1021" s="6">
        <f t="shared" si="75"/>
        <v>1000</v>
      </c>
      <c r="G1021" s="7">
        <f t="shared" si="76"/>
        <v>88.495575221238937</v>
      </c>
      <c r="H1021" s="7">
        <f t="shared" si="77"/>
        <v>2.9498525073746311</v>
      </c>
      <c r="I1021" s="5" t="str">
        <f t="shared" si="78"/>
        <v>средний</v>
      </c>
      <c r="J1021" t="str">
        <f t="shared" si="79"/>
        <v>не нуждается в помощи</v>
      </c>
    </row>
    <row r="1022" spans="1:10" x14ac:dyDescent="0.2">
      <c r="A1022" s="4">
        <v>2342</v>
      </c>
      <c r="B1022" s="1" t="s">
        <v>0</v>
      </c>
      <c r="C1022" s="1">
        <v>1000</v>
      </c>
      <c r="D1022">
        <v>1</v>
      </c>
      <c r="E1022" t="s">
        <v>11</v>
      </c>
      <c r="F1022" s="6">
        <f t="shared" si="75"/>
        <v>1000</v>
      </c>
      <c r="G1022" s="7">
        <f t="shared" si="76"/>
        <v>88.495575221238937</v>
      </c>
      <c r="H1022" s="7">
        <f t="shared" si="77"/>
        <v>2.9498525073746311</v>
      </c>
      <c r="I1022" s="5" t="str">
        <f t="shared" si="78"/>
        <v>средний</v>
      </c>
      <c r="J1022" t="str">
        <f t="shared" si="79"/>
        <v>не нуждается в помощи</v>
      </c>
    </row>
    <row r="1023" spans="1:10" x14ac:dyDescent="0.2">
      <c r="A1023" s="4">
        <v>5013</v>
      </c>
      <c r="B1023" s="1" t="s">
        <v>4</v>
      </c>
      <c r="C1023" s="1">
        <v>1000</v>
      </c>
      <c r="D1023">
        <v>1</v>
      </c>
      <c r="E1023" t="s">
        <v>11</v>
      </c>
      <c r="F1023" s="6">
        <f t="shared" si="75"/>
        <v>1000</v>
      </c>
      <c r="G1023" s="7">
        <f t="shared" si="76"/>
        <v>88.495575221238937</v>
      </c>
      <c r="H1023" s="7">
        <f t="shared" si="77"/>
        <v>2.9498525073746311</v>
      </c>
      <c r="I1023" s="5" t="str">
        <f t="shared" si="78"/>
        <v>средний</v>
      </c>
      <c r="J1023" t="str">
        <f t="shared" si="79"/>
        <v>не нуждается в помощи</v>
      </c>
    </row>
    <row r="1024" spans="1:10" x14ac:dyDescent="0.2">
      <c r="A1024" s="4">
        <v>1746</v>
      </c>
      <c r="B1024" t="s">
        <v>3</v>
      </c>
      <c r="C1024" s="1">
        <v>1000</v>
      </c>
      <c r="D1024">
        <v>1</v>
      </c>
      <c r="E1024" t="s">
        <v>11</v>
      </c>
      <c r="F1024" s="6">
        <f t="shared" si="75"/>
        <v>1000</v>
      </c>
      <c r="G1024" s="7">
        <f t="shared" si="76"/>
        <v>88.495575221238937</v>
      </c>
      <c r="H1024" s="7">
        <f t="shared" si="77"/>
        <v>2.9498525073746311</v>
      </c>
      <c r="I1024" s="5" t="str">
        <f t="shared" si="78"/>
        <v>средний</v>
      </c>
      <c r="J1024" t="str">
        <f t="shared" si="79"/>
        <v>не нуждается в помощи</v>
      </c>
    </row>
    <row r="1025" spans="1:10" x14ac:dyDescent="0.2">
      <c r="A1025" s="4">
        <v>1882</v>
      </c>
      <c r="B1025" t="s">
        <v>3</v>
      </c>
      <c r="C1025" s="1">
        <v>1000</v>
      </c>
      <c r="D1025">
        <v>1</v>
      </c>
      <c r="E1025" t="s">
        <v>10</v>
      </c>
      <c r="F1025" s="6">
        <f t="shared" si="75"/>
        <v>1000</v>
      </c>
      <c r="G1025" s="7">
        <f t="shared" si="76"/>
        <v>88.495575221238937</v>
      </c>
      <c r="H1025" s="7">
        <f t="shared" si="77"/>
        <v>2.9498525073746311</v>
      </c>
      <c r="I1025" s="5" t="str">
        <f t="shared" si="78"/>
        <v>средний</v>
      </c>
      <c r="J1025" t="str">
        <f t="shared" si="79"/>
        <v>не нуждается в помощи</v>
      </c>
    </row>
    <row r="1026" spans="1:10" x14ac:dyDescent="0.2">
      <c r="A1026" s="4">
        <v>1994</v>
      </c>
      <c r="B1026" t="s">
        <v>3</v>
      </c>
      <c r="C1026" s="1">
        <v>1000</v>
      </c>
      <c r="D1026">
        <v>1</v>
      </c>
      <c r="E1026" t="s">
        <v>11</v>
      </c>
      <c r="F1026" s="6">
        <f t="shared" ref="F1026:F1089" si="80">C1026/D1026</f>
        <v>1000</v>
      </c>
      <c r="G1026" s="7">
        <f t="shared" ref="G1026:G1089" si="81">(C1026/D1026)/rate</f>
        <v>88.495575221238937</v>
      </c>
      <c r="H1026" s="7">
        <f t="shared" ref="H1026:H1089" si="82">((C1026/D1026)/30)/rate</f>
        <v>2.9498525073746311</v>
      </c>
      <c r="I1026" s="5" t="str">
        <f t="shared" ref="I1026:I1089" si="83">IF(H1026&lt;0.89, "крайняя бедность", IF(AND(H1026&gt;0.89, H1026&lt;1.33), "бедность", IF(AND(H1026&gt;1.33,H1026&lt;2.5),"ниже среднего", IF(AND(H1026&gt;2.5,H1026&lt;4), "средний", IF(H1026&gt;4,"в достатке",0)))))</f>
        <v>средний</v>
      </c>
      <c r="J1026" t="str">
        <f t="shared" si="79"/>
        <v>не нуждается в помощи</v>
      </c>
    </row>
    <row r="1027" spans="1:10" x14ac:dyDescent="0.2">
      <c r="A1027" s="4">
        <v>2573</v>
      </c>
      <c r="B1027" t="s">
        <v>0</v>
      </c>
      <c r="C1027" s="1">
        <v>1000</v>
      </c>
      <c r="D1027">
        <v>1</v>
      </c>
      <c r="E1027" t="s">
        <v>10</v>
      </c>
      <c r="F1027" s="6">
        <f t="shared" si="80"/>
        <v>1000</v>
      </c>
      <c r="G1027" s="7">
        <f t="shared" si="81"/>
        <v>88.495575221238937</v>
      </c>
      <c r="H1027" s="7">
        <f t="shared" si="82"/>
        <v>2.9498525073746311</v>
      </c>
      <c r="I1027" s="5" t="str">
        <f t="shared" si="83"/>
        <v>средний</v>
      </c>
      <c r="J1027" t="str">
        <f t="shared" ref="J1027:J1090" si="84">IF(AND(I1036="крайняя бедность",E1036="Нет"), "нуждается в помощи", "не нуждается в помощи")</f>
        <v>не нуждается в помощи</v>
      </c>
    </row>
    <row r="1028" spans="1:10" x14ac:dyDescent="0.2">
      <c r="A1028" s="4">
        <v>2707</v>
      </c>
      <c r="B1028" t="s">
        <v>2</v>
      </c>
      <c r="C1028" s="1">
        <v>1000</v>
      </c>
      <c r="D1028">
        <v>1</v>
      </c>
      <c r="E1028" t="s">
        <v>10</v>
      </c>
      <c r="F1028" s="6">
        <f t="shared" si="80"/>
        <v>1000</v>
      </c>
      <c r="G1028" s="7">
        <f t="shared" si="81"/>
        <v>88.495575221238937</v>
      </c>
      <c r="H1028" s="7">
        <f t="shared" si="82"/>
        <v>2.9498525073746311</v>
      </c>
      <c r="I1028" s="5" t="str">
        <f t="shared" si="83"/>
        <v>средний</v>
      </c>
      <c r="J1028" t="str">
        <f t="shared" si="84"/>
        <v>не нуждается в помощи</v>
      </c>
    </row>
    <row r="1029" spans="1:10" x14ac:dyDescent="0.2">
      <c r="A1029" s="4">
        <v>2840</v>
      </c>
      <c r="B1029" t="s">
        <v>2</v>
      </c>
      <c r="C1029" s="1">
        <v>1000</v>
      </c>
      <c r="D1029">
        <v>1</v>
      </c>
      <c r="E1029" t="s">
        <v>10</v>
      </c>
      <c r="F1029" s="6">
        <f t="shared" si="80"/>
        <v>1000</v>
      </c>
      <c r="G1029" s="7">
        <f t="shared" si="81"/>
        <v>88.495575221238937</v>
      </c>
      <c r="H1029" s="7">
        <f t="shared" si="82"/>
        <v>2.9498525073746311</v>
      </c>
      <c r="I1029" s="5" t="str">
        <f t="shared" si="83"/>
        <v>средний</v>
      </c>
      <c r="J1029" t="str">
        <f t="shared" si="84"/>
        <v>не нуждается в помощи</v>
      </c>
    </row>
    <row r="1030" spans="1:10" x14ac:dyDescent="0.2">
      <c r="A1030" s="4">
        <v>2880</v>
      </c>
      <c r="B1030" t="s">
        <v>2</v>
      </c>
      <c r="C1030" s="1">
        <v>1000</v>
      </c>
      <c r="D1030">
        <v>1</v>
      </c>
      <c r="E1030" t="s">
        <v>11</v>
      </c>
      <c r="F1030" s="6">
        <f t="shared" si="80"/>
        <v>1000</v>
      </c>
      <c r="G1030" s="7">
        <f t="shared" si="81"/>
        <v>88.495575221238937</v>
      </c>
      <c r="H1030" s="7">
        <f t="shared" si="82"/>
        <v>2.9498525073746311</v>
      </c>
      <c r="I1030" s="5" t="str">
        <f t="shared" si="83"/>
        <v>средний</v>
      </c>
      <c r="J1030" t="str">
        <f t="shared" si="84"/>
        <v>не нуждается в помощи</v>
      </c>
    </row>
    <row r="1031" spans="1:10" x14ac:dyDescent="0.2">
      <c r="A1031" s="4">
        <v>3168</v>
      </c>
      <c r="B1031" t="s">
        <v>1</v>
      </c>
      <c r="C1031" s="1">
        <v>1000</v>
      </c>
      <c r="D1031">
        <v>1</v>
      </c>
      <c r="E1031" t="s">
        <v>11</v>
      </c>
      <c r="F1031" s="6">
        <f t="shared" si="80"/>
        <v>1000</v>
      </c>
      <c r="G1031" s="7">
        <f t="shared" si="81"/>
        <v>88.495575221238937</v>
      </c>
      <c r="H1031" s="7">
        <f t="shared" si="82"/>
        <v>2.9498525073746311</v>
      </c>
      <c r="I1031" s="5" t="str">
        <f t="shared" si="83"/>
        <v>средний</v>
      </c>
      <c r="J1031" t="str">
        <f t="shared" si="84"/>
        <v>не нуждается в помощи</v>
      </c>
    </row>
    <row r="1032" spans="1:10" x14ac:dyDescent="0.2">
      <c r="A1032" s="4">
        <v>3255</v>
      </c>
      <c r="B1032" t="s">
        <v>1</v>
      </c>
      <c r="C1032" s="1">
        <v>1000</v>
      </c>
      <c r="D1032">
        <v>1</v>
      </c>
      <c r="E1032" t="s">
        <v>10</v>
      </c>
      <c r="F1032" s="6">
        <f t="shared" si="80"/>
        <v>1000</v>
      </c>
      <c r="G1032" s="7">
        <f t="shared" si="81"/>
        <v>88.495575221238937</v>
      </c>
      <c r="H1032" s="7">
        <f t="shared" si="82"/>
        <v>2.9498525073746311</v>
      </c>
      <c r="I1032" s="5" t="str">
        <f t="shared" si="83"/>
        <v>средний</v>
      </c>
      <c r="J1032" t="str">
        <f t="shared" si="84"/>
        <v>не нуждается в помощи</v>
      </c>
    </row>
    <row r="1033" spans="1:10" x14ac:dyDescent="0.2">
      <c r="A1033" s="4">
        <v>3261</v>
      </c>
      <c r="B1033" t="s">
        <v>1</v>
      </c>
      <c r="C1033" s="1">
        <v>1000</v>
      </c>
      <c r="D1033">
        <v>1</v>
      </c>
      <c r="E1033" t="s">
        <v>10</v>
      </c>
      <c r="F1033" s="6">
        <f t="shared" si="80"/>
        <v>1000</v>
      </c>
      <c r="G1033" s="7">
        <f t="shared" si="81"/>
        <v>88.495575221238937</v>
      </c>
      <c r="H1033" s="7">
        <f t="shared" si="82"/>
        <v>2.9498525073746311</v>
      </c>
      <c r="I1033" s="5" t="str">
        <f t="shared" si="83"/>
        <v>средний</v>
      </c>
      <c r="J1033" t="str">
        <f t="shared" si="84"/>
        <v>не нуждается в помощи</v>
      </c>
    </row>
    <row r="1034" spans="1:10" x14ac:dyDescent="0.2">
      <c r="A1034" s="4">
        <v>5101</v>
      </c>
      <c r="B1034" t="s">
        <v>4</v>
      </c>
      <c r="C1034" s="1">
        <v>1000</v>
      </c>
      <c r="D1034">
        <v>1</v>
      </c>
      <c r="E1034" t="s">
        <v>10</v>
      </c>
      <c r="F1034" s="6">
        <f t="shared" si="80"/>
        <v>1000</v>
      </c>
      <c r="G1034" s="7">
        <f t="shared" si="81"/>
        <v>88.495575221238937</v>
      </c>
      <c r="H1034" s="7">
        <f t="shared" si="82"/>
        <v>2.9498525073746311</v>
      </c>
      <c r="I1034" s="5" t="str">
        <f t="shared" si="83"/>
        <v>средний</v>
      </c>
      <c r="J1034" t="str">
        <f t="shared" si="84"/>
        <v>не нуждается в помощи</v>
      </c>
    </row>
    <row r="1035" spans="1:10" x14ac:dyDescent="0.2">
      <c r="A1035" s="4">
        <v>5123</v>
      </c>
      <c r="B1035" t="s">
        <v>4</v>
      </c>
      <c r="C1035" s="1">
        <v>1000</v>
      </c>
      <c r="D1035">
        <v>1</v>
      </c>
      <c r="E1035" t="s">
        <v>11</v>
      </c>
      <c r="F1035" s="6">
        <f t="shared" si="80"/>
        <v>1000</v>
      </c>
      <c r="G1035" s="7">
        <f t="shared" si="81"/>
        <v>88.495575221238937</v>
      </c>
      <c r="H1035" s="7">
        <f t="shared" si="82"/>
        <v>2.9498525073746311</v>
      </c>
      <c r="I1035" s="5" t="str">
        <f t="shared" si="83"/>
        <v>средний</v>
      </c>
      <c r="J1035" t="str">
        <f t="shared" si="84"/>
        <v>не нуждается в помощи</v>
      </c>
    </row>
    <row r="1036" spans="1:10" x14ac:dyDescent="0.2">
      <c r="A1036" s="4">
        <v>5145</v>
      </c>
      <c r="B1036" t="s">
        <v>4</v>
      </c>
      <c r="C1036" s="1">
        <v>1000</v>
      </c>
      <c r="D1036">
        <v>1</v>
      </c>
      <c r="E1036" t="s">
        <v>11</v>
      </c>
      <c r="F1036" s="6">
        <f t="shared" si="80"/>
        <v>1000</v>
      </c>
      <c r="G1036" s="7">
        <f t="shared" si="81"/>
        <v>88.495575221238937</v>
      </c>
      <c r="H1036" s="7">
        <f t="shared" si="82"/>
        <v>2.9498525073746311</v>
      </c>
      <c r="I1036" s="5" t="str">
        <f t="shared" si="83"/>
        <v>средний</v>
      </c>
      <c r="J1036" t="str">
        <f t="shared" si="84"/>
        <v>не нуждается в помощи</v>
      </c>
    </row>
    <row r="1037" spans="1:10" x14ac:dyDescent="0.2">
      <c r="A1037" s="4">
        <v>5942</v>
      </c>
      <c r="B1037" t="s">
        <v>2</v>
      </c>
      <c r="C1037" s="1">
        <v>1000</v>
      </c>
      <c r="D1037">
        <v>1</v>
      </c>
      <c r="E1037" t="s">
        <v>10</v>
      </c>
      <c r="F1037" s="6">
        <f t="shared" si="80"/>
        <v>1000</v>
      </c>
      <c r="G1037" s="7">
        <f t="shared" si="81"/>
        <v>88.495575221238937</v>
      </c>
      <c r="H1037" s="7">
        <f t="shared" si="82"/>
        <v>2.9498525073746311</v>
      </c>
      <c r="I1037" s="5" t="str">
        <f t="shared" si="83"/>
        <v>средний</v>
      </c>
      <c r="J1037" t="str">
        <f t="shared" si="84"/>
        <v>не нуждается в помощи</v>
      </c>
    </row>
    <row r="1038" spans="1:10" x14ac:dyDescent="0.2">
      <c r="A1038" s="4">
        <v>5948</v>
      </c>
      <c r="B1038" t="s">
        <v>2</v>
      </c>
      <c r="C1038" s="1">
        <v>1000</v>
      </c>
      <c r="D1038">
        <v>1</v>
      </c>
      <c r="E1038" t="s">
        <v>11</v>
      </c>
      <c r="F1038" s="6">
        <f t="shared" si="80"/>
        <v>1000</v>
      </c>
      <c r="G1038" s="7">
        <f t="shared" si="81"/>
        <v>88.495575221238937</v>
      </c>
      <c r="H1038" s="7">
        <f t="shared" si="82"/>
        <v>2.9498525073746311</v>
      </c>
      <c r="I1038" s="5" t="str">
        <f t="shared" si="83"/>
        <v>средний</v>
      </c>
      <c r="J1038" t="str">
        <f t="shared" si="84"/>
        <v>не нуждается в помощи</v>
      </c>
    </row>
    <row r="1039" spans="1:10" x14ac:dyDescent="0.2">
      <c r="A1039" s="4">
        <v>6125</v>
      </c>
      <c r="B1039" t="s">
        <v>1</v>
      </c>
      <c r="C1039" s="1">
        <v>1000</v>
      </c>
      <c r="D1039">
        <v>1</v>
      </c>
      <c r="E1039" t="s">
        <v>11</v>
      </c>
      <c r="F1039" s="6">
        <f t="shared" si="80"/>
        <v>1000</v>
      </c>
      <c r="G1039" s="7">
        <f t="shared" si="81"/>
        <v>88.495575221238937</v>
      </c>
      <c r="H1039" s="7">
        <f t="shared" si="82"/>
        <v>2.9498525073746311</v>
      </c>
      <c r="I1039" s="5" t="str">
        <f t="shared" si="83"/>
        <v>средний</v>
      </c>
      <c r="J1039" t="str">
        <f t="shared" si="84"/>
        <v>не нуждается в помощи</v>
      </c>
    </row>
    <row r="1040" spans="1:10" x14ac:dyDescent="0.2">
      <c r="A1040" s="4">
        <v>6288</v>
      </c>
      <c r="B1040" t="s">
        <v>1</v>
      </c>
      <c r="C1040" s="1">
        <v>1000</v>
      </c>
      <c r="D1040">
        <v>1</v>
      </c>
      <c r="E1040" t="s">
        <v>10</v>
      </c>
      <c r="F1040" s="6">
        <f t="shared" si="80"/>
        <v>1000</v>
      </c>
      <c r="G1040" s="7">
        <f t="shared" si="81"/>
        <v>88.495575221238937</v>
      </c>
      <c r="H1040" s="7">
        <f t="shared" si="82"/>
        <v>2.9498525073746311</v>
      </c>
      <c r="I1040" s="5" t="str">
        <f t="shared" si="83"/>
        <v>средний</v>
      </c>
      <c r="J1040" t="str">
        <f t="shared" si="84"/>
        <v>не нуждается в помощи</v>
      </c>
    </row>
    <row r="1041" spans="1:10" x14ac:dyDescent="0.2">
      <c r="A1041" s="4">
        <v>6591</v>
      </c>
      <c r="B1041" t="s">
        <v>3</v>
      </c>
      <c r="C1041" s="1">
        <v>1000</v>
      </c>
      <c r="D1041">
        <v>1</v>
      </c>
      <c r="E1041" t="s">
        <v>11</v>
      </c>
      <c r="F1041" s="6">
        <f t="shared" si="80"/>
        <v>1000</v>
      </c>
      <c r="G1041" s="7">
        <f t="shared" si="81"/>
        <v>88.495575221238937</v>
      </c>
      <c r="H1041" s="7">
        <f t="shared" si="82"/>
        <v>2.9498525073746311</v>
      </c>
      <c r="I1041" s="5" t="str">
        <f t="shared" si="83"/>
        <v>средний</v>
      </c>
      <c r="J1041" t="str">
        <f t="shared" si="84"/>
        <v>не нуждается в помощи</v>
      </c>
    </row>
    <row r="1042" spans="1:10" x14ac:dyDescent="0.2">
      <c r="A1042" s="4">
        <v>2722</v>
      </c>
      <c r="B1042" t="s">
        <v>2</v>
      </c>
      <c r="C1042" s="1">
        <v>1100</v>
      </c>
      <c r="D1042">
        <v>1</v>
      </c>
      <c r="E1042" t="s">
        <v>11</v>
      </c>
      <c r="F1042" s="6">
        <f t="shared" si="80"/>
        <v>1100</v>
      </c>
      <c r="G1042" s="7">
        <f t="shared" si="81"/>
        <v>97.345132743362825</v>
      </c>
      <c r="H1042" s="7">
        <f t="shared" si="82"/>
        <v>3.244837758112094</v>
      </c>
      <c r="I1042" s="5" t="str">
        <f t="shared" si="83"/>
        <v>средний</v>
      </c>
      <c r="J1042" t="str">
        <f t="shared" si="84"/>
        <v>не нуждается в помощи</v>
      </c>
    </row>
    <row r="1043" spans="1:10" x14ac:dyDescent="0.2">
      <c r="A1043" s="4">
        <v>5861</v>
      </c>
      <c r="B1043" t="s">
        <v>2</v>
      </c>
      <c r="C1043" s="1">
        <v>1170</v>
      </c>
      <c r="D1043">
        <v>1</v>
      </c>
      <c r="E1043" t="s">
        <v>10</v>
      </c>
      <c r="F1043" s="6">
        <f t="shared" si="80"/>
        <v>1170</v>
      </c>
      <c r="G1043" s="7">
        <f t="shared" si="81"/>
        <v>103.53982300884955</v>
      </c>
      <c r="H1043" s="7">
        <f t="shared" si="82"/>
        <v>3.4513274336283182</v>
      </c>
      <c r="I1043" s="5" t="str">
        <f t="shared" si="83"/>
        <v>средний</v>
      </c>
      <c r="J1043" t="str">
        <f t="shared" si="84"/>
        <v>не нуждается в помощи</v>
      </c>
    </row>
    <row r="1044" spans="1:10" x14ac:dyDescent="0.2">
      <c r="A1044" s="4">
        <v>3267</v>
      </c>
      <c r="B1044" t="s">
        <v>1</v>
      </c>
      <c r="C1044" s="1">
        <v>1180</v>
      </c>
      <c r="D1044">
        <v>1</v>
      </c>
      <c r="E1044" t="s">
        <v>10</v>
      </c>
      <c r="F1044" s="6">
        <f t="shared" si="80"/>
        <v>1180</v>
      </c>
      <c r="G1044" s="7">
        <f t="shared" si="81"/>
        <v>104.42477876106194</v>
      </c>
      <c r="H1044" s="7">
        <f t="shared" si="82"/>
        <v>3.4808259587020647</v>
      </c>
      <c r="I1044" s="5" t="str">
        <f t="shared" si="83"/>
        <v>средний</v>
      </c>
      <c r="J1044" t="str">
        <f t="shared" si="84"/>
        <v>не нуждается в помощи</v>
      </c>
    </row>
    <row r="1045" spans="1:10" x14ac:dyDescent="0.2">
      <c r="A1045" s="4">
        <v>6622</v>
      </c>
      <c r="B1045" t="s">
        <v>3</v>
      </c>
      <c r="C1045" s="1">
        <v>1200</v>
      </c>
      <c r="D1045">
        <v>1</v>
      </c>
      <c r="E1045" t="s">
        <v>11</v>
      </c>
      <c r="F1045" s="6">
        <f t="shared" si="80"/>
        <v>1200</v>
      </c>
      <c r="G1045" s="7">
        <f t="shared" si="81"/>
        <v>106.19469026548671</v>
      </c>
      <c r="H1045" s="7">
        <f t="shared" si="82"/>
        <v>3.5398230088495573</v>
      </c>
      <c r="I1045" s="5" t="str">
        <f t="shared" si="83"/>
        <v>средний</v>
      </c>
      <c r="J1045" t="str">
        <f t="shared" si="84"/>
        <v>не нуждается в помощи</v>
      </c>
    </row>
    <row r="1046" spans="1:10" x14ac:dyDescent="0.2">
      <c r="A1046" s="4">
        <v>1750</v>
      </c>
      <c r="B1046" t="s">
        <v>3</v>
      </c>
      <c r="C1046" s="1">
        <v>1200</v>
      </c>
      <c r="D1046">
        <v>1</v>
      </c>
      <c r="E1046" t="s">
        <v>11</v>
      </c>
      <c r="F1046" s="6">
        <f t="shared" si="80"/>
        <v>1200</v>
      </c>
      <c r="G1046" s="7">
        <f t="shared" si="81"/>
        <v>106.19469026548671</v>
      </c>
      <c r="H1046" s="7">
        <f t="shared" si="82"/>
        <v>3.5398230088495573</v>
      </c>
      <c r="I1046" s="5" t="str">
        <f t="shared" si="83"/>
        <v>средний</v>
      </c>
      <c r="J1046" t="str">
        <f t="shared" si="84"/>
        <v>не нуждается в помощи</v>
      </c>
    </row>
    <row r="1047" spans="1:10" x14ac:dyDescent="0.2">
      <c r="A1047" s="4">
        <v>812</v>
      </c>
      <c r="B1047" t="s">
        <v>4</v>
      </c>
      <c r="C1047" s="1">
        <v>1200</v>
      </c>
      <c r="D1047">
        <v>1</v>
      </c>
      <c r="E1047" t="s">
        <v>11</v>
      </c>
      <c r="F1047" s="6">
        <f t="shared" si="80"/>
        <v>1200</v>
      </c>
      <c r="G1047" s="7">
        <f t="shared" si="81"/>
        <v>106.19469026548671</v>
      </c>
      <c r="H1047" s="7">
        <f t="shared" si="82"/>
        <v>3.5398230088495573</v>
      </c>
      <c r="I1047" s="5" t="str">
        <f t="shared" si="83"/>
        <v>средний</v>
      </c>
      <c r="J1047" t="str">
        <f t="shared" si="84"/>
        <v>не нуждается в помощи</v>
      </c>
    </row>
    <row r="1048" spans="1:10" x14ac:dyDescent="0.2">
      <c r="A1048" s="4">
        <v>923</v>
      </c>
      <c r="B1048" t="s">
        <v>4</v>
      </c>
      <c r="C1048" s="1">
        <v>1200</v>
      </c>
      <c r="D1048">
        <v>1</v>
      </c>
      <c r="E1048" t="s">
        <v>11</v>
      </c>
      <c r="F1048" s="6">
        <f t="shared" si="80"/>
        <v>1200</v>
      </c>
      <c r="G1048" s="7">
        <f t="shared" si="81"/>
        <v>106.19469026548671</v>
      </c>
      <c r="H1048" s="7">
        <f t="shared" si="82"/>
        <v>3.5398230088495573</v>
      </c>
      <c r="I1048" s="5" t="str">
        <f t="shared" si="83"/>
        <v>средний</v>
      </c>
      <c r="J1048" t="str">
        <f t="shared" si="84"/>
        <v>не нуждается в помощи</v>
      </c>
    </row>
    <row r="1049" spans="1:10" x14ac:dyDescent="0.2">
      <c r="A1049" s="4">
        <v>2296</v>
      </c>
      <c r="B1049" t="s">
        <v>3</v>
      </c>
      <c r="C1049" s="1">
        <v>1200</v>
      </c>
      <c r="D1049">
        <v>1</v>
      </c>
      <c r="E1049" t="s">
        <v>11</v>
      </c>
      <c r="F1049" s="6">
        <f t="shared" si="80"/>
        <v>1200</v>
      </c>
      <c r="G1049" s="7">
        <f t="shared" si="81"/>
        <v>106.19469026548671</v>
      </c>
      <c r="H1049" s="7">
        <f t="shared" si="82"/>
        <v>3.5398230088495573</v>
      </c>
      <c r="I1049" s="5" t="str">
        <f t="shared" si="83"/>
        <v>средний</v>
      </c>
      <c r="J1049" t="str">
        <f t="shared" si="84"/>
        <v>не нуждается в помощи</v>
      </c>
    </row>
    <row r="1050" spans="1:10" x14ac:dyDescent="0.2">
      <c r="A1050" s="4">
        <v>3178</v>
      </c>
      <c r="B1050" t="s">
        <v>1</v>
      </c>
      <c r="C1050" s="1">
        <v>1200</v>
      </c>
      <c r="D1050">
        <v>1</v>
      </c>
      <c r="E1050" t="s">
        <v>10</v>
      </c>
      <c r="F1050" s="6">
        <f t="shared" si="80"/>
        <v>1200</v>
      </c>
      <c r="G1050" s="7">
        <f t="shared" si="81"/>
        <v>106.19469026548671</v>
      </c>
      <c r="H1050" s="7">
        <f t="shared" si="82"/>
        <v>3.5398230088495573</v>
      </c>
      <c r="I1050" s="5" t="str">
        <f t="shared" si="83"/>
        <v>средний</v>
      </c>
      <c r="J1050" t="str">
        <f t="shared" si="84"/>
        <v>не нуждается в помощи</v>
      </c>
    </row>
    <row r="1051" spans="1:10" x14ac:dyDescent="0.2">
      <c r="A1051" s="4">
        <v>3027</v>
      </c>
      <c r="B1051" t="s">
        <v>1</v>
      </c>
      <c r="C1051" s="1">
        <v>1300</v>
      </c>
      <c r="D1051">
        <v>1</v>
      </c>
      <c r="E1051" t="s">
        <v>11</v>
      </c>
      <c r="F1051" s="6">
        <f t="shared" si="80"/>
        <v>1300</v>
      </c>
      <c r="G1051" s="7">
        <f t="shared" si="81"/>
        <v>115.04424778761062</v>
      </c>
      <c r="H1051" s="7">
        <f t="shared" si="82"/>
        <v>3.8348082595870205</v>
      </c>
      <c r="I1051" s="5" t="str">
        <f t="shared" si="83"/>
        <v>средний</v>
      </c>
      <c r="J1051" t="str">
        <f t="shared" si="84"/>
        <v>не нуждается в помощи</v>
      </c>
    </row>
    <row r="1052" spans="1:10" x14ac:dyDescent="0.2">
      <c r="A1052" s="4">
        <v>1997</v>
      </c>
      <c r="B1052" t="s">
        <v>3</v>
      </c>
      <c r="C1052" s="1">
        <v>1400</v>
      </c>
      <c r="D1052">
        <v>1</v>
      </c>
      <c r="E1052" t="s">
        <v>11</v>
      </c>
      <c r="F1052" s="6">
        <f t="shared" si="80"/>
        <v>1400</v>
      </c>
      <c r="G1052" s="7">
        <f t="shared" si="81"/>
        <v>123.8938053097345</v>
      </c>
      <c r="H1052" s="7">
        <f t="shared" si="82"/>
        <v>4.1297935103244834</v>
      </c>
      <c r="I1052" s="5" t="str">
        <f t="shared" si="83"/>
        <v>в достатке</v>
      </c>
      <c r="J1052" t="str">
        <f t="shared" si="84"/>
        <v>не нуждается в помощи</v>
      </c>
    </row>
    <row r="1053" spans="1:10" x14ac:dyDescent="0.2">
      <c r="A1053" s="4">
        <v>2112</v>
      </c>
      <c r="B1053" t="s">
        <v>3</v>
      </c>
      <c r="C1053" s="1">
        <v>1400</v>
      </c>
      <c r="D1053">
        <v>1</v>
      </c>
      <c r="E1053" t="s">
        <v>10</v>
      </c>
      <c r="F1053" s="6">
        <f t="shared" si="80"/>
        <v>1400</v>
      </c>
      <c r="G1053" s="7">
        <f t="shared" si="81"/>
        <v>123.8938053097345</v>
      </c>
      <c r="H1053" s="7">
        <f t="shared" si="82"/>
        <v>4.1297935103244834</v>
      </c>
      <c r="I1053" s="5" t="str">
        <f t="shared" si="83"/>
        <v>в достатке</v>
      </c>
      <c r="J1053" t="str">
        <f t="shared" si="84"/>
        <v>не нуждается в помощи</v>
      </c>
    </row>
    <row r="1054" spans="1:10" x14ac:dyDescent="0.2">
      <c r="A1054" s="4">
        <v>2841</v>
      </c>
      <c r="B1054" t="s">
        <v>2</v>
      </c>
      <c r="C1054" s="1">
        <v>1400</v>
      </c>
      <c r="D1054">
        <v>1</v>
      </c>
      <c r="E1054" t="s">
        <v>11</v>
      </c>
      <c r="F1054" s="6">
        <f t="shared" si="80"/>
        <v>1400</v>
      </c>
      <c r="G1054" s="7">
        <f t="shared" si="81"/>
        <v>123.8938053097345</v>
      </c>
      <c r="H1054" s="7">
        <f t="shared" si="82"/>
        <v>4.1297935103244834</v>
      </c>
      <c r="I1054" s="5" t="str">
        <f t="shared" si="83"/>
        <v>в достатке</v>
      </c>
      <c r="J1054" t="str">
        <f t="shared" si="84"/>
        <v>не нуждается в помощи</v>
      </c>
    </row>
    <row r="1055" spans="1:10" x14ac:dyDescent="0.2">
      <c r="A1055" s="4">
        <v>2867</v>
      </c>
      <c r="B1055" t="s">
        <v>2</v>
      </c>
      <c r="C1055" s="1">
        <v>1400</v>
      </c>
      <c r="D1055">
        <v>1</v>
      </c>
      <c r="E1055" t="s">
        <v>10</v>
      </c>
      <c r="F1055" s="6">
        <f t="shared" si="80"/>
        <v>1400</v>
      </c>
      <c r="G1055" s="7">
        <f t="shared" si="81"/>
        <v>123.8938053097345</v>
      </c>
      <c r="H1055" s="7">
        <f t="shared" si="82"/>
        <v>4.1297935103244834</v>
      </c>
      <c r="I1055" s="5" t="str">
        <f t="shared" si="83"/>
        <v>в достатке</v>
      </c>
      <c r="J1055" t="str">
        <f t="shared" si="84"/>
        <v>не нуждается в помощи</v>
      </c>
    </row>
    <row r="1056" spans="1:10" x14ac:dyDescent="0.2">
      <c r="A1056" s="4">
        <v>5152</v>
      </c>
      <c r="B1056" t="s">
        <v>4</v>
      </c>
      <c r="C1056" s="1">
        <v>1400</v>
      </c>
      <c r="D1056">
        <v>1</v>
      </c>
      <c r="E1056" t="s">
        <v>11</v>
      </c>
      <c r="F1056" s="6">
        <f t="shared" si="80"/>
        <v>1400</v>
      </c>
      <c r="G1056" s="7">
        <f t="shared" si="81"/>
        <v>123.8938053097345</v>
      </c>
      <c r="H1056" s="7">
        <f t="shared" si="82"/>
        <v>4.1297935103244834</v>
      </c>
      <c r="I1056" s="5" t="str">
        <f t="shared" si="83"/>
        <v>в достатке</v>
      </c>
      <c r="J1056" t="str">
        <f t="shared" si="84"/>
        <v>не нуждается в помощи</v>
      </c>
    </row>
    <row r="1057" spans="1:10" x14ac:dyDescent="0.2">
      <c r="A1057" s="4">
        <v>1729</v>
      </c>
      <c r="B1057" t="s">
        <v>3</v>
      </c>
      <c r="C1057" s="1">
        <v>1500</v>
      </c>
      <c r="D1057">
        <v>1</v>
      </c>
      <c r="E1057" t="s">
        <v>11</v>
      </c>
      <c r="F1057" s="6">
        <f t="shared" si="80"/>
        <v>1500</v>
      </c>
      <c r="G1057" s="7">
        <f t="shared" si="81"/>
        <v>132.74336283185841</v>
      </c>
      <c r="H1057" s="7">
        <f t="shared" si="82"/>
        <v>4.4247787610619467</v>
      </c>
      <c r="I1057" s="5" t="str">
        <f t="shared" si="83"/>
        <v>в достатке</v>
      </c>
      <c r="J1057" t="str">
        <f t="shared" si="84"/>
        <v>не нуждается в помощи</v>
      </c>
    </row>
    <row r="1058" spans="1:10" x14ac:dyDescent="0.2">
      <c r="A1058" s="4">
        <v>1743</v>
      </c>
      <c r="B1058" t="s">
        <v>3</v>
      </c>
      <c r="C1058" s="1">
        <v>1500</v>
      </c>
      <c r="D1058">
        <v>1</v>
      </c>
      <c r="E1058" t="s">
        <v>10</v>
      </c>
      <c r="F1058" s="6">
        <f t="shared" si="80"/>
        <v>1500</v>
      </c>
      <c r="G1058" s="7">
        <f t="shared" si="81"/>
        <v>132.74336283185841</v>
      </c>
      <c r="H1058" s="7">
        <f t="shared" si="82"/>
        <v>4.4247787610619467</v>
      </c>
      <c r="I1058" s="5" t="str">
        <f t="shared" si="83"/>
        <v>в достатке</v>
      </c>
      <c r="J1058" t="str">
        <f t="shared" si="84"/>
        <v>не нуждается в помощи</v>
      </c>
    </row>
    <row r="1059" spans="1:10" x14ac:dyDescent="0.2">
      <c r="A1059" s="4">
        <v>3113</v>
      </c>
      <c r="B1059" t="s">
        <v>1</v>
      </c>
      <c r="C1059" s="1">
        <v>1500</v>
      </c>
      <c r="D1059">
        <v>1</v>
      </c>
      <c r="E1059" t="s">
        <v>11</v>
      </c>
      <c r="F1059" s="6">
        <f t="shared" si="80"/>
        <v>1500</v>
      </c>
      <c r="G1059" s="7">
        <f t="shared" si="81"/>
        <v>132.74336283185841</v>
      </c>
      <c r="H1059" s="7">
        <f t="shared" si="82"/>
        <v>4.4247787610619467</v>
      </c>
      <c r="I1059" s="5" t="str">
        <f t="shared" si="83"/>
        <v>в достатке</v>
      </c>
      <c r="J1059" t="str">
        <f t="shared" si="84"/>
        <v>не нуждается в помощи</v>
      </c>
    </row>
    <row r="1060" spans="1:10" x14ac:dyDescent="0.2">
      <c r="A1060" s="4">
        <v>2432</v>
      </c>
      <c r="B1060" t="s">
        <v>0</v>
      </c>
      <c r="C1060" s="1">
        <v>1500</v>
      </c>
      <c r="D1060">
        <v>1</v>
      </c>
      <c r="E1060" t="s">
        <v>10</v>
      </c>
      <c r="F1060" s="6">
        <f t="shared" si="80"/>
        <v>1500</v>
      </c>
      <c r="G1060" s="7">
        <f t="shared" si="81"/>
        <v>132.74336283185841</v>
      </c>
      <c r="H1060" s="7">
        <f t="shared" si="82"/>
        <v>4.4247787610619467</v>
      </c>
      <c r="I1060" s="5" t="str">
        <f t="shared" si="83"/>
        <v>в достатке</v>
      </c>
      <c r="J1060" t="str">
        <f t="shared" si="84"/>
        <v>не нуждается в помощи</v>
      </c>
    </row>
    <row r="1061" spans="1:10" x14ac:dyDescent="0.2">
      <c r="A1061" s="4">
        <v>6441</v>
      </c>
      <c r="B1061" t="s">
        <v>3</v>
      </c>
      <c r="C1061" s="1">
        <v>1500</v>
      </c>
      <c r="D1061">
        <v>1</v>
      </c>
      <c r="E1061" t="s">
        <v>10</v>
      </c>
      <c r="F1061" s="6">
        <f t="shared" si="80"/>
        <v>1500</v>
      </c>
      <c r="G1061" s="7">
        <f t="shared" si="81"/>
        <v>132.74336283185841</v>
      </c>
      <c r="H1061" s="7">
        <f t="shared" si="82"/>
        <v>4.4247787610619467</v>
      </c>
      <c r="I1061" s="5" t="str">
        <f t="shared" si="83"/>
        <v>в достатке</v>
      </c>
      <c r="J1061" t="str">
        <f t="shared" si="84"/>
        <v>не нуждается в помощи</v>
      </c>
    </row>
    <row r="1062" spans="1:10" x14ac:dyDescent="0.2">
      <c r="A1062" s="4">
        <v>1964</v>
      </c>
      <c r="B1062" t="s">
        <v>3</v>
      </c>
      <c r="C1062" s="1">
        <v>1500</v>
      </c>
      <c r="D1062">
        <v>1</v>
      </c>
      <c r="E1062" t="s">
        <v>10</v>
      </c>
      <c r="F1062" s="6">
        <f t="shared" si="80"/>
        <v>1500</v>
      </c>
      <c r="G1062" s="7">
        <f t="shared" si="81"/>
        <v>132.74336283185841</v>
      </c>
      <c r="H1062" s="7">
        <f t="shared" si="82"/>
        <v>4.4247787610619467</v>
      </c>
      <c r="I1062" s="5" t="str">
        <f t="shared" si="83"/>
        <v>в достатке</v>
      </c>
      <c r="J1062" t="str">
        <f t="shared" si="84"/>
        <v>не нуждается в помощи</v>
      </c>
    </row>
    <row r="1063" spans="1:10" x14ac:dyDescent="0.2">
      <c r="A1063" s="4">
        <v>2116</v>
      </c>
      <c r="B1063" t="s">
        <v>3</v>
      </c>
      <c r="C1063" s="1">
        <v>1500</v>
      </c>
      <c r="D1063">
        <v>1</v>
      </c>
      <c r="E1063" t="s">
        <v>10</v>
      </c>
      <c r="F1063" s="6">
        <f t="shared" si="80"/>
        <v>1500</v>
      </c>
      <c r="G1063" s="7">
        <f t="shared" si="81"/>
        <v>132.74336283185841</v>
      </c>
      <c r="H1063" s="7">
        <f t="shared" si="82"/>
        <v>4.4247787610619467</v>
      </c>
      <c r="I1063" s="5" t="str">
        <f t="shared" si="83"/>
        <v>в достатке</v>
      </c>
      <c r="J1063" t="str">
        <f t="shared" si="84"/>
        <v>не нуждается в помощи</v>
      </c>
    </row>
    <row r="1064" spans="1:10" x14ac:dyDescent="0.2">
      <c r="A1064" s="4">
        <v>2289</v>
      </c>
      <c r="B1064" t="s">
        <v>3</v>
      </c>
      <c r="C1064" s="1">
        <v>1500</v>
      </c>
      <c r="D1064">
        <v>1</v>
      </c>
      <c r="E1064" t="s">
        <v>11</v>
      </c>
      <c r="F1064" s="6">
        <f t="shared" si="80"/>
        <v>1500</v>
      </c>
      <c r="G1064" s="7">
        <f t="shared" si="81"/>
        <v>132.74336283185841</v>
      </c>
      <c r="H1064" s="7">
        <f t="shared" si="82"/>
        <v>4.4247787610619467</v>
      </c>
      <c r="I1064" s="5" t="str">
        <f t="shared" si="83"/>
        <v>в достатке</v>
      </c>
      <c r="J1064" t="str">
        <f t="shared" si="84"/>
        <v>не нуждается в помощи</v>
      </c>
    </row>
    <row r="1065" spans="1:10" x14ac:dyDescent="0.2">
      <c r="A1065" s="4">
        <v>2297</v>
      </c>
      <c r="B1065" t="s">
        <v>3</v>
      </c>
      <c r="C1065" s="1">
        <v>1500</v>
      </c>
      <c r="D1065">
        <v>1</v>
      </c>
      <c r="E1065" t="s">
        <v>11</v>
      </c>
      <c r="F1065" s="6">
        <f t="shared" si="80"/>
        <v>1500</v>
      </c>
      <c r="G1065" s="7">
        <f t="shared" si="81"/>
        <v>132.74336283185841</v>
      </c>
      <c r="H1065" s="7">
        <f t="shared" si="82"/>
        <v>4.4247787610619467</v>
      </c>
      <c r="I1065" s="5" t="str">
        <f t="shared" si="83"/>
        <v>в достатке</v>
      </c>
      <c r="J1065" t="str">
        <f t="shared" si="84"/>
        <v>не нуждается в помощи</v>
      </c>
    </row>
    <row r="1066" spans="1:10" x14ac:dyDescent="0.2">
      <c r="A1066" s="4">
        <v>2346</v>
      </c>
      <c r="B1066" t="s">
        <v>0</v>
      </c>
      <c r="C1066" s="1">
        <v>1500</v>
      </c>
      <c r="D1066">
        <v>1</v>
      </c>
      <c r="E1066" t="s">
        <v>11</v>
      </c>
      <c r="F1066" s="6">
        <f t="shared" si="80"/>
        <v>1500</v>
      </c>
      <c r="G1066" s="7">
        <f t="shared" si="81"/>
        <v>132.74336283185841</v>
      </c>
      <c r="H1066" s="7">
        <f t="shared" si="82"/>
        <v>4.4247787610619467</v>
      </c>
      <c r="I1066" s="5" t="str">
        <f t="shared" si="83"/>
        <v>в достатке</v>
      </c>
      <c r="J1066" t="str">
        <f t="shared" si="84"/>
        <v>не нуждается в помощи</v>
      </c>
    </row>
    <row r="1067" spans="1:10" x14ac:dyDescent="0.2">
      <c r="A1067" s="4">
        <v>2418</v>
      </c>
      <c r="B1067" t="s">
        <v>0</v>
      </c>
      <c r="C1067" s="1">
        <v>1500</v>
      </c>
      <c r="D1067">
        <v>1</v>
      </c>
      <c r="E1067" t="s">
        <v>11</v>
      </c>
      <c r="F1067" s="6">
        <f t="shared" si="80"/>
        <v>1500</v>
      </c>
      <c r="G1067" s="7">
        <f t="shared" si="81"/>
        <v>132.74336283185841</v>
      </c>
      <c r="H1067" s="7">
        <f t="shared" si="82"/>
        <v>4.4247787610619467</v>
      </c>
      <c r="I1067" s="5" t="str">
        <f t="shared" si="83"/>
        <v>в достатке</v>
      </c>
      <c r="J1067" t="str">
        <f t="shared" si="84"/>
        <v>не нуждается в помощи</v>
      </c>
    </row>
    <row r="1068" spans="1:10" x14ac:dyDescent="0.2">
      <c r="A1068" s="4">
        <v>2439</v>
      </c>
      <c r="B1068" t="s">
        <v>0</v>
      </c>
      <c r="C1068" s="1">
        <v>1500</v>
      </c>
      <c r="D1068">
        <v>1</v>
      </c>
      <c r="E1068" t="s">
        <v>10</v>
      </c>
      <c r="F1068" s="6">
        <f t="shared" si="80"/>
        <v>1500</v>
      </c>
      <c r="G1068" s="7">
        <f t="shared" si="81"/>
        <v>132.74336283185841</v>
      </c>
      <c r="H1068" s="7">
        <f t="shared" si="82"/>
        <v>4.4247787610619467</v>
      </c>
      <c r="I1068" s="5" t="str">
        <f t="shared" si="83"/>
        <v>в достатке</v>
      </c>
      <c r="J1068" t="str">
        <f t="shared" si="84"/>
        <v>не нуждается в помощи</v>
      </c>
    </row>
    <row r="1069" spans="1:10" x14ac:dyDescent="0.2">
      <c r="A1069" s="4">
        <v>2685</v>
      </c>
      <c r="B1069" t="s">
        <v>2</v>
      </c>
      <c r="C1069" s="1">
        <v>1500</v>
      </c>
      <c r="D1069">
        <v>1</v>
      </c>
      <c r="E1069" t="s">
        <v>11</v>
      </c>
      <c r="F1069" s="6">
        <f t="shared" si="80"/>
        <v>1500</v>
      </c>
      <c r="G1069" s="7">
        <f t="shared" si="81"/>
        <v>132.74336283185841</v>
      </c>
      <c r="H1069" s="7">
        <f t="shared" si="82"/>
        <v>4.4247787610619467</v>
      </c>
      <c r="I1069" s="5" t="str">
        <f t="shared" si="83"/>
        <v>в достатке</v>
      </c>
      <c r="J1069" t="str">
        <f t="shared" si="84"/>
        <v>не нуждается в помощи</v>
      </c>
    </row>
    <row r="1070" spans="1:10" x14ac:dyDescent="0.2">
      <c r="A1070" s="4">
        <v>3106</v>
      </c>
      <c r="B1070" t="s">
        <v>1</v>
      </c>
      <c r="C1070" s="1">
        <v>1500</v>
      </c>
      <c r="D1070">
        <v>1</v>
      </c>
      <c r="E1070" t="s">
        <v>11</v>
      </c>
      <c r="F1070" s="6">
        <f t="shared" si="80"/>
        <v>1500</v>
      </c>
      <c r="G1070" s="7">
        <f t="shared" si="81"/>
        <v>132.74336283185841</v>
      </c>
      <c r="H1070" s="7">
        <f t="shared" si="82"/>
        <v>4.4247787610619467</v>
      </c>
      <c r="I1070" s="5" t="str">
        <f t="shared" si="83"/>
        <v>в достатке</v>
      </c>
      <c r="J1070" t="str">
        <f t="shared" si="84"/>
        <v>не нуждается в помощи</v>
      </c>
    </row>
    <row r="1071" spans="1:10" x14ac:dyDescent="0.2">
      <c r="A1071" s="4">
        <v>3165</v>
      </c>
      <c r="B1071" t="s">
        <v>1</v>
      </c>
      <c r="C1071" s="1">
        <v>1500</v>
      </c>
      <c r="D1071">
        <v>1</v>
      </c>
      <c r="E1071" t="s">
        <v>10</v>
      </c>
      <c r="F1071" s="6">
        <f t="shared" si="80"/>
        <v>1500</v>
      </c>
      <c r="G1071" s="7">
        <f t="shared" si="81"/>
        <v>132.74336283185841</v>
      </c>
      <c r="H1071" s="7">
        <f t="shared" si="82"/>
        <v>4.4247787610619467</v>
      </c>
      <c r="I1071" s="5" t="str">
        <f t="shared" si="83"/>
        <v>в достатке</v>
      </c>
      <c r="J1071" t="str">
        <f t="shared" si="84"/>
        <v>не нуждается в помощи</v>
      </c>
    </row>
    <row r="1072" spans="1:10" x14ac:dyDescent="0.2">
      <c r="A1072" s="4">
        <v>3176</v>
      </c>
      <c r="B1072" t="s">
        <v>1</v>
      </c>
      <c r="C1072" s="1">
        <v>1500</v>
      </c>
      <c r="D1072">
        <v>1</v>
      </c>
      <c r="E1072" t="s">
        <v>10</v>
      </c>
      <c r="F1072" s="6">
        <f t="shared" si="80"/>
        <v>1500</v>
      </c>
      <c r="G1072" s="7">
        <f t="shared" si="81"/>
        <v>132.74336283185841</v>
      </c>
      <c r="H1072" s="7">
        <f t="shared" si="82"/>
        <v>4.4247787610619467</v>
      </c>
      <c r="I1072" s="5" t="str">
        <f t="shared" si="83"/>
        <v>в достатке</v>
      </c>
      <c r="J1072" t="str">
        <f t="shared" si="84"/>
        <v>не нуждается в помощи</v>
      </c>
    </row>
    <row r="1073" spans="1:10" x14ac:dyDescent="0.2">
      <c r="A1073" s="4">
        <v>5153</v>
      </c>
      <c r="B1073" t="s">
        <v>4</v>
      </c>
      <c r="C1073" s="1">
        <v>1500</v>
      </c>
      <c r="D1073">
        <v>1</v>
      </c>
      <c r="E1073" t="s">
        <v>11</v>
      </c>
      <c r="F1073" s="6">
        <f t="shared" si="80"/>
        <v>1500</v>
      </c>
      <c r="G1073" s="7">
        <f t="shared" si="81"/>
        <v>132.74336283185841</v>
      </c>
      <c r="H1073" s="7">
        <f t="shared" si="82"/>
        <v>4.4247787610619467</v>
      </c>
      <c r="I1073" s="5" t="str">
        <f t="shared" si="83"/>
        <v>в достатке</v>
      </c>
      <c r="J1073" t="str">
        <f t="shared" si="84"/>
        <v>не нуждается в помощи</v>
      </c>
    </row>
    <row r="1074" spans="1:10" x14ac:dyDescent="0.2">
      <c r="A1074" s="4">
        <v>5943</v>
      </c>
      <c r="B1074" t="s">
        <v>2</v>
      </c>
      <c r="C1074" s="1">
        <v>1500</v>
      </c>
      <c r="D1074">
        <v>1</v>
      </c>
      <c r="E1074" t="s">
        <v>10</v>
      </c>
      <c r="F1074" s="6">
        <f t="shared" si="80"/>
        <v>1500</v>
      </c>
      <c r="G1074" s="7">
        <f t="shared" si="81"/>
        <v>132.74336283185841</v>
      </c>
      <c r="H1074" s="7">
        <f t="shared" si="82"/>
        <v>4.4247787610619467</v>
      </c>
      <c r="I1074" s="5" t="str">
        <f t="shared" si="83"/>
        <v>в достатке</v>
      </c>
      <c r="J1074" t="str">
        <f t="shared" si="84"/>
        <v>не нуждается в помощи</v>
      </c>
    </row>
    <row r="1075" spans="1:10" x14ac:dyDescent="0.2">
      <c r="A1075" s="4">
        <v>5947</v>
      </c>
      <c r="B1075" t="s">
        <v>2</v>
      </c>
      <c r="C1075" s="1">
        <v>1500</v>
      </c>
      <c r="D1075">
        <v>1</v>
      </c>
      <c r="E1075" t="s">
        <v>11</v>
      </c>
      <c r="F1075" s="6">
        <f t="shared" si="80"/>
        <v>1500</v>
      </c>
      <c r="G1075" s="7">
        <f t="shared" si="81"/>
        <v>132.74336283185841</v>
      </c>
      <c r="H1075" s="7">
        <f t="shared" si="82"/>
        <v>4.4247787610619467</v>
      </c>
      <c r="I1075" s="5" t="str">
        <f t="shared" si="83"/>
        <v>в достатке</v>
      </c>
      <c r="J1075" t="str">
        <f t="shared" si="84"/>
        <v>не нуждается в помощи</v>
      </c>
    </row>
    <row r="1076" spans="1:10" x14ac:dyDescent="0.2">
      <c r="A1076" s="4">
        <v>5821</v>
      </c>
      <c r="B1076" t="s">
        <v>2</v>
      </c>
      <c r="C1076" s="1">
        <v>1680</v>
      </c>
      <c r="D1076">
        <v>1</v>
      </c>
      <c r="E1076" t="s">
        <v>10</v>
      </c>
      <c r="F1076" s="6">
        <f t="shared" si="80"/>
        <v>1680</v>
      </c>
      <c r="G1076" s="7">
        <f t="shared" si="81"/>
        <v>148.6725663716814</v>
      </c>
      <c r="H1076" s="7">
        <f t="shared" si="82"/>
        <v>4.9557522123893802</v>
      </c>
      <c r="I1076" s="5" t="str">
        <f t="shared" si="83"/>
        <v>в достатке</v>
      </c>
      <c r="J1076" t="str">
        <f t="shared" si="84"/>
        <v>не нуждается в помощи</v>
      </c>
    </row>
    <row r="1077" spans="1:10" x14ac:dyDescent="0.2">
      <c r="A1077" s="4">
        <v>3115</v>
      </c>
      <c r="B1077" t="s">
        <v>1</v>
      </c>
      <c r="C1077" s="1">
        <v>1800</v>
      </c>
      <c r="D1077">
        <v>1</v>
      </c>
      <c r="E1077" t="s">
        <v>10</v>
      </c>
      <c r="F1077" s="6">
        <f t="shared" si="80"/>
        <v>1800</v>
      </c>
      <c r="G1077" s="7">
        <f t="shared" si="81"/>
        <v>159.29203539823007</v>
      </c>
      <c r="H1077" s="7">
        <f t="shared" si="82"/>
        <v>5.3097345132743357</v>
      </c>
      <c r="I1077" s="5" t="str">
        <f t="shared" si="83"/>
        <v>в достатке</v>
      </c>
      <c r="J1077" t="str">
        <f t="shared" si="84"/>
        <v>не нуждается в помощи</v>
      </c>
    </row>
    <row r="1078" spans="1:10" x14ac:dyDescent="0.2">
      <c r="A1078" s="4">
        <v>5010</v>
      </c>
      <c r="B1078" t="s">
        <v>4</v>
      </c>
      <c r="C1078" s="1">
        <v>2000</v>
      </c>
      <c r="D1078">
        <v>1</v>
      </c>
      <c r="E1078" t="s">
        <v>10</v>
      </c>
      <c r="F1078" s="6">
        <f t="shared" si="80"/>
        <v>2000</v>
      </c>
      <c r="G1078" s="7">
        <f t="shared" si="81"/>
        <v>176.99115044247787</v>
      </c>
      <c r="H1078" s="7">
        <f t="shared" si="82"/>
        <v>5.8997050147492622</v>
      </c>
      <c r="I1078" s="5" t="str">
        <f t="shared" si="83"/>
        <v>в достатке</v>
      </c>
      <c r="J1078" t="str">
        <f t="shared" si="84"/>
        <v>не нуждается в помощи</v>
      </c>
    </row>
    <row r="1079" spans="1:10" x14ac:dyDescent="0.2">
      <c r="A1079" s="4">
        <v>970</v>
      </c>
      <c r="B1079" t="s">
        <v>4</v>
      </c>
      <c r="C1079" s="1">
        <v>2000</v>
      </c>
      <c r="D1079">
        <v>1</v>
      </c>
      <c r="E1079" t="s">
        <v>11</v>
      </c>
      <c r="F1079" s="6">
        <f t="shared" si="80"/>
        <v>2000</v>
      </c>
      <c r="G1079" s="7">
        <f t="shared" si="81"/>
        <v>176.99115044247787</v>
      </c>
      <c r="H1079" s="7">
        <f t="shared" si="82"/>
        <v>5.8997050147492622</v>
      </c>
      <c r="I1079" s="5" t="str">
        <f t="shared" si="83"/>
        <v>в достатке</v>
      </c>
      <c r="J1079" t="str">
        <f t="shared" si="84"/>
        <v>не нуждается в помощи</v>
      </c>
    </row>
    <row r="1080" spans="1:10" x14ac:dyDescent="0.2">
      <c r="A1080" s="4">
        <v>1678</v>
      </c>
      <c r="B1080" t="s">
        <v>5</v>
      </c>
      <c r="C1080" s="1">
        <v>2000</v>
      </c>
      <c r="D1080">
        <v>1</v>
      </c>
      <c r="E1080" t="s">
        <v>11</v>
      </c>
      <c r="F1080" s="6">
        <f t="shared" si="80"/>
        <v>2000</v>
      </c>
      <c r="G1080" s="7">
        <f t="shared" si="81"/>
        <v>176.99115044247787</v>
      </c>
      <c r="H1080" s="7">
        <f t="shared" si="82"/>
        <v>5.8997050147492622</v>
      </c>
      <c r="I1080" s="5" t="str">
        <f t="shared" si="83"/>
        <v>в достатке</v>
      </c>
      <c r="J1080" t="str">
        <f t="shared" si="84"/>
        <v>не нуждается в помощи</v>
      </c>
    </row>
    <row r="1081" spans="1:10" x14ac:dyDescent="0.2">
      <c r="A1081" s="4">
        <v>1996</v>
      </c>
      <c r="B1081" t="s">
        <v>3</v>
      </c>
      <c r="C1081" s="1">
        <v>2000</v>
      </c>
      <c r="D1081">
        <v>1</v>
      </c>
      <c r="E1081" t="s">
        <v>11</v>
      </c>
      <c r="F1081" s="6">
        <f t="shared" si="80"/>
        <v>2000</v>
      </c>
      <c r="G1081" s="7">
        <f t="shared" si="81"/>
        <v>176.99115044247787</v>
      </c>
      <c r="H1081" s="7">
        <f t="shared" si="82"/>
        <v>5.8997050147492622</v>
      </c>
      <c r="I1081" s="5" t="str">
        <f t="shared" si="83"/>
        <v>в достатке</v>
      </c>
      <c r="J1081" t="str">
        <f t="shared" si="84"/>
        <v>не нуждается в помощи</v>
      </c>
    </row>
    <row r="1082" spans="1:10" x14ac:dyDescent="0.2">
      <c r="A1082" s="4">
        <v>2042</v>
      </c>
      <c r="B1082" t="s">
        <v>3</v>
      </c>
      <c r="C1082" s="1">
        <v>2000</v>
      </c>
      <c r="D1082">
        <v>1</v>
      </c>
      <c r="E1082" t="s">
        <v>10</v>
      </c>
      <c r="F1082" s="6">
        <f t="shared" si="80"/>
        <v>2000</v>
      </c>
      <c r="G1082" s="7">
        <f t="shared" si="81"/>
        <v>176.99115044247787</v>
      </c>
      <c r="H1082" s="7">
        <f t="shared" si="82"/>
        <v>5.8997050147492622</v>
      </c>
      <c r="I1082" s="5" t="str">
        <f t="shared" si="83"/>
        <v>в достатке</v>
      </c>
      <c r="J1082" t="str">
        <f t="shared" si="84"/>
        <v>не нуждается в помощи</v>
      </c>
    </row>
    <row r="1083" spans="1:10" x14ac:dyDescent="0.2">
      <c r="A1083" s="4">
        <v>2175</v>
      </c>
      <c r="B1083" t="s">
        <v>3</v>
      </c>
      <c r="C1083" s="1">
        <v>2000</v>
      </c>
      <c r="D1083">
        <v>1</v>
      </c>
      <c r="E1083" t="s">
        <v>10</v>
      </c>
      <c r="F1083" s="6">
        <f t="shared" si="80"/>
        <v>2000</v>
      </c>
      <c r="G1083" s="7">
        <f t="shared" si="81"/>
        <v>176.99115044247787</v>
      </c>
      <c r="H1083" s="7">
        <f t="shared" si="82"/>
        <v>5.8997050147492622</v>
      </c>
      <c r="I1083" s="5" t="str">
        <f t="shared" si="83"/>
        <v>в достатке</v>
      </c>
      <c r="J1083" t="str">
        <f t="shared" si="84"/>
        <v>не нуждается в помощи</v>
      </c>
    </row>
    <row r="1084" spans="1:10" x14ac:dyDescent="0.2">
      <c r="A1084" s="4">
        <v>2548</v>
      </c>
      <c r="B1084" t="s">
        <v>0</v>
      </c>
      <c r="C1084" s="1">
        <v>2000</v>
      </c>
      <c r="D1084">
        <v>1</v>
      </c>
      <c r="E1084" t="s">
        <v>10</v>
      </c>
      <c r="F1084" s="6">
        <f t="shared" si="80"/>
        <v>2000</v>
      </c>
      <c r="G1084" s="7">
        <f t="shared" si="81"/>
        <v>176.99115044247787</v>
      </c>
      <c r="H1084" s="7">
        <f t="shared" si="82"/>
        <v>5.8997050147492622</v>
      </c>
      <c r="I1084" s="5" t="str">
        <f t="shared" si="83"/>
        <v>в достатке</v>
      </c>
      <c r="J1084" t="str">
        <f t="shared" si="84"/>
        <v>не нуждается в помощи</v>
      </c>
    </row>
    <row r="1085" spans="1:10" x14ac:dyDescent="0.2">
      <c r="A1085" s="4">
        <v>2656</v>
      </c>
      <c r="B1085" t="s">
        <v>2</v>
      </c>
      <c r="C1085" s="1">
        <v>2000</v>
      </c>
      <c r="D1085">
        <v>1</v>
      </c>
      <c r="E1085" t="s">
        <v>11</v>
      </c>
      <c r="F1085" s="6">
        <f t="shared" si="80"/>
        <v>2000</v>
      </c>
      <c r="G1085" s="7">
        <f t="shared" si="81"/>
        <v>176.99115044247787</v>
      </c>
      <c r="H1085" s="7">
        <f t="shared" si="82"/>
        <v>5.8997050147492622</v>
      </c>
      <c r="I1085" s="5" t="str">
        <f t="shared" si="83"/>
        <v>в достатке</v>
      </c>
      <c r="J1085" t="str">
        <f t="shared" si="84"/>
        <v>не нуждается в помощи</v>
      </c>
    </row>
    <row r="1086" spans="1:10" x14ac:dyDescent="0.2">
      <c r="A1086" s="4">
        <v>2855</v>
      </c>
      <c r="B1086" t="s">
        <v>2</v>
      </c>
      <c r="C1086" s="1">
        <v>2000</v>
      </c>
      <c r="D1086">
        <v>1</v>
      </c>
      <c r="E1086" t="s">
        <v>10</v>
      </c>
      <c r="F1086" s="6">
        <f t="shared" si="80"/>
        <v>2000</v>
      </c>
      <c r="G1086" s="7">
        <f t="shared" si="81"/>
        <v>176.99115044247787</v>
      </c>
      <c r="H1086" s="7">
        <f t="shared" si="82"/>
        <v>5.8997050147492622</v>
      </c>
      <c r="I1086" s="5" t="str">
        <f t="shared" si="83"/>
        <v>в достатке</v>
      </c>
      <c r="J1086" t="str">
        <f t="shared" si="84"/>
        <v>не нуждается в помощи</v>
      </c>
    </row>
    <row r="1087" spans="1:10" x14ac:dyDescent="0.2">
      <c r="A1087" s="4">
        <v>3047</v>
      </c>
      <c r="B1087" t="s">
        <v>1</v>
      </c>
      <c r="C1087" s="1">
        <v>2000</v>
      </c>
      <c r="D1087">
        <v>1</v>
      </c>
      <c r="E1087" t="s">
        <v>10</v>
      </c>
      <c r="F1087" s="6">
        <f t="shared" si="80"/>
        <v>2000</v>
      </c>
      <c r="G1087" s="7">
        <f t="shared" si="81"/>
        <v>176.99115044247787</v>
      </c>
      <c r="H1087" s="7">
        <f t="shared" si="82"/>
        <v>5.8997050147492622</v>
      </c>
      <c r="I1087" s="5" t="str">
        <f t="shared" si="83"/>
        <v>в достатке</v>
      </c>
      <c r="J1087" t="str">
        <f t="shared" si="84"/>
        <v>не нуждается в помощи</v>
      </c>
    </row>
    <row r="1088" spans="1:10" x14ac:dyDescent="0.2">
      <c r="A1088" s="4">
        <v>5009</v>
      </c>
      <c r="B1088" t="s">
        <v>4</v>
      </c>
      <c r="C1088" s="1">
        <v>2000</v>
      </c>
      <c r="D1088">
        <v>1</v>
      </c>
      <c r="E1088" t="s">
        <v>11</v>
      </c>
      <c r="F1088" s="6">
        <f t="shared" si="80"/>
        <v>2000</v>
      </c>
      <c r="G1088" s="7">
        <f t="shared" si="81"/>
        <v>176.99115044247787</v>
      </c>
      <c r="H1088" s="7">
        <f t="shared" si="82"/>
        <v>5.8997050147492622</v>
      </c>
      <c r="I1088" s="5" t="str">
        <f t="shared" si="83"/>
        <v>в достатке</v>
      </c>
      <c r="J1088" t="str">
        <f t="shared" si="84"/>
        <v>не нуждается в помощи</v>
      </c>
    </row>
    <row r="1089" spans="1:10" x14ac:dyDescent="0.2">
      <c r="A1089" s="4">
        <v>5064</v>
      </c>
      <c r="B1089" t="s">
        <v>4</v>
      </c>
      <c r="C1089" s="1">
        <v>2000</v>
      </c>
      <c r="D1089">
        <v>1</v>
      </c>
      <c r="E1089" t="s">
        <v>11</v>
      </c>
      <c r="F1089" s="6">
        <f t="shared" si="80"/>
        <v>2000</v>
      </c>
      <c r="G1089" s="7">
        <f t="shared" si="81"/>
        <v>176.99115044247787</v>
      </c>
      <c r="H1089" s="7">
        <f t="shared" si="82"/>
        <v>5.8997050147492622</v>
      </c>
      <c r="I1089" s="5" t="str">
        <f t="shared" si="83"/>
        <v>в достатке</v>
      </c>
      <c r="J1089" t="str">
        <f t="shared" si="84"/>
        <v>не нуждается в помощи</v>
      </c>
    </row>
    <row r="1090" spans="1:10" x14ac:dyDescent="0.2">
      <c r="A1090" s="4">
        <v>6341</v>
      </c>
      <c r="B1090" t="s">
        <v>1</v>
      </c>
      <c r="C1090" s="1">
        <v>2000</v>
      </c>
      <c r="D1090">
        <v>1</v>
      </c>
      <c r="E1090" t="s">
        <v>11</v>
      </c>
      <c r="F1090" s="6">
        <f t="shared" ref="F1090:F1124" si="85">C1090/D1090</f>
        <v>2000</v>
      </c>
      <c r="G1090" s="7">
        <f t="shared" ref="G1090:G1124" si="86">(C1090/D1090)/rate</f>
        <v>176.99115044247787</v>
      </c>
      <c r="H1090" s="7">
        <f t="shared" ref="H1090:H1124" si="87">((C1090/D1090)/30)/rate</f>
        <v>5.8997050147492622</v>
      </c>
      <c r="I1090" s="5" t="str">
        <f t="shared" ref="I1090:I1153" si="88">IF(H1090&lt;0.89, "крайняя бедность", IF(AND(H1090&gt;0.89, H1090&lt;1.33), "бедность", IF(AND(H1090&gt;1.33,H1090&lt;2.5),"ниже среднего", IF(AND(H1090&gt;2.5,H1090&lt;4), "средний", IF(H1090&gt;4,"в достатке",0)))))</f>
        <v>в достатке</v>
      </c>
      <c r="J1090" t="str">
        <f t="shared" si="84"/>
        <v>не нуждается в помощи</v>
      </c>
    </row>
    <row r="1091" spans="1:10" x14ac:dyDescent="0.2">
      <c r="A1091" s="4">
        <v>6702</v>
      </c>
      <c r="B1091" t="s">
        <v>3</v>
      </c>
      <c r="C1091" s="1">
        <v>2000</v>
      </c>
      <c r="D1091">
        <v>1</v>
      </c>
      <c r="E1091" t="s">
        <v>10</v>
      </c>
      <c r="F1091" s="6">
        <f t="shared" si="85"/>
        <v>2000</v>
      </c>
      <c r="G1091" s="7">
        <f t="shared" si="86"/>
        <v>176.99115044247787</v>
      </c>
      <c r="H1091" s="7">
        <f t="shared" si="87"/>
        <v>5.8997050147492622</v>
      </c>
      <c r="I1091" s="5" t="str">
        <f t="shared" si="88"/>
        <v>в достатке</v>
      </c>
      <c r="J1091" t="str">
        <f t="shared" ref="J1091:J1124" si="89">IF(AND(I1100="крайняя бедность",E1100="Нет"), "нуждается в помощи", "не нуждается в помощи")</f>
        <v>не нуждается в помощи</v>
      </c>
    </row>
    <row r="1092" spans="1:10" x14ac:dyDescent="0.2">
      <c r="A1092" s="4">
        <v>2041</v>
      </c>
      <c r="B1092" t="s">
        <v>3</v>
      </c>
      <c r="C1092" s="1">
        <v>2100</v>
      </c>
      <c r="D1092">
        <v>1</v>
      </c>
      <c r="E1092" t="s">
        <v>10</v>
      </c>
      <c r="F1092" s="6">
        <f t="shared" si="85"/>
        <v>2100</v>
      </c>
      <c r="G1092" s="7">
        <f t="shared" si="86"/>
        <v>185.84070796460176</v>
      </c>
      <c r="H1092" s="7">
        <f t="shared" si="87"/>
        <v>6.1946902654867255</v>
      </c>
      <c r="I1092" s="5" t="str">
        <f t="shared" si="88"/>
        <v>в достатке</v>
      </c>
      <c r="J1092" t="str">
        <f t="shared" si="89"/>
        <v>не нуждается в помощи</v>
      </c>
    </row>
    <row r="1093" spans="1:10" x14ac:dyDescent="0.2">
      <c r="A1093" s="4">
        <v>1773</v>
      </c>
      <c r="B1093" t="s">
        <v>3</v>
      </c>
      <c r="C1093" s="1">
        <v>2250</v>
      </c>
      <c r="D1093">
        <v>1</v>
      </c>
      <c r="E1093" t="s">
        <v>11</v>
      </c>
      <c r="F1093" s="6">
        <f t="shared" si="85"/>
        <v>2250</v>
      </c>
      <c r="G1093" s="7">
        <f t="shared" si="86"/>
        <v>199.11504424778761</v>
      </c>
      <c r="H1093" s="7">
        <f t="shared" si="87"/>
        <v>6.6371681415929196</v>
      </c>
      <c r="I1093" s="5" t="str">
        <f t="shared" si="88"/>
        <v>в достатке</v>
      </c>
      <c r="J1093" t="str">
        <f t="shared" si="89"/>
        <v>не нуждается в помощи</v>
      </c>
    </row>
    <row r="1094" spans="1:10" x14ac:dyDescent="0.2">
      <c r="A1094" s="4">
        <v>2498</v>
      </c>
      <c r="B1094" t="s">
        <v>0</v>
      </c>
      <c r="C1094" s="1">
        <v>2400</v>
      </c>
      <c r="D1094">
        <v>1</v>
      </c>
      <c r="E1094" t="s">
        <v>11</v>
      </c>
      <c r="F1094" s="6">
        <f t="shared" si="85"/>
        <v>2400</v>
      </c>
      <c r="G1094" s="7">
        <f t="shared" si="86"/>
        <v>212.38938053097343</v>
      </c>
      <c r="H1094" s="7">
        <f t="shared" si="87"/>
        <v>7.0796460176991145</v>
      </c>
      <c r="I1094" s="5" t="str">
        <f t="shared" si="88"/>
        <v>в достатке</v>
      </c>
      <c r="J1094" t="str">
        <f t="shared" si="89"/>
        <v>не нуждается в помощи</v>
      </c>
    </row>
    <row r="1095" spans="1:10" x14ac:dyDescent="0.2">
      <c r="A1095" s="4">
        <v>1747</v>
      </c>
      <c r="B1095" t="s">
        <v>3</v>
      </c>
      <c r="C1095" s="1">
        <v>2500</v>
      </c>
      <c r="D1095">
        <v>1</v>
      </c>
      <c r="E1095" t="s">
        <v>10</v>
      </c>
      <c r="F1095" s="6">
        <f t="shared" si="85"/>
        <v>2500</v>
      </c>
      <c r="G1095" s="7">
        <f t="shared" si="86"/>
        <v>221.23893805309734</v>
      </c>
      <c r="H1095" s="7">
        <f t="shared" si="87"/>
        <v>7.3746312684365769</v>
      </c>
      <c r="I1095" s="5" t="str">
        <f t="shared" si="88"/>
        <v>в достатке</v>
      </c>
      <c r="J1095" t="str">
        <f t="shared" si="89"/>
        <v>не нуждается в помощи</v>
      </c>
    </row>
    <row r="1096" spans="1:10" x14ac:dyDescent="0.2">
      <c r="A1096" s="4">
        <v>1884</v>
      </c>
      <c r="B1096" t="s">
        <v>3</v>
      </c>
      <c r="C1096" s="1">
        <v>2500</v>
      </c>
      <c r="D1096">
        <v>1</v>
      </c>
      <c r="E1096" t="s">
        <v>11</v>
      </c>
      <c r="F1096" s="6">
        <f t="shared" si="85"/>
        <v>2500</v>
      </c>
      <c r="G1096" s="7">
        <f t="shared" si="86"/>
        <v>221.23893805309734</v>
      </c>
      <c r="H1096" s="7">
        <f t="shared" si="87"/>
        <v>7.3746312684365769</v>
      </c>
      <c r="I1096" s="5" t="str">
        <f t="shared" si="88"/>
        <v>в достатке</v>
      </c>
      <c r="J1096" t="str">
        <f t="shared" si="89"/>
        <v>не нуждается в помощи</v>
      </c>
    </row>
    <row r="1097" spans="1:10" x14ac:dyDescent="0.2">
      <c r="A1097" s="4">
        <v>2462</v>
      </c>
      <c r="B1097" t="s">
        <v>0</v>
      </c>
      <c r="C1097" s="1">
        <v>2500</v>
      </c>
      <c r="D1097">
        <v>1</v>
      </c>
      <c r="E1097" t="s">
        <v>11</v>
      </c>
      <c r="F1097" s="6">
        <f t="shared" si="85"/>
        <v>2500</v>
      </c>
      <c r="G1097" s="7">
        <f t="shared" si="86"/>
        <v>221.23893805309734</v>
      </c>
      <c r="H1097" s="7">
        <f t="shared" si="87"/>
        <v>7.3746312684365769</v>
      </c>
      <c r="I1097" s="5" t="str">
        <f t="shared" si="88"/>
        <v>в достатке</v>
      </c>
      <c r="J1097" t="str">
        <f t="shared" si="89"/>
        <v>не нуждается в помощи</v>
      </c>
    </row>
    <row r="1098" spans="1:10" x14ac:dyDescent="0.2">
      <c r="A1098" s="4">
        <v>2752</v>
      </c>
      <c r="B1098" t="s">
        <v>2</v>
      </c>
      <c r="C1098" s="1">
        <v>2500</v>
      </c>
      <c r="D1098">
        <v>1</v>
      </c>
      <c r="E1098" t="s">
        <v>11</v>
      </c>
      <c r="F1098" s="6">
        <f t="shared" si="85"/>
        <v>2500</v>
      </c>
      <c r="G1098" s="7">
        <f t="shared" si="86"/>
        <v>221.23893805309734</v>
      </c>
      <c r="H1098" s="7">
        <f t="shared" si="87"/>
        <v>7.3746312684365769</v>
      </c>
      <c r="I1098" s="5" t="str">
        <f t="shared" si="88"/>
        <v>в достатке</v>
      </c>
      <c r="J1098" t="str">
        <f t="shared" si="89"/>
        <v>не нуждается в помощи</v>
      </c>
    </row>
    <row r="1099" spans="1:10" x14ac:dyDescent="0.2">
      <c r="A1099" s="4">
        <v>2800</v>
      </c>
      <c r="B1099" t="s">
        <v>2</v>
      </c>
      <c r="C1099" s="1">
        <v>2700</v>
      </c>
      <c r="D1099">
        <v>1</v>
      </c>
      <c r="E1099" t="s">
        <v>11</v>
      </c>
      <c r="F1099" s="6">
        <f t="shared" si="85"/>
        <v>2700</v>
      </c>
      <c r="G1099" s="7">
        <f t="shared" si="86"/>
        <v>238.93805309734512</v>
      </c>
      <c r="H1099" s="7">
        <f t="shared" si="87"/>
        <v>7.9646017699115035</v>
      </c>
      <c r="I1099" s="5" t="str">
        <f t="shared" si="88"/>
        <v>в достатке</v>
      </c>
      <c r="J1099" t="str">
        <f t="shared" si="89"/>
        <v>не нуждается в помощи</v>
      </c>
    </row>
    <row r="1100" spans="1:10" x14ac:dyDescent="0.2">
      <c r="A1100" s="4">
        <v>2125</v>
      </c>
      <c r="B1100" t="s">
        <v>3</v>
      </c>
      <c r="C1100" s="1">
        <v>2800</v>
      </c>
      <c r="D1100">
        <v>1</v>
      </c>
      <c r="E1100" t="s">
        <v>10</v>
      </c>
      <c r="F1100" s="6">
        <f t="shared" si="85"/>
        <v>2800</v>
      </c>
      <c r="G1100" s="7">
        <f t="shared" si="86"/>
        <v>247.78761061946901</v>
      </c>
      <c r="H1100" s="7">
        <f t="shared" si="87"/>
        <v>8.2595870206489668</v>
      </c>
      <c r="I1100" s="5" t="str">
        <f t="shared" si="88"/>
        <v>в достатке</v>
      </c>
      <c r="J1100" t="str">
        <f t="shared" si="89"/>
        <v>не нуждается в помощи</v>
      </c>
    </row>
    <row r="1101" spans="1:10" x14ac:dyDescent="0.2">
      <c r="A1101" s="4">
        <v>2682</v>
      </c>
      <c r="B1101" t="s">
        <v>2</v>
      </c>
      <c r="C1101" s="1">
        <v>2800</v>
      </c>
      <c r="D1101">
        <v>1</v>
      </c>
      <c r="E1101" t="s">
        <v>10</v>
      </c>
      <c r="F1101" s="6">
        <f t="shared" si="85"/>
        <v>2800</v>
      </c>
      <c r="G1101" s="7">
        <f t="shared" si="86"/>
        <v>247.78761061946901</v>
      </c>
      <c r="H1101" s="7">
        <f t="shared" si="87"/>
        <v>8.2595870206489668</v>
      </c>
      <c r="I1101" s="5" t="str">
        <f t="shared" si="88"/>
        <v>в достатке</v>
      </c>
      <c r="J1101" t="str">
        <f t="shared" si="89"/>
        <v>не нуждается в помощи</v>
      </c>
    </row>
    <row r="1102" spans="1:10" x14ac:dyDescent="0.2">
      <c r="A1102" s="4">
        <v>2237</v>
      </c>
      <c r="B1102" t="s">
        <v>3</v>
      </c>
      <c r="C1102" s="1">
        <v>2900</v>
      </c>
      <c r="D1102">
        <v>1</v>
      </c>
      <c r="E1102" t="s">
        <v>10</v>
      </c>
      <c r="F1102" s="6">
        <f t="shared" si="85"/>
        <v>2900</v>
      </c>
      <c r="G1102" s="7">
        <f t="shared" si="86"/>
        <v>256.63716814159289</v>
      </c>
      <c r="H1102" s="7">
        <f t="shared" si="87"/>
        <v>8.5545722713864301</v>
      </c>
      <c r="I1102" s="5" t="str">
        <f t="shared" si="88"/>
        <v>в достатке</v>
      </c>
      <c r="J1102" t="str">
        <f t="shared" si="89"/>
        <v>не нуждается в помощи</v>
      </c>
    </row>
    <row r="1103" spans="1:10" x14ac:dyDescent="0.2">
      <c r="A1103" s="4">
        <v>2165</v>
      </c>
      <c r="B1103" t="s">
        <v>3</v>
      </c>
      <c r="C1103" s="1">
        <v>3000</v>
      </c>
      <c r="D1103">
        <v>1</v>
      </c>
      <c r="E1103" t="s">
        <v>11</v>
      </c>
      <c r="F1103" s="6">
        <f t="shared" si="85"/>
        <v>3000</v>
      </c>
      <c r="G1103" s="7">
        <f t="shared" si="86"/>
        <v>265.48672566371681</v>
      </c>
      <c r="H1103" s="7">
        <f t="shared" si="87"/>
        <v>8.8495575221238933</v>
      </c>
      <c r="I1103" s="5" t="str">
        <f t="shared" si="88"/>
        <v>в достатке</v>
      </c>
      <c r="J1103" t="str">
        <f t="shared" si="89"/>
        <v>не нуждается в помощи</v>
      </c>
    </row>
    <row r="1104" spans="1:10" x14ac:dyDescent="0.2">
      <c r="A1104" s="4">
        <v>2107</v>
      </c>
      <c r="B1104" t="s">
        <v>3</v>
      </c>
      <c r="C1104" s="1">
        <v>3000</v>
      </c>
      <c r="D1104">
        <v>1</v>
      </c>
      <c r="E1104" t="s">
        <v>11</v>
      </c>
      <c r="F1104" s="6">
        <f t="shared" si="85"/>
        <v>3000</v>
      </c>
      <c r="G1104" s="7">
        <f t="shared" si="86"/>
        <v>265.48672566371681</v>
      </c>
      <c r="H1104" s="7">
        <f t="shared" si="87"/>
        <v>8.8495575221238933</v>
      </c>
      <c r="I1104" s="5" t="str">
        <f t="shared" si="88"/>
        <v>в достатке</v>
      </c>
      <c r="J1104" t="str">
        <f t="shared" si="89"/>
        <v>не нуждается в помощи</v>
      </c>
    </row>
    <row r="1105" spans="1:10" x14ac:dyDescent="0.2">
      <c r="A1105" s="4">
        <v>1523</v>
      </c>
      <c r="B1105" t="s">
        <v>5</v>
      </c>
      <c r="C1105" s="1">
        <v>3000</v>
      </c>
      <c r="D1105">
        <v>1</v>
      </c>
      <c r="E1105" t="s">
        <v>10</v>
      </c>
      <c r="F1105" s="6">
        <f t="shared" si="85"/>
        <v>3000</v>
      </c>
      <c r="G1105" s="7">
        <f t="shared" si="86"/>
        <v>265.48672566371681</v>
      </c>
      <c r="H1105" s="7">
        <f t="shared" si="87"/>
        <v>8.8495575221238933</v>
      </c>
      <c r="I1105" s="5" t="str">
        <f t="shared" si="88"/>
        <v>в достатке</v>
      </c>
      <c r="J1105" t="str">
        <f t="shared" si="89"/>
        <v>не нуждается в помощи</v>
      </c>
    </row>
    <row r="1106" spans="1:10" x14ac:dyDescent="0.2">
      <c r="A1106" s="4">
        <v>2083</v>
      </c>
      <c r="B1106" t="s">
        <v>3</v>
      </c>
      <c r="C1106" s="1">
        <v>3000</v>
      </c>
      <c r="D1106">
        <v>1</v>
      </c>
      <c r="E1106" t="s">
        <v>11</v>
      </c>
      <c r="F1106" s="6">
        <f t="shared" si="85"/>
        <v>3000</v>
      </c>
      <c r="G1106" s="7">
        <f t="shared" si="86"/>
        <v>265.48672566371681</v>
      </c>
      <c r="H1106" s="7">
        <f t="shared" si="87"/>
        <v>8.8495575221238933</v>
      </c>
      <c r="I1106" s="5" t="str">
        <f t="shared" si="88"/>
        <v>в достатке</v>
      </c>
      <c r="J1106" t="str">
        <f t="shared" si="89"/>
        <v>не нуждается в помощи</v>
      </c>
    </row>
    <row r="1107" spans="1:10" x14ac:dyDescent="0.2">
      <c r="A1107" s="4">
        <v>2105</v>
      </c>
      <c r="B1107" t="s">
        <v>3</v>
      </c>
      <c r="C1107" s="1">
        <v>3000</v>
      </c>
      <c r="D1107">
        <v>1</v>
      </c>
      <c r="E1107" t="s">
        <v>10</v>
      </c>
      <c r="F1107" s="6">
        <f t="shared" si="85"/>
        <v>3000</v>
      </c>
      <c r="G1107" s="7">
        <f t="shared" si="86"/>
        <v>265.48672566371681</v>
      </c>
      <c r="H1107" s="7">
        <f t="shared" si="87"/>
        <v>8.8495575221238933</v>
      </c>
      <c r="I1107" s="5" t="str">
        <f t="shared" si="88"/>
        <v>в достатке</v>
      </c>
      <c r="J1107" t="str">
        <f t="shared" si="89"/>
        <v>не нуждается в помощи</v>
      </c>
    </row>
    <row r="1108" spans="1:10" x14ac:dyDescent="0.2">
      <c r="A1108" s="4">
        <v>2467</v>
      </c>
      <c r="B1108" t="s">
        <v>0</v>
      </c>
      <c r="C1108" s="1">
        <v>3000</v>
      </c>
      <c r="D1108">
        <v>1</v>
      </c>
      <c r="E1108" t="s">
        <v>10</v>
      </c>
      <c r="F1108" s="6">
        <f t="shared" si="85"/>
        <v>3000</v>
      </c>
      <c r="G1108" s="7">
        <f t="shared" si="86"/>
        <v>265.48672566371681</v>
      </c>
      <c r="H1108" s="7">
        <f t="shared" si="87"/>
        <v>8.8495575221238933</v>
      </c>
      <c r="I1108" s="5" t="str">
        <f t="shared" si="88"/>
        <v>в достатке</v>
      </c>
      <c r="J1108" t="str">
        <f t="shared" si="89"/>
        <v>не нуждается в помощи</v>
      </c>
    </row>
    <row r="1109" spans="1:10" x14ac:dyDescent="0.2">
      <c r="A1109" s="4">
        <v>2491</v>
      </c>
      <c r="B1109" t="s">
        <v>0</v>
      </c>
      <c r="C1109" s="1">
        <v>3000</v>
      </c>
      <c r="D1109">
        <v>1</v>
      </c>
      <c r="E1109" t="s">
        <v>10</v>
      </c>
      <c r="F1109" s="6">
        <f t="shared" si="85"/>
        <v>3000</v>
      </c>
      <c r="G1109" s="7">
        <f t="shared" si="86"/>
        <v>265.48672566371681</v>
      </c>
      <c r="H1109" s="7">
        <f t="shared" si="87"/>
        <v>8.8495575221238933</v>
      </c>
      <c r="I1109" s="5" t="str">
        <f t="shared" si="88"/>
        <v>в достатке</v>
      </c>
      <c r="J1109" t="str">
        <f t="shared" si="89"/>
        <v>не нуждается в помощи</v>
      </c>
    </row>
    <row r="1110" spans="1:10" x14ac:dyDescent="0.2">
      <c r="A1110" s="4">
        <v>2657</v>
      </c>
      <c r="B1110" t="s">
        <v>2</v>
      </c>
      <c r="C1110" s="1">
        <v>3000</v>
      </c>
      <c r="D1110">
        <v>1</v>
      </c>
      <c r="E1110" t="s">
        <v>11</v>
      </c>
      <c r="F1110" s="6">
        <f t="shared" si="85"/>
        <v>3000</v>
      </c>
      <c r="G1110" s="7">
        <f t="shared" si="86"/>
        <v>265.48672566371681</v>
      </c>
      <c r="H1110" s="7">
        <f t="shared" si="87"/>
        <v>8.8495575221238933</v>
      </c>
      <c r="I1110" s="5" t="str">
        <f t="shared" si="88"/>
        <v>в достатке</v>
      </c>
      <c r="J1110" t="str">
        <f t="shared" si="89"/>
        <v>не нуждается в помощи</v>
      </c>
    </row>
    <row r="1111" spans="1:10" x14ac:dyDescent="0.2">
      <c r="A1111" s="4">
        <v>2948</v>
      </c>
      <c r="B1111" t="s">
        <v>1</v>
      </c>
      <c r="C1111" s="1">
        <v>3000</v>
      </c>
      <c r="D1111">
        <v>1</v>
      </c>
      <c r="E1111" t="s">
        <v>10</v>
      </c>
      <c r="F1111" s="6">
        <f t="shared" si="85"/>
        <v>3000</v>
      </c>
      <c r="G1111" s="7">
        <f t="shared" si="86"/>
        <v>265.48672566371681</v>
      </c>
      <c r="H1111" s="7">
        <f t="shared" si="87"/>
        <v>8.8495575221238933</v>
      </c>
      <c r="I1111" s="5" t="str">
        <f t="shared" si="88"/>
        <v>в достатке</v>
      </c>
      <c r="J1111" t="str">
        <f t="shared" si="89"/>
        <v>не нуждается в помощи</v>
      </c>
    </row>
    <row r="1112" spans="1:10" x14ac:dyDescent="0.2">
      <c r="A1112" s="4">
        <v>3188</v>
      </c>
      <c r="B1112" t="s">
        <v>1</v>
      </c>
      <c r="C1112" s="1">
        <v>3000</v>
      </c>
      <c r="D1112">
        <v>1</v>
      </c>
      <c r="E1112" t="s">
        <v>10</v>
      </c>
      <c r="F1112" s="6">
        <f t="shared" si="85"/>
        <v>3000</v>
      </c>
      <c r="G1112" s="7">
        <f t="shared" si="86"/>
        <v>265.48672566371681</v>
      </c>
      <c r="H1112" s="7">
        <f t="shared" si="87"/>
        <v>8.8495575221238933</v>
      </c>
      <c r="I1112" s="5" t="str">
        <f t="shared" si="88"/>
        <v>в достатке</v>
      </c>
      <c r="J1112" t="str">
        <f t="shared" si="89"/>
        <v>не нуждается в помощи</v>
      </c>
    </row>
    <row r="1113" spans="1:10" x14ac:dyDescent="0.2">
      <c r="A1113" s="4">
        <v>2557</v>
      </c>
      <c r="B1113" t="s">
        <v>0</v>
      </c>
      <c r="C1113" s="1">
        <v>3600</v>
      </c>
      <c r="D1113">
        <v>1</v>
      </c>
      <c r="E1113" t="s">
        <v>11</v>
      </c>
      <c r="F1113" s="6">
        <f t="shared" si="85"/>
        <v>3600</v>
      </c>
      <c r="G1113" s="7">
        <f t="shared" si="86"/>
        <v>318.58407079646014</v>
      </c>
      <c r="H1113" s="7">
        <f t="shared" si="87"/>
        <v>10.619469026548671</v>
      </c>
      <c r="I1113" s="5" t="str">
        <f t="shared" si="88"/>
        <v>в достатке</v>
      </c>
      <c r="J1113" t="str">
        <f t="shared" si="89"/>
        <v>не нуждается в помощи</v>
      </c>
    </row>
    <row r="1114" spans="1:10" x14ac:dyDescent="0.2">
      <c r="A1114" s="4">
        <v>1731</v>
      </c>
      <c r="B1114" t="s">
        <v>3</v>
      </c>
      <c r="C1114" s="1">
        <v>4000</v>
      </c>
      <c r="D1114">
        <v>1</v>
      </c>
      <c r="E1114" t="s">
        <v>11</v>
      </c>
      <c r="F1114" s="6">
        <f t="shared" si="85"/>
        <v>4000</v>
      </c>
      <c r="G1114" s="7">
        <f t="shared" si="86"/>
        <v>353.98230088495575</v>
      </c>
      <c r="H1114" s="7">
        <f t="shared" si="87"/>
        <v>11.799410029498524</v>
      </c>
      <c r="I1114" s="5" t="str">
        <f t="shared" si="88"/>
        <v>в достатке</v>
      </c>
      <c r="J1114" t="str">
        <f t="shared" si="89"/>
        <v>не нуждается в помощи</v>
      </c>
    </row>
    <row r="1115" spans="1:10" x14ac:dyDescent="0.2">
      <c r="A1115" s="4">
        <v>6142</v>
      </c>
      <c r="B1115" t="s">
        <v>1</v>
      </c>
      <c r="C1115" s="1">
        <v>4000</v>
      </c>
      <c r="D1115">
        <v>1</v>
      </c>
      <c r="E1115" t="s">
        <v>10</v>
      </c>
      <c r="F1115" s="6">
        <f t="shared" si="85"/>
        <v>4000</v>
      </c>
      <c r="G1115" s="7">
        <f t="shared" si="86"/>
        <v>353.98230088495575</v>
      </c>
      <c r="H1115" s="7">
        <f t="shared" si="87"/>
        <v>11.799410029498524</v>
      </c>
      <c r="I1115" s="5" t="str">
        <f t="shared" si="88"/>
        <v>в достатке</v>
      </c>
      <c r="J1115" t="str">
        <f t="shared" si="89"/>
        <v>не нуждается в помощи</v>
      </c>
    </row>
    <row r="1116" spans="1:10" x14ac:dyDescent="0.2">
      <c r="A1116" s="4">
        <v>2255</v>
      </c>
      <c r="B1116" t="s">
        <v>3</v>
      </c>
      <c r="C1116" s="1">
        <v>4000</v>
      </c>
      <c r="D1116">
        <v>1</v>
      </c>
      <c r="E1116" t="s">
        <v>10</v>
      </c>
      <c r="F1116" s="6">
        <f t="shared" si="85"/>
        <v>4000</v>
      </c>
      <c r="G1116" s="7">
        <f t="shared" si="86"/>
        <v>353.98230088495575</v>
      </c>
      <c r="H1116" s="7">
        <f t="shared" si="87"/>
        <v>11.799410029498524</v>
      </c>
      <c r="I1116" s="5" t="str">
        <f t="shared" si="88"/>
        <v>в достатке</v>
      </c>
      <c r="J1116" t="str">
        <f t="shared" si="89"/>
        <v>не нуждается в помощи</v>
      </c>
    </row>
    <row r="1117" spans="1:10" x14ac:dyDescent="0.2">
      <c r="A1117" s="4">
        <v>2871</v>
      </c>
      <c r="B1117" t="s">
        <v>2</v>
      </c>
      <c r="C1117" s="1">
        <v>4000</v>
      </c>
      <c r="D1117">
        <v>1</v>
      </c>
      <c r="E1117" t="s">
        <v>11</v>
      </c>
      <c r="F1117" s="6">
        <f t="shared" si="85"/>
        <v>4000</v>
      </c>
      <c r="G1117" s="7">
        <f t="shared" si="86"/>
        <v>353.98230088495575</v>
      </c>
      <c r="H1117" s="7">
        <f t="shared" si="87"/>
        <v>11.799410029498524</v>
      </c>
      <c r="I1117" s="5" t="str">
        <f t="shared" si="88"/>
        <v>в достатке</v>
      </c>
      <c r="J1117" t="str">
        <f t="shared" si="89"/>
        <v>не нуждается в помощи</v>
      </c>
    </row>
    <row r="1118" spans="1:10" x14ac:dyDescent="0.2">
      <c r="A1118" s="4">
        <v>1398</v>
      </c>
      <c r="B1118" t="s">
        <v>4</v>
      </c>
      <c r="C1118" s="1">
        <v>4500</v>
      </c>
      <c r="D1118">
        <v>1</v>
      </c>
      <c r="E1118" t="s">
        <v>10</v>
      </c>
      <c r="F1118" s="6">
        <f t="shared" si="85"/>
        <v>4500</v>
      </c>
      <c r="G1118" s="7">
        <f t="shared" si="86"/>
        <v>398.23008849557522</v>
      </c>
      <c r="H1118" s="7">
        <f t="shared" si="87"/>
        <v>13.274336283185839</v>
      </c>
      <c r="I1118" s="5" t="str">
        <f t="shared" si="88"/>
        <v>в достатке</v>
      </c>
      <c r="J1118" t="str">
        <f t="shared" si="89"/>
        <v>не нуждается в помощи</v>
      </c>
    </row>
    <row r="1119" spans="1:10" x14ac:dyDescent="0.2">
      <c r="A1119" s="4">
        <v>2552</v>
      </c>
      <c r="B1119" t="s">
        <v>0</v>
      </c>
      <c r="C1119" s="1">
        <v>4500</v>
      </c>
      <c r="D1119">
        <v>1</v>
      </c>
      <c r="E1119" t="s">
        <v>10</v>
      </c>
      <c r="F1119" s="6">
        <f t="shared" si="85"/>
        <v>4500</v>
      </c>
      <c r="G1119" s="7">
        <f t="shared" si="86"/>
        <v>398.23008849557522</v>
      </c>
      <c r="H1119" s="7">
        <f t="shared" si="87"/>
        <v>13.274336283185839</v>
      </c>
      <c r="I1119" s="5" t="str">
        <f t="shared" si="88"/>
        <v>в достатке</v>
      </c>
      <c r="J1119" t="str">
        <f t="shared" si="89"/>
        <v>не нуждается в помощи</v>
      </c>
    </row>
    <row r="1120" spans="1:10" x14ac:dyDescent="0.2">
      <c r="A1120" s="4">
        <v>3025</v>
      </c>
      <c r="B1120" t="s">
        <v>1</v>
      </c>
      <c r="C1120" s="1">
        <v>5000</v>
      </c>
      <c r="D1120">
        <v>1</v>
      </c>
      <c r="E1120" t="s">
        <v>11</v>
      </c>
      <c r="F1120" s="6">
        <f t="shared" si="85"/>
        <v>5000</v>
      </c>
      <c r="G1120" s="7">
        <f t="shared" si="86"/>
        <v>442.47787610619469</v>
      </c>
      <c r="H1120" s="7">
        <f t="shared" si="87"/>
        <v>14.749262536873154</v>
      </c>
      <c r="I1120" s="5" t="str">
        <f t="shared" si="88"/>
        <v>в достатке</v>
      </c>
      <c r="J1120" t="str">
        <f t="shared" si="89"/>
        <v>не нуждается в помощи</v>
      </c>
    </row>
    <row r="1121" spans="1:10" x14ac:dyDescent="0.2">
      <c r="A1121" s="4">
        <v>2199</v>
      </c>
      <c r="B1121" t="s">
        <v>3</v>
      </c>
      <c r="C1121" s="1">
        <v>5600</v>
      </c>
      <c r="D1121">
        <v>1</v>
      </c>
      <c r="E1121" t="s">
        <v>10</v>
      </c>
      <c r="F1121" s="6">
        <f t="shared" si="85"/>
        <v>5600</v>
      </c>
      <c r="G1121" s="7">
        <f t="shared" si="86"/>
        <v>495.57522123893801</v>
      </c>
      <c r="H1121" s="7">
        <f t="shared" si="87"/>
        <v>16.519174041297934</v>
      </c>
      <c r="I1121" s="5" t="str">
        <f t="shared" si="88"/>
        <v>в достатке</v>
      </c>
      <c r="J1121" t="str">
        <f t="shared" si="89"/>
        <v>не нуждается в помощи</v>
      </c>
    </row>
    <row r="1122" spans="1:10" x14ac:dyDescent="0.2">
      <c r="A1122" s="4">
        <v>2267</v>
      </c>
      <c r="B1122" t="s">
        <v>3</v>
      </c>
      <c r="C1122" s="1">
        <v>7200</v>
      </c>
      <c r="D1122">
        <v>1</v>
      </c>
      <c r="E1122" t="s">
        <v>11</v>
      </c>
      <c r="F1122" s="6">
        <f t="shared" si="85"/>
        <v>7200</v>
      </c>
      <c r="G1122" s="7">
        <f t="shared" si="86"/>
        <v>637.16814159292028</v>
      </c>
      <c r="H1122" s="7">
        <f t="shared" si="87"/>
        <v>21.238938053097343</v>
      </c>
      <c r="I1122" s="5" t="str">
        <f t="shared" si="88"/>
        <v>в достатке</v>
      </c>
      <c r="J1122" t="str">
        <f t="shared" si="89"/>
        <v>не нуждается в помощи</v>
      </c>
    </row>
    <row r="1123" spans="1:10" x14ac:dyDescent="0.2">
      <c r="A1123" s="4">
        <v>2078</v>
      </c>
      <c r="B1123" t="s">
        <v>3</v>
      </c>
      <c r="C1123" s="1">
        <v>7500</v>
      </c>
      <c r="D1123">
        <v>1</v>
      </c>
      <c r="E1123" t="s">
        <v>11</v>
      </c>
      <c r="F1123" s="6">
        <f t="shared" si="85"/>
        <v>7500</v>
      </c>
      <c r="G1123" s="7">
        <f t="shared" si="86"/>
        <v>663.71681415929197</v>
      </c>
      <c r="H1123" s="7">
        <f t="shared" si="87"/>
        <v>22.123893805309734</v>
      </c>
      <c r="I1123" s="5" t="str">
        <f t="shared" si="88"/>
        <v>в достатке</v>
      </c>
      <c r="J1123" t="str">
        <f t="shared" si="89"/>
        <v>не нуждается в помощи</v>
      </c>
    </row>
    <row r="1124" spans="1:10" x14ac:dyDescent="0.2">
      <c r="A1124" s="4">
        <v>6462</v>
      </c>
      <c r="B1124" t="s">
        <v>3</v>
      </c>
      <c r="C1124" s="1">
        <v>7500</v>
      </c>
      <c r="D1124">
        <v>1</v>
      </c>
      <c r="E1124" t="s">
        <v>11</v>
      </c>
      <c r="F1124" s="6">
        <f t="shared" si="85"/>
        <v>7500</v>
      </c>
      <c r="G1124" s="7">
        <f t="shared" si="86"/>
        <v>663.71681415929197</v>
      </c>
      <c r="H1124" s="7">
        <f t="shared" si="87"/>
        <v>22.123893805309734</v>
      </c>
      <c r="I1124" s="5" t="str">
        <f t="shared" si="88"/>
        <v>в достатке</v>
      </c>
      <c r="J1124" t="str">
        <f t="shared" si="89"/>
        <v>не нуждается в помощи</v>
      </c>
    </row>
    <row r="1125" spans="1:10" x14ac:dyDescent="0.2">
      <c r="A1125"/>
    </row>
    <row r="1126" spans="1:10" x14ac:dyDescent="0.2">
      <c r="A1126"/>
      <c r="F1126"/>
      <c r="G1126"/>
      <c r="H1126"/>
      <c r="I1126"/>
    </row>
    <row r="1127" spans="1:10" x14ac:dyDescent="0.2">
      <c r="A1127"/>
      <c r="F1127"/>
      <c r="G1127"/>
      <c r="H1127"/>
      <c r="I1127"/>
    </row>
    <row r="1128" spans="1:10" x14ac:dyDescent="0.2">
      <c r="A1128"/>
      <c r="F1128"/>
      <c r="G1128"/>
      <c r="H1128"/>
      <c r="I1128"/>
    </row>
    <row r="1129" spans="1:10" x14ac:dyDescent="0.2">
      <c r="A1129"/>
      <c r="F1129"/>
      <c r="G1129"/>
      <c r="H1129"/>
      <c r="I1129"/>
    </row>
    <row r="1130" spans="1:10" x14ac:dyDescent="0.2">
      <c r="A1130"/>
      <c r="F1130"/>
      <c r="G1130"/>
      <c r="H1130"/>
      <c r="I1130"/>
    </row>
    <row r="1131" spans="1:10" x14ac:dyDescent="0.2">
      <c r="A1131"/>
      <c r="F1131"/>
      <c r="G1131"/>
      <c r="H1131"/>
      <c r="I1131"/>
    </row>
    <row r="1132" spans="1:10" x14ac:dyDescent="0.2">
      <c r="A1132"/>
      <c r="F1132"/>
      <c r="G1132"/>
      <c r="H1132"/>
      <c r="I1132"/>
    </row>
    <row r="1133" spans="1:10" x14ac:dyDescent="0.2">
      <c r="A1133"/>
      <c r="F1133"/>
      <c r="G1133"/>
      <c r="H1133"/>
      <c r="I1133"/>
    </row>
    <row r="1134" spans="1:10" x14ac:dyDescent="0.2">
      <c r="A1134"/>
      <c r="F1134"/>
      <c r="G1134"/>
      <c r="H1134"/>
      <c r="I1134"/>
    </row>
    <row r="1135" spans="1:10" x14ac:dyDescent="0.2">
      <c r="A1135"/>
      <c r="F1135"/>
      <c r="G1135"/>
      <c r="H1135"/>
      <c r="I1135"/>
    </row>
    <row r="1136" spans="1:10" x14ac:dyDescent="0.2">
      <c r="A1136"/>
      <c r="F1136"/>
      <c r="G1136"/>
      <c r="H1136"/>
      <c r="I1136"/>
    </row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customFormat="1" x14ac:dyDescent="0.2"/>
    <row r="1394" customFormat="1" x14ac:dyDescent="0.2"/>
    <row r="1395" customFormat="1" x14ac:dyDescent="0.2"/>
    <row r="1396" customFormat="1" x14ac:dyDescent="0.2"/>
    <row r="1397" customFormat="1" x14ac:dyDescent="0.2"/>
    <row r="1398" customFormat="1" x14ac:dyDescent="0.2"/>
    <row r="1399" customFormat="1" x14ac:dyDescent="0.2"/>
    <row r="1400" customFormat="1" x14ac:dyDescent="0.2"/>
    <row r="1401" customFormat="1" x14ac:dyDescent="0.2"/>
    <row r="1402" customFormat="1" x14ac:dyDescent="0.2"/>
    <row r="1403" customFormat="1" x14ac:dyDescent="0.2"/>
    <row r="1404" customFormat="1" x14ac:dyDescent="0.2"/>
    <row r="1405" customFormat="1" x14ac:dyDescent="0.2"/>
    <row r="1406" customFormat="1" x14ac:dyDescent="0.2"/>
    <row r="1407" customFormat="1" x14ac:dyDescent="0.2"/>
    <row r="1408" customFormat="1" x14ac:dyDescent="0.2"/>
    <row r="1409" customFormat="1" x14ac:dyDescent="0.2"/>
    <row r="1410" customFormat="1" x14ac:dyDescent="0.2"/>
    <row r="1411" customFormat="1" x14ac:dyDescent="0.2"/>
    <row r="1412" customFormat="1" x14ac:dyDescent="0.2"/>
    <row r="1413" customFormat="1" x14ac:dyDescent="0.2"/>
    <row r="1414" customFormat="1" x14ac:dyDescent="0.2"/>
    <row r="1415" customFormat="1" x14ac:dyDescent="0.2"/>
    <row r="1416" customFormat="1" x14ac:dyDescent="0.2"/>
    <row r="1417" customFormat="1" x14ac:dyDescent="0.2"/>
    <row r="1418" customFormat="1" x14ac:dyDescent="0.2"/>
    <row r="1419" customFormat="1" x14ac:dyDescent="0.2"/>
    <row r="1420" customFormat="1" x14ac:dyDescent="0.2"/>
    <row r="1421" customFormat="1" x14ac:dyDescent="0.2"/>
    <row r="1422" customFormat="1" x14ac:dyDescent="0.2"/>
    <row r="1423" customFormat="1" x14ac:dyDescent="0.2"/>
    <row r="1424" customFormat="1" x14ac:dyDescent="0.2"/>
    <row r="1425" customFormat="1" x14ac:dyDescent="0.2"/>
    <row r="1426" customFormat="1" x14ac:dyDescent="0.2"/>
    <row r="1427" customFormat="1" x14ac:dyDescent="0.2"/>
    <row r="1428" customFormat="1" x14ac:dyDescent="0.2"/>
    <row r="1429" customFormat="1" x14ac:dyDescent="0.2"/>
    <row r="1430" customFormat="1" x14ac:dyDescent="0.2"/>
    <row r="1431" customFormat="1" x14ac:dyDescent="0.2"/>
    <row r="1432" customFormat="1" x14ac:dyDescent="0.2"/>
    <row r="1433" customFormat="1" x14ac:dyDescent="0.2"/>
    <row r="1434" customFormat="1" x14ac:dyDescent="0.2"/>
    <row r="1435" customFormat="1" x14ac:dyDescent="0.2"/>
    <row r="1436" customFormat="1" x14ac:dyDescent="0.2"/>
    <row r="1437" customFormat="1" x14ac:dyDescent="0.2"/>
    <row r="1438" customFormat="1" x14ac:dyDescent="0.2"/>
    <row r="1439" customFormat="1" x14ac:dyDescent="0.2"/>
    <row r="1440" customFormat="1" x14ac:dyDescent="0.2"/>
    <row r="1441" customFormat="1" x14ac:dyDescent="0.2"/>
    <row r="1442" customFormat="1" x14ac:dyDescent="0.2"/>
    <row r="1443" customFormat="1" x14ac:dyDescent="0.2"/>
    <row r="1444" customFormat="1" x14ac:dyDescent="0.2"/>
    <row r="1445" customFormat="1" x14ac:dyDescent="0.2"/>
    <row r="1446" customFormat="1" x14ac:dyDescent="0.2"/>
    <row r="1447" customFormat="1" x14ac:dyDescent="0.2"/>
    <row r="1448" customFormat="1" x14ac:dyDescent="0.2"/>
    <row r="1449" customFormat="1" x14ac:dyDescent="0.2"/>
    <row r="1450" customFormat="1" x14ac:dyDescent="0.2"/>
    <row r="1451" customFormat="1" x14ac:dyDescent="0.2"/>
    <row r="1452" customFormat="1" x14ac:dyDescent="0.2"/>
    <row r="1453" customFormat="1" x14ac:dyDescent="0.2"/>
    <row r="1454" customFormat="1" x14ac:dyDescent="0.2"/>
    <row r="1455" customFormat="1" x14ac:dyDescent="0.2"/>
    <row r="1456" customFormat="1" x14ac:dyDescent="0.2"/>
    <row r="1457" customFormat="1" x14ac:dyDescent="0.2"/>
    <row r="1458" customFormat="1" x14ac:dyDescent="0.2"/>
    <row r="1459" customFormat="1" x14ac:dyDescent="0.2"/>
    <row r="1460" customFormat="1" x14ac:dyDescent="0.2"/>
    <row r="1461" customFormat="1" x14ac:dyDescent="0.2"/>
    <row r="1462" customFormat="1" x14ac:dyDescent="0.2"/>
    <row r="1463" customFormat="1" x14ac:dyDescent="0.2"/>
    <row r="1464" customFormat="1" x14ac:dyDescent="0.2"/>
    <row r="1465" customFormat="1" x14ac:dyDescent="0.2"/>
    <row r="1466" customFormat="1" x14ac:dyDescent="0.2"/>
    <row r="1467" customFormat="1" x14ac:dyDescent="0.2"/>
    <row r="1468" customFormat="1" x14ac:dyDescent="0.2"/>
    <row r="1469" customFormat="1" x14ac:dyDescent="0.2"/>
    <row r="1470" customFormat="1" x14ac:dyDescent="0.2"/>
    <row r="1471" customFormat="1" x14ac:dyDescent="0.2"/>
    <row r="1472" customFormat="1" x14ac:dyDescent="0.2"/>
    <row r="1473" customFormat="1" x14ac:dyDescent="0.2"/>
    <row r="1474" customFormat="1" x14ac:dyDescent="0.2"/>
    <row r="1475" customFormat="1" x14ac:dyDescent="0.2"/>
    <row r="1476" customFormat="1" x14ac:dyDescent="0.2"/>
    <row r="1477" customFormat="1" x14ac:dyDescent="0.2"/>
    <row r="1478" customFormat="1" x14ac:dyDescent="0.2"/>
    <row r="1479" customFormat="1" x14ac:dyDescent="0.2"/>
    <row r="1480" customFormat="1" x14ac:dyDescent="0.2"/>
    <row r="1481" customFormat="1" x14ac:dyDescent="0.2"/>
    <row r="1482" customFormat="1" x14ac:dyDescent="0.2"/>
    <row r="1483" customFormat="1" x14ac:dyDescent="0.2"/>
    <row r="1484" customFormat="1" x14ac:dyDescent="0.2"/>
    <row r="1485" customFormat="1" x14ac:dyDescent="0.2"/>
    <row r="1486" customFormat="1" x14ac:dyDescent="0.2"/>
    <row r="1487" customFormat="1" x14ac:dyDescent="0.2"/>
    <row r="1488" customFormat="1" x14ac:dyDescent="0.2"/>
    <row r="1489" customFormat="1" x14ac:dyDescent="0.2"/>
    <row r="1490" customFormat="1" x14ac:dyDescent="0.2"/>
    <row r="1491" customFormat="1" x14ac:dyDescent="0.2"/>
    <row r="1492" customFormat="1" x14ac:dyDescent="0.2"/>
    <row r="1493" customFormat="1" x14ac:dyDescent="0.2"/>
    <row r="1494" customFormat="1" x14ac:dyDescent="0.2"/>
    <row r="1495" customFormat="1" x14ac:dyDescent="0.2"/>
    <row r="1496" customFormat="1" x14ac:dyDescent="0.2"/>
    <row r="1497" customFormat="1" x14ac:dyDescent="0.2"/>
    <row r="1498" customFormat="1" x14ac:dyDescent="0.2"/>
    <row r="1499" customFormat="1" x14ac:dyDescent="0.2"/>
    <row r="1500" customFormat="1" x14ac:dyDescent="0.2"/>
    <row r="1501" customFormat="1" x14ac:dyDescent="0.2"/>
    <row r="1502" customFormat="1" x14ac:dyDescent="0.2"/>
    <row r="1503" customFormat="1" x14ac:dyDescent="0.2"/>
    <row r="1504" customFormat="1" x14ac:dyDescent="0.2"/>
    <row r="1505" customFormat="1" x14ac:dyDescent="0.2"/>
    <row r="1506" customFormat="1" x14ac:dyDescent="0.2"/>
    <row r="1507" customFormat="1" x14ac:dyDescent="0.2"/>
    <row r="1508" customFormat="1" x14ac:dyDescent="0.2"/>
    <row r="1509" customFormat="1" x14ac:dyDescent="0.2"/>
    <row r="1510" customFormat="1" x14ac:dyDescent="0.2"/>
    <row r="1511" customFormat="1" x14ac:dyDescent="0.2"/>
    <row r="1512" customFormat="1" x14ac:dyDescent="0.2"/>
    <row r="1513" customFormat="1" x14ac:dyDescent="0.2"/>
    <row r="1514" customFormat="1" x14ac:dyDescent="0.2"/>
    <row r="1515" customFormat="1" x14ac:dyDescent="0.2"/>
    <row r="1516" customFormat="1" x14ac:dyDescent="0.2"/>
    <row r="1517" customFormat="1" x14ac:dyDescent="0.2"/>
    <row r="1518" customFormat="1" x14ac:dyDescent="0.2"/>
    <row r="1519" customFormat="1" x14ac:dyDescent="0.2"/>
    <row r="1520" customFormat="1" x14ac:dyDescent="0.2"/>
    <row r="1521" customFormat="1" x14ac:dyDescent="0.2"/>
    <row r="1522" customFormat="1" x14ac:dyDescent="0.2"/>
    <row r="1523" customFormat="1" x14ac:dyDescent="0.2"/>
    <row r="1524" customFormat="1" x14ac:dyDescent="0.2"/>
    <row r="1525" customFormat="1" x14ac:dyDescent="0.2"/>
    <row r="1526" customFormat="1" x14ac:dyDescent="0.2"/>
    <row r="1527" customFormat="1" x14ac:dyDescent="0.2"/>
    <row r="1528" customFormat="1" x14ac:dyDescent="0.2"/>
    <row r="1529" customFormat="1" x14ac:dyDescent="0.2"/>
    <row r="1530" customFormat="1" x14ac:dyDescent="0.2"/>
    <row r="1531" customFormat="1" x14ac:dyDescent="0.2"/>
    <row r="1532" customFormat="1" x14ac:dyDescent="0.2"/>
    <row r="1533" customFormat="1" x14ac:dyDescent="0.2"/>
    <row r="1534" customFormat="1" x14ac:dyDescent="0.2"/>
    <row r="1535" customFormat="1" x14ac:dyDescent="0.2"/>
    <row r="1536" customFormat="1" x14ac:dyDescent="0.2"/>
    <row r="1537" customFormat="1" x14ac:dyDescent="0.2"/>
    <row r="1538" customFormat="1" x14ac:dyDescent="0.2"/>
    <row r="1539" customFormat="1" x14ac:dyDescent="0.2"/>
    <row r="1540" customFormat="1" x14ac:dyDescent="0.2"/>
    <row r="1541" customFormat="1" x14ac:dyDescent="0.2"/>
    <row r="1542" customFormat="1" x14ac:dyDescent="0.2"/>
    <row r="1543" customFormat="1" x14ac:dyDescent="0.2"/>
    <row r="1544" customFormat="1" x14ac:dyDescent="0.2"/>
    <row r="1545" customFormat="1" x14ac:dyDescent="0.2"/>
    <row r="1546" customFormat="1" x14ac:dyDescent="0.2"/>
    <row r="1547" customFormat="1" x14ac:dyDescent="0.2"/>
    <row r="1548" customFormat="1" x14ac:dyDescent="0.2"/>
    <row r="1549" customFormat="1" x14ac:dyDescent="0.2"/>
    <row r="1550" customFormat="1" x14ac:dyDescent="0.2"/>
    <row r="1551" customFormat="1" x14ac:dyDescent="0.2"/>
    <row r="1552" customFormat="1" x14ac:dyDescent="0.2"/>
    <row r="1553" customFormat="1" x14ac:dyDescent="0.2"/>
    <row r="1554" customFormat="1" x14ac:dyDescent="0.2"/>
    <row r="1555" customFormat="1" x14ac:dyDescent="0.2"/>
    <row r="1556" customFormat="1" x14ac:dyDescent="0.2"/>
    <row r="1557" customFormat="1" x14ac:dyDescent="0.2"/>
    <row r="1558" customFormat="1" x14ac:dyDescent="0.2"/>
    <row r="1559" customFormat="1" x14ac:dyDescent="0.2"/>
    <row r="1560" customFormat="1" x14ac:dyDescent="0.2"/>
    <row r="1561" customFormat="1" x14ac:dyDescent="0.2"/>
    <row r="1562" customFormat="1" x14ac:dyDescent="0.2"/>
    <row r="1563" customFormat="1" x14ac:dyDescent="0.2"/>
    <row r="1564" customFormat="1" x14ac:dyDescent="0.2"/>
    <row r="1565" customFormat="1" x14ac:dyDescent="0.2"/>
    <row r="1566" customFormat="1" x14ac:dyDescent="0.2"/>
    <row r="1567" customFormat="1" x14ac:dyDescent="0.2"/>
    <row r="1568" customFormat="1" x14ac:dyDescent="0.2"/>
    <row r="1569" customFormat="1" x14ac:dyDescent="0.2"/>
    <row r="1570" customFormat="1" x14ac:dyDescent="0.2"/>
    <row r="1571" customFormat="1" x14ac:dyDescent="0.2"/>
    <row r="1572" customFormat="1" x14ac:dyDescent="0.2"/>
    <row r="1573" customFormat="1" x14ac:dyDescent="0.2"/>
    <row r="1574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0" customFormat="1" x14ac:dyDescent="0.2"/>
    <row r="1581" customFormat="1" x14ac:dyDescent="0.2"/>
    <row r="1582" customFormat="1" x14ac:dyDescent="0.2"/>
    <row r="1583" customFormat="1" x14ac:dyDescent="0.2"/>
    <row r="1584" customFormat="1" x14ac:dyDescent="0.2"/>
    <row r="1585" customFormat="1" x14ac:dyDescent="0.2"/>
    <row r="1586" customFormat="1" x14ac:dyDescent="0.2"/>
    <row r="1587" customFormat="1" x14ac:dyDescent="0.2"/>
    <row r="1588" customFormat="1" x14ac:dyDescent="0.2"/>
    <row r="1589" customFormat="1" x14ac:dyDescent="0.2"/>
    <row r="1590" customFormat="1" x14ac:dyDescent="0.2"/>
    <row r="1591" customFormat="1" x14ac:dyDescent="0.2"/>
    <row r="1592" customFormat="1" x14ac:dyDescent="0.2"/>
    <row r="1593" customFormat="1" x14ac:dyDescent="0.2"/>
    <row r="1594" customFormat="1" x14ac:dyDescent="0.2"/>
    <row r="1595" customFormat="1" x14ac:dyDescent="0.2"/>
    <row r="1596" customFormat="1" x14ac:dyDescent="0.2"/>
    <row r="1597" customFormat="1" x14ac:dyDescent="0.2"/>
    <row r="1598" customFormat="1" x14ac:dyDescent="0.2"/>
    <row r="1599" customFormat="1" x14ac:dyDescent="0.2"/>
    <row r="1600" customFormat="1" x14ac:dyDescent="0.2"/>
    <row r="1601" customFormat="1" x14ac:dyDescent="0.2"/>
    <row r="1602" customFormat="1" x14ac:dyDescent="0.2"/>
    <row r="1603" customFormat="1" x14ac:dyDescent="0.2"/>
    <row r="1604" customFormat="1" x14ac:dyDescent="0.2"/>
    <row r="1605" customFormat="1" x14ac:dyDescent="0.2"/>
    <row r="1606" customFormat="1" x14ac:dyDescent="0.2"/>
    <row r="1607" customFormat="1" x14ac:dyDescent="0.2"/>
    <row r="1608" customFormat="1" x14ac:dyDescent="0.2"/>
    <row r="1609" customFormat="1" x14ac:dyDescent="0.2"/>
    <row r="1610" customFormat="1" x14ac:dyDescent="0.2"/>
    <row r="1611" customFormat="1" x14ac:dyDescent="0.2"/>
    <row r="1612" customFormat="1" x14ac:dyDescent="0.2"/>
    <row r="1613" customFormat="1" x14ac:dyDescent="0.2"/>
    <row r="1614" customFormat="1" x14ac:dyDescent="0.2"/>
    <row r="1615" customFormat="1" x14ac:dyDescent="0.2"/>
    <row r="1616" customFormat="1" x14ac:dyDescent="0.2"/>
    <row r="1617" customFormat="1" x14ac:dyDescent="0.2"/>
    <row r="1618" customFormat="1" x14ac:dyDescent="0.2"/>
    <row r="1619" customFormat="1" x14ac:dyDescent="0.2"/>
    <row r="1620" customFormat="1" x14ac:dyDescent="0.2"/>
    <row r="1621" customFormat="1" x14ac:dyDescent="0.2"/>
    <row r="1622" customFormat="1" x14ac:dyDescent="0.2"/>
    <row r="1623" customFormat="1" x14ac:dyDescent="0.2"/>
    <row r="1624" customFormat="1" x14ac:dyDescent="0.2"/>
    <row r="1625" customFormat="1" x14ac:dyDescent="0.2"/>
    <row r="1626" customFormat="1" x14ac:dyDescent="0.2"/>
    <row r="1627" customFormat="1" x14ac:dyDescent="0.2"/>
    <row r="1628" customFormat="1" x14ac:dyDescent="0.2"/>
    <row r="1629" customFormat="1" x14ac:dyDescent="0.2"/>
    <row r="1630" customFormat="1" x14ac:dyDescent="0.2"/>
    <row r="1631" customFormat="1" x14ac:dyDescent="0.2"/>
    <row r="1632" customFormat="1" x14ac:dyDescent="0.2"/>
    <row r="1633" customFormat="1" x14ac:dyDescent="0.2"/>
    <row r="1634" customFormat="1" x14ac:dyDescent="0.2"/>
    <row r="1635" customFormat="1" x14ac:dyDescent="0.2"/>
    <row r="1636" customFormat="1" x14ac:dyDescent="0.2"/>
    <row r="1637" customFormat="1" x14ac:dyDescent="0.2"/>
    <row r="1638" customFormat="1" x14ac:dyDescent="0.2"/>
    <row r="1639" customFormat="1" x14ac:dyDescent="0.2"/>
    <row r="1640" customFormat="1" x14ac:dyDescent="0.2"/>
    <row r="1641" customFormat="1" x14ac:dyDescent="0.2"/>
    <row r="1642" customFormat="1" x14ac:dyDescent="0.2"/>
    <row r="1643" customFormat="1" x14ac:dyDescent="0.2"/>
    <row r="1644" customFormat="1" x14ac:dyDescent="0.2"/>
    <row r="1645" customFormat="1" x14ac:dyDescent="0.2"/>
    <row r="1646" customFormat="1" x14ac:dyDescent="0.2"/>
    <row r="1647" customFormat="1" x14ac:dyDescent="0.2"/>
    <row r="1648" customFormat="1" x14ac:dyDescent="0.2"/>
    <row r="1649" customFormat="1" x14ac:dyDescent="0.2"/>
    <row r="1650" customFormat="1" x14ac:dyDescent="0.2"/>
    <row r="1651" customFormat="1" x14ac:dyDescent="0.2"/>
    <row r="1652" customFormat="1" x14ac:dyDescent="0.2"/>
    <row r="1653" customFormat="1" x14ac:dyDescent="0.2"/>
    <row r="1654" customFormat="1" x14ac:dyDescent="0.2"/>
    <row r="1655" customFormat="1" x14ac:dyDescent="0.2"/>
    <row r="1656" customFormat="1" x14ac:dyDescent="0.2"/>
    <row r="1657" customFormat="1" x14ac:dyDescent="0.2"/>
    <row r="1658" customFormat="1" x14ac:dyDescent="0.2"/>
    <row r="1659" customFormat="1" x14ac:dyDescent="0.2"/>
    <row r="1660" customFormat="1" x14ac:dyDescent="0.2"/>
    <row r="1661" customFormat="1" x14ac:dyDescent="0.2"/>
    <row r="1662" customFormat="1" x14ac:dyDescent="0.2"/>
    <row r="1663" customFormat="1" x14ac:dyDescent="0.2"/>
    <row r="1664" customFormat="1" x14ac:dyDescent="0.2"/>
    <row r="1665" customFormat="1" x14ac:dyDescent="0.2"/>
    <row r="1666" customFormat="1" x14ac:dyDescent="0.2"/>
    <row r="1667" customFormat="1" x14ac:dyDescent="0.2"/>
    <row r="1668" customFormat="1" x14ac:dyDescent="0.2"/>
    <row r="1669" customFormat="1" x14ac:dyDescent="0.2"/>
    <row r="1670" customFormat="1" x14ac:dyDescent="0.2"/>
    <row r="1671" customFormat="1" x14ac:dyDescent="0.2"/>
    <row r="1672" customFormat="1" x14ac:dyDescent="0.2"/>
    <row r="1673" customFormat="1" x14ac:dyDescent="0.2"/>
    <row r="1674" customFormat="1" x14ac:dyDescent="0.2"/>
    <row r="1675" customFormat="1" x14ac:dyDescent="0.2"/>
    <row r="1676" customFormat="1" x14ac:dyDescent="0.2"/>
    <row r="1677" customFormat="1" x14ac:dyDescent="0.2"/>
    <row r="1678" customFormat="1" x14ac:dyDescent="0.2"/>
    <row r="1679" customFormat="1" x14ac:dyDescent="0.2"/>
    <row r="1680" customFormat="1" x14ac:dyDescent="0.2"/>
    <row r="1681" customFormat="1" x14ac:dyDescent="0.2"/>
    <row r="1682" customFormat="1" x14ac:dyDescent="0.2"/>
    <row r="1683" customFormat="1" x14ac:dyDescent="0.2"/>
    <row r="1684" customFormat="1" x14ac:dyDescent="0.2"/>
    <row r="1685" customFormat="1" x14ac:dyDescent="0.2"/>
    <row r="1686" customFormat="1" x14ac:dyDescent="0.2"/>
    <row r="1687" customFormat="1" x14ac:dyDescent="0.2"/>
    <row r="1688" customFormat="1" x14ac:dyDescent="0.2"/>
    <row r="1689" customFormat="1" x14ac:dyDescent="0.2"/>
    <row r="1690" customFormat="1" x14ac:dyDescent="0.2"/>
    <row r="1691" customFormat="1" x14ac:dyDescent="0.2"/>
    <row r="1692" customFormat="1" x14ac:dyDescent="0.2"/>
    <row r="1693" customFormat="1" x14ac:dyDescent="0.2"/>
    <row r="1694" customFormat="1" x14ac:dyDescent="0.2"/>
    <row r="1695" customFormat="1" x14ac:dyDescent="0.2"/>
    <row r="1696" customFormat="1" x14ac:dyDescent="0.2"/>
    <row r="1697" customFormat="1" x14ac:dyDescent="0.2"/>
    <row r="1698" customFormat="1" x14ac:dyDescent="0.2"/>
    <row r="1699" customFormat="1" x14ac:dyDescent="0.2"/>
    <row r="1700" customFormat="1" x14ac:dyDescent="0.2"/>
    <row r="1701" customFormat="1" x14ac:dyDescent="0.2"/>
    <row r="1702" customFormat="1" x14ac:dyDescent="0.2"/>
    <row r="1703" customFormat="1" x14ac:dyDescent="0.2"/>
    <row r="1704" customFormat="1" x14ac:dyDescent="0.2"/>
    <row r="1705" customFormat="1" x14ac:dyDescent="0.2"/>
    <row r="1706" customFormat="1" x14ac:dyDescent="0.2"/>
    <row r="1707" customFormat="1" x14ac:dyDescent="0.2"/>
    <row r="1708" customFormat="1" x14ac:dyDescent="0.2"/>
    <row r="1709" customFormat="1" x14ac:dyDescent="0.2"/>
    <row r="1710" customFormat="1" x14ac:dyDescent="0.2"/>
    <row r="1711" customFormat="1" x14ac:dyDescent="0.2"/>
    <row r="1712" customFormat="1" x14ac:dyDescent="0.2"/>
    <row r="1713" customFormat="1" x14ac:dyDescent="0.2"/>
    <row r="1714" customFormat="1" x14ac:dyDescent="0.2"/>
    <row r="1715" customFormat="1" x14ac:dyDescent="0.2"/>
    <row r="1716" customFormat="1" x14ac:dyDescent="0.2"/>
    <row r="1717" customFormat="1" x14ac:dyDescent="0.2"/>
    <row r="1718" customFormat="1" x14ac:dyDescent="0.2"/>
    <row r="1719" customFormat="1" x14ac:dyDescent="0.2"/>
    <row r="1720" customFormat="1" x14ac:dyDescent="0.2"/>
    <row r="1721" customFormat="1" x14ac:dyDescent="0.2"/>
    <row r="1722" customFormat="1" x14ac:dyDescent="0.2"/>
    <row r="1723" customFormat="1" x14ac:dyDescent="0.2"/>
    <row r="1724" customFormat="1" x14ac:dyDescent="0.2"/>
    <row r="1725" customFormat="1" x14ac:dyDescent="0.2"/>
    <row r="1726" customFormat="1" x14ac:dyDescent="0.2"/>
    <row r="1727" customFormat="1" x14ac:dyDescent="0.2"/>
    <row r="1728" customFormat="1" x14ac:dyDescent="0.2"/>
    <row r="1729" customFormat="1" x14ac:dyDescent="0.2"/>
    <row r="1730" customFormat="1" x14ac:dyDescent="0.2"/>
    <row r="1731" customFormat="1" x14ac:dyDescent="0.2"/>
    <row r="1732" customFormat="1" x14ac:dyDescent="0.2"/>
    <row r="1733" customFormat="1" x14ac:dyDescent="0.2"/>
    <row r="1734" customFormat="1" x14ac:dyDescent="0.2"/>
    <row r="1735" customFormat="1" x14ac:dyDescent="0.2"/>
    <row r="1736" customFormat="1" x14ac:dyDescent="0.2"/>
    <row r="1737" customFormat="1" x14ac:dyDescent="0.2"/>
    <row r="1738" customFormat="1" x14ac:dyDescent="0.2"/>
    <row r="1739" customFormat="1" x14ac:dyDescent="0.2"/>
    <row r="1740" customFormat="1" x14ac:dyDescent="0.2"/>
    <row r="1741" customFormat="1" x14ac:dyDescent="0.2"/>
    <row r="1742" customFormat="1" x14ac:dyDescent="0.2"/>
    <row r="1743" customFormat="1" x14ac:dyDescent="0.2"/>
    <row r="1744" customFormat="1" x14ac:dyDescent="0.2"/>
    <row r="1745" customFormat="1" x14ac:dyDescent="0.2"/>
    <row r="1746" customFormat="1" x14ac:dyDescent="0.2"/>
    <row r="1747" customFormat="1" x14ac:dyDescent="0.2"/>
    <row r="1748" customFormat="1" x14ac:dyDescent="0.2"/>
    <row r="1749" customFormat="1" x14ac:dyDescent="0.2"/>
    <row r="1750" customFormat="1" x14ac:dyDescent="0.2"/>
    <row r="1751" customFormat="1" x14ac:dyDescent="0.2"/>
    <row r="1752" customFormat="1" x14ac:dyDescent="0.2"/>
    <row r="1753" customFormat="1" x14ac:dyDescent="0.2"/>
    <row r="1754" customFormat="1" x14ac:dyDescent="0.2"/>
    <row r="1755" customFormat="1" x14ac:dyDescent="0.2"/>
    <row r="1756" customFormat="1" x14ac:dyDescent="0.2"/>
    <row r="1757" customFormat="1" x14ac:dyDescent="0.2"/>
    <row r="1758" customFormat="1" x14ac:dyDescent="0.2"/>
    <row r="1759" customFormat="1" x14ac:dyDescent="0.2"/>
    <row r="1760" customFormat="1" x14ac:dyDescent="0.2"/>
    <row r="1761" customFormat="1" x14ac:dyDescent="0.2"/>
    <row r="1762" customFormat="1" x14ac:dyDescent="0.2"/>
    <row r="1763" customFormat="1" x14ac:dyDescent="0.2"/>
    <row r="1764" customFormat="1" x14ac:dyDescent="0.2"/>
    <row r="1765" customFormat="1" x14ac:dyDescent="0.2"/>
    <row r="1766" customFormat="1" x14ac:dyDescent="0.2"/>
    <row r="1767" customFormat="1" x14ac:dyDescent="0.2"/>
    <row r="1768" customFormat="1" x14ac:dyDescent="0.2"/>
    <row r="1769" customFormat="1" x14ac:dyDescent="0.2"/>
    <row r="1770" customFormat="1" x14ac:dyDescent="0.2"/>
    <row r="1771" customFormat="1" x14ac:dyDescent="0.2"/>
    <row r="1772" customFormat="1" x14ac:dyDescent="0.2"/>
    <row r="1773" customFormat="1" x14ac:dyDescent="0.2"/>
    <row r="1774" customFormat="1" x14ac:dyDescent="0.2"/>
    <row r="1775" customFormat="1" x14ac:dyDescent="0.2"/>
    <row r="1776" customFormat="1" x14ac:dyDescent="0.2"/>
    <row r="1777" customFormat="1" x14ac:dyDescent="0.2"/>
    <row r="1778" customFormat="1" x14ac:dyDescent="0.2"/>
    <row r="1779" customFormat="1" x14ac:dyDescent="0.2"/>
    <row r="1780" customFormat="1" x14ac:dyDescent="0.2"/>
    <row r="1781" customFormat="1" x14ac:dyDescent="0.2"/>
    <row r="1782" customFormat="1" x14ac:dyDescent="0.2"/>
    <row r="1783" customFormat="1" x14ac:dyDescent="0.2"/>
    <row r="1784" customFormat="1" x14ac:dyDescent="0.2"/>
    <row r="1785" customFormat="1" x14ac:dyDescent="0.2"/>
    <row r="1786" customFormat="1" x14ac:dyDescent="0.2"/>
    <row r="1787" customFormat="1" x14ac:dyDescent="0.2"/>
    <row r="1788" customFormat="1" x14ac:dyDescent="0.2"/>
    <row r="1789" customFormat="1" x14ac:dyDescent="0.2"/>
    <row r="1790" customFormat="1" x14ac:dyDescent="0.2"/>
    <row r="1791" customFormat="1" x14ac:dyDescent="0.2"/>
    <row r="1792" customFormat="1" x14ac:dyDescent="0.2"/>
    <row r="1793" customFormat="1" x14ac:dyDescent="0.2"/>
    <row r="1794" customFormat="1" x14ac:dyDescent="0.2"/>
    <row r="1795" customFormat="1" x14ac:dyDescent="0.2"/>
    <row r="1796" customFormat="1" x14ac:dyDescent="0.2"/>
    <row r="1797" customFormat="1" x14ac:dyDescent="0.2"/>
    <row r="1798" customFormat="1" x14ac:dyDescent="0.2"/>
    <row r="1799" customFormat="1" x14ac:dyDescent="0.2"/>
    <row r="1800" customFormat="1" x14ac:dyDescent="0.2"/>
    <row r="1801" customFormat="1" x14ac:dyDescent="0.2"/>
    <row r="1802" customFormat="1" x14ac:dyDescent="0.2"/>
    <row r="1803" customFormat="1" x14ac:dyDescent="0.2"/>
    <row r="1804" customFormat="1" x14ac:dyDescent="0.2"/>
    <row r="1805" customFormat="1" x14ac:dyDescent="0.2"/>
    <row r="1806" customFormat="1" x14ac:dyDescent="0.2"/>
    <row r="1807" customFormat="1" x14ac:dyDescent="0.2"/>
    <row r="1808" customFormat="1" x14ac:dyDescent="0.2"/>
    <row r="1809" customFormat="1" x14ac:dyDescent="0.2"/>
    <row r="1810" customFormat="1" x14ac:dyDescent="0.2"/>
    <row r="1811" customFormat="1" x14ac:dyDescent="0.2"/>
    <row r="1812" customFormat="1" x14ac:dyDescent="0.2"/>
    <row r="1813" customFormat="1" x14ac:dyDescent="0.2"/>
    <row r="1814" customFormat="1" x14ac:dyDescent="0.2"/>
    <row r="1815" customFormat="1" x14ac:dyDescent="0.2"/>
    <row r="1816" customFormat="1" x14ac:dyDescent="0.2"/>
    <row r="1817" customFormat="1" x14ac:dyDescent="0.2"/>
    <row r="1818" customFormat="1" x14ac:dyDescent="0.2"/>
    <row r="1819" customFormat="1" x14ac:dyDescent="0.2"/>
    <row r="1820" customFormat="1" x14ac:dyDescent="0.2"/>
    <row r="1821" customFormat="1" x14ac:dyDescent="0.2"/>
    <row r="1822" customFormat="1" x14ac:dyDescent="0.2"/>
    <row r="1823" customFormat="1" x14ac:dyDescent="0.2"/>
    <row r="1824" customFormat="1" x14ac:dyDescent="0.2"/>
    <row r="1825" customFormat="1" x14ac:dyDescent="0.2"/>
    <row r="1826" customFormat="1" x14ac:dyDescent="0.2"/>
    <row r="1827" customFormat="1" x14ac:dyDescent="0.2"/>
    <row r="1828" customFormat="1" x14ac:dyDescent="0.2"/>
    <row r="1829" customFormat="1" x14ac:dyDescent="0.2"/>
    <row r="1830" customFormat="1" x14ac:dyDescent="0.2"/>
    <row r="1831" customFormat="1" x14ac:dyDescent="0.2"/>
    <row r="1832" customFormat="1" x14ac:dyDescent="0.2"/>
    <row r="1833" customFormat="1" x14ac:dyDescent="0.2"/>
    <row r="1834" customFormat="1" x14ac:dyDescent="0.2"/>
    <row r="1835" customFormat="1" x14ac:dyDescent="0.2"/>
    <row r="1836" customFormat="1" x14ac:dyDescent="0.2"/>
    <row r="1837" customFormat="1" x14ac:dyDescent="0.2"/>
    <row r="1838" customFormat="1" x14ac:dyDescent="0.2"/>
    <row r="1839" customFormat="1" x14ac:dyDescent="0.2"/>
    <row r="1840" customFormat="1" x14ac:dyDescent="0.2"/>
    <row r="1841" customFormat="1" x14ac:dyDescent="0.2"/>
    <row r="1842" customFormat="1" x14ac:dyDescent="0.2"/>
    <row r="1843" customFormat="1" x14ac:dyDescent="0.2"/>
    <row r="1844" customFormat="1" x14ac:dyDescent="0.2"/>
    <row r="1845" customFormat="1" x14ac:dyDescent="0.2"/>
    <row r="1846" customFormat="1" x14ac:dyDescent="0.2"/>
    <row r="1847" customFormat="1" x14ac:dyDescent="0.2"/>
    <row r="1848" customFormat="1" x14ac:dyDescent="0.2"/>
    <row r="1849" customFormat="1" x14ac:dyDescent="0.2"/>
    <row r="1850" customFormat="1" x14ac:dyDescent="0.2"/>
    <row r="1851" customFormat="1" x14ac:dyDescent="0.2"/>
    <row r="1852" customFormat="1" x14ac:dyDescent="0.2"/>
    <row r="1853" customFormat="1" x14ac:dyDescent="0.2"/>
    <row r="1854" customFormat="1" x14ac:dyDescent="0.2"/>
    <row r="1855" customFormat="1" x14ac:dyDescent="0.2"/>
    <row r="1856" customFormat="1" x14ac:dyDescent="0.2"/>
    <row r="1857" customFormat="1" x14ac:dyDescent="0.2"/>
    <row r="1858" customFormat="1" x14ac:dyDescent="0.2"/>
    <row r="1859" customFormat="1" x14ac:dyDescent="0.2"/>
    <row r="1860" customFormat="1" x14ac:dyDescent="0.2"/>
    <row r="1861" customFormat="1" x14ac:dyDescent="0.2"/>
    <row r="1862" customFormat="1" x14ac:dyDescent="0.2"/>
    <row r="1863" customFormat="1" x14ac:dyDescent="0.2"/>
    <row r="1864" customFormat="1" x14ac:dyDescent="0.2"/>
    <row r="1865" customFormat="1" x14ac:dyDescent="0.2"/>
    <row r="1866" customFormat="1" x14ac:dyDescent="0.2"/>
    <row r="1867" customFormat="1" x14ac:dyDescent="0.2"/>
  </sheetData>
  <conditionalFormatting sqref="A2">
    <cfRule type="duplicateValues" dxfId="18" priority="17"/>
  </conditionalFormatting>
  <conditionalFormatting sqref="A1:A1124 A1868:A1048576">
    <cfRule type="duplicateValues" dxfId="17" priority="16"/>
  </conditionalFormatting>
  <conditionalFormatting sqref="I1:I1124 I1868:I1048576">
    <cfRule type="containsText" dxfId="16" priority="11" operator="containsText" text="в достатке">
      <formula>NOT(ISERROR(SEARCH("в достатке",I1)))</formula>
    </cfRule>
  </conditionalFormatting>
  <conditionalFormatting sqref="I1:I1124">
    <cfRule type="containsText" dxfId="15" priority="12" operator="containsText" text="средний">
      <formula>NOT(ISERROR(SEARCH("средний",I1)))</formula>
    </cfRule>
  </conditionalFormatting>
  <conditionalFormatting sqref="I2:I1124">
    <cfRule type="containsText" dxfId="14" priority="13" operator="containsText" text="ниже среднего">
      <formula>NOT(ISERROR(SEARCH("ниже среднего",I2)))</formula>
    </cfRule>
    <cfRule type="containsText" dxfId="13" priority="14" operator="containsText" text="крайняя бедность">
      <formula>NOT(ISERROR(SEARCH("крайняя бедность",I2)))</formula>
    </cfRule>
    <cfRule type="containsText" dxfId="12" priority="15" operator="containsText" text="бедность">
      <formula>NOT(ISERROR(SEARCH("бедность",I2)))</formula>
    </cfRule>
  </conditionalFormatting>
  <conditionalFormatting sqref="I1125">
    <cfRule type="containsText" dxfId="11" priority="4" operator="containsText" text="в достатке">
      <formula>NOT(ISERROR(SEARCH("в достатке",I1125)))</formula>
    </cfRule>
  </conditionalFormatting>
  <conditionalFormatting sqref="I1125">
    <cfRule type="containsText" dxfId="10" priority="5" operator="containsText" text="средний">
      <formula>NOT(ISERROR(SEARCH("средний",I1125)))</formula>
    </cfRule>
  </conditionalFormatting>
  <conditionalFormatting sqref="I1125">
    <cfRule type="containsText" dxfId="9" priority="6" operator="containsText" text="ниже среднего">
      <formula>NOT(ISERROR(SEARCH("ниже среднего",I1125)))</formula>
    </cfRule>
    <cfRule type="containsText" dxfId="8" priority="7" operator="containsText" text="крайняя бедность">
      <formula>NOT(ISERROR(SEARCH("крайняя бедность",I1125)))</formula>
    </cfRule>
    <cfRule type="containsText" dxfId="7" priority="8" operator="containsText" text="бедность">
      <formula>NOT(ISERROR(SEARCH("бедность",I1125)))</formula>
    </cfRule>
  </conditionalFormatting>
  <conditionalFormatting sqref="A1125">
    <cfRule type="duplicateValues" dxfId="6" priority="1"/>
  </conditionalFormatting>
  <conditionalFormatting sqref="A1125">
    <cfRule type="duplicateValues" dxfId="5" priority="2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8"/>
  <sheetViews>
    <sheetView topLeftCell="A16" zoomScale="113" workbookViewId="0">
      <selection activeCell="F33" sqref="F33"/>
    </sheetView>
  </sheetViews>
  <sheetFormatPr baseColWidth="10" defaultRowHeight="15" x14ac:dyDescent="0.2"/>
  <cols>
    <col min="1" max="1" width="19.83203125" style="4" customWidth="1"/>
    <col min="2" max="2" width="14.83203125" customWidth="1"/>
    <col min="3" max="3" width="9.33203125" customWidth="1"/>
    <col min="4" max="4" width="15.5" customWidth="1"/>
    <col min="5" max="5" width="13.1640625" customWidth="1"/>
    <col min="6" max="6" width="7.83203125" customWidth="1"/>
    <col min="7" max="7" width="10" customWidth="1"/>
    <col min="8" max="8" width="17.6640625" customWidth="1"/>
    <col min="9" max="9" width="10.6640625" customWidth="1"/>
    <col min="10" max="10" width="17.6640625" customWidth="1"/>
    <col min="11" max="11" width="10.6640625" customWidth="1"/>
    <col min="12" max="12" width="23.1640625" bestFit="1" customWidth="1"/>
    <col min="13" max="13" width="22" bestFit="1" customWidth="1"/>
  </cols>
  <sheetData>
    <row r="1" spans="1:17" x14ac:dyDescent="0.2">
      <c r="A1" s="15" t="s">
        <v>29</v>
      </c>
      <c r="B1" s="15" t="s">
        <v>27</v>
      </c>
    </row>
    <row r="2" spans="1:17" x14ac:dyDescent="0.2">
      <c r="A2" s="15" t="s">
        <v>25</v>
      </c>
      <c r="B2" t="s">
        <v>20</v>
      </c>
      <c r="C2" t="s">
        <v>23</v>
      </c>
      <c r="D2" t="s">
        <v>19</v>
      </c>
      <c r="E2" t="s">
        <v>21</v>
      </c>
      <c r="F2" t="s">
        <v>22</v>
      </c>
      <c r="G2" t="s">
        <v>26</v>
      </c>
    </row>
    <row r="3" spans="1:17" x14ac:dyDescent="0.2">
      <c r="A3" s="16" t="s">
        <v>4</v>
      </c>
      <c r="B3">
        <v>18</v>
      </c>
      <c r="C3">
        <v>11</v>
      </c>
      <c r="D3">
        <v>36</v>
      </c>
      <c r="E3">
        <v>28</v>
      </c>
      <c r="F3">
        <v>14</v>
      </c>
      <c r="G3">
        <v>107</v>
      </c>
      <c r="Q3" s="18"/>
    </row>
    <row r="4" spans="1:17" x14ac:dyDescent="0.2">
      <c r="A4" s="16" t="s">
        <v>5</v>
      </c>
      <c r="B4">
        <v>8</v>
      </c>
      <c r="C4">
        <v>13</v>
      </c>
      <c r="D4">
        <v>18</v>
      </c>
      <c r="E4">
        <v>25</v>
      </c>
      <c r="F4">
        <v>6</v>
      </c>
      <c r="G4">
        <v>70</v>
      </c>
      <c r="Q4" s="18"/>
    </row>
    <row r="5" spans="1:17" x14ac:dyDescent="0.2">
      <c r="A5" s="16" t="s">
        <v>0</v>
      </c>
      <c r="B5">
        <v>25</v>
      </c>
      <c r="C5">
        <v>23</v>
      </c>
      <c r="D5">
        <v>92</v>
      </c>
      <c r="E5">
        <v>64</v>
      </c>
      <c r="F5">
        <v>27</v>
      </c>
      <c r="G5">
        <v>231</v>
      </c>
      <c r="Q5" s="18"/>
    </row>
    <row r="6" spans="1:17" x14ac:dyDescent="0.2">
      <c r="A6" s="16" t="s">
        <v>2</v>
      </c>
      <c r="B6">
        <v>22</v>
      </c>
      <c r="C6">
        <v>24</v>
      </c>
      <c r="D6">
        <v>36</v>
      </c>
      <c r="E6">
        <v>33</v>
      </c>
      <c r="F6">
        <v>25</v>
      </c>
      <c r="G6">
        <v>140</v>
      </c>
      <c r="Q6" s="18"/>
    </row>
    <row r="7" spans="1:17" x14ac:dyDescent="0.2">
      <c r="A7" s="16" t="s">
        <v>1</v>
      </c>
      <c r="B7">
        <v>36</v>
      </c>
      <c r="C7">
        <v>20</v>
      </c>
      <c r="D7">
        <v>73</v>
      </c>
      <c r="E7">
        <v>61</v>
      </c>
      <c r="F7">
        <v>33</v>
      </c>
      <c r="G7">
        <v>223</v>
      </c>
      <c r="Q7" s="18"/>
    </row>
    <row r="8" spans="1:17" x14ac:dyDescent="0.2">
      <c r="A8" s="16" t="s">
        <v>3</v>
      </c>
      <c r="B8">
        <v>45</v>
      </c>
      <c r="C8">
        <v>71</v>
      </c>
      <c r="D8">
        <v>98</v>
      </c>
      <c r="E8">
        <v>81</v>
      </c>
      <c r="F8">
        <v>57</v>
      </c>
      <c r="G8">
        <v>352</v>
      </c>
      <c r="Q8" s="18"/>
    </row>
    <row r="9" spans="1:17" x14ac:dyDescent="0.2">
      <c r="A9" s="16" t="s">
        <v>26</v>
      </c>
      <c r="B9">
        <v>154</v>
      </c>
      <c r="C9">
        <v>162</v>
      </c>
      <c r="D9">
        <v>353</v>
      </c>
      <c r="E9">
        <v>292</v>
      </c>
      <c r="F9">
        <v>162</v>
      </c>
      <c r="G9">
        <v>1123</v>
      </c>
    </row>
    <row r="10" spans="1:17" x14ac:dyDescent="0.2">
      <c r="A10"/>
    </row>
    <row r="11" spans="1:17" x14ac:dyDescent="0.2">
      <c r="A11"/>
      <c r="B11" t="s">
        <v>31</v>
      </c>
    </row>
    <row r="12" spans="1:17" x14ac:dyDescent="0.2">
      <c r="A12"/>
    </row>
    <row r="13" spans="1:17" x14ac:dyDescent="0.2">
      <c r="A13"/>
    </row>
    <row r="14" spans="1:17" x14ac:dyDescent="0.2">
      <c r="A14" s="15" t="s">
        <v>9</v>
      </c>
      <c r="B14" t="s">
        <v>10</v>
      </c>
      <c r="L14" s="18"/>
      <c r="M14" s="18"/>
      <c r="N14" s="18"/>
      <c r="O14" s="18"/>
      <c r="P14" s="18"/>
    </row>
    <row r="15" spans="1:17" x14ac:dyDescent="0.2">
      <c r="A15" s="24" t="s">
        <v>34</v>
      </c>
      <c r="B15" s="24"/>
      <c r="C15" s="24"/>
      <c r="D15" s="24"/>
      <c r="E15" s="24"/>
      <c r="F15" s="24"/>
      <c r="G15" s="24"/>
      <c r="L15" s="18"/>
      <c r="M15" s="18"/>
      <c r="N15" s="18"/>
      <c r="O15" s="18"/>
      <c r="P15" s="18"/>
    </row>
    <row r="16" spans="1:17" x14ac:dyDescent="0.2">
      <c r="A16" s="15" t="s">
        <v>29</v>
      </c>
      <c r="B16" s="15" t="s">
        <v>27</v>
      </c>
      <c r="L16" s="18"/>
      <c r="M16" s="18"/>
      <c r="N16" s="18"/>
      <c r="O16" s="18"/>
      <c r="P16" s="18"/>
    </row>
    <row r="17" spans="1:16" x14ac:dyDescent="0.2">
      <c r="A17" s="15" t="s">
        <v>25</v>
      </c>
      <c r="B17" t="s">
        <v>20</v>
      </c>
      <c r="C17" t="s">
        <v>23</v>
      </c>
      <c r="D17" t="s">
        <v>19</v>
      </c>
      <c r="E17" t="s">
        <v>21</v>
      </c>
      <c r="F17" t="s">
        <v>22</v>
      </c>
      <c r="G17" t="s">
        <v>26</v>
      </c>
      <c r="H17" s="17"/>
      <c r="J17" s="17"/>
      <c r="L17" s="18"/>
      <c r="M17" s="18"/>
      <c r="N17" s="18"/>
      <c r="O17" s="18"/>
      <c r="P17" s="18"/>
    </row>
    <row r="18" spans="1:16" x14ac:dyDescent="0.2">
      <c r="A18" s="16" t="s">
        <v>4</v>
      </c>
      <c r="B18" s="17">
        <v>1.7937219730941704E-2</v>
      </c>
      <c r="C18" s="17">
        <v>6.7264573991031393E-3</v>
      </c>
      <c r="D18" s="17">
        <v>2.914798206278027E-2</v>
      </c>
      <c r="E18" s="17">
        <v>3.5874439461883408E-2</v>
      </c>
      <c r="F18" s="17">
        <v>1.3452914798206279E-2</v>
      </c>
      <c r="G18" s="17">
        <v>0.1031390134529148</v>
      </c>
      <c r="H18" s="17"/>
      <c r="L18" s="18"/>
      <c r="M18" s="18"/>
      <c r="N18" s="18"/>
      <c r="O18" s="18"/>
      <c r="P18" s="18"/>
    </row>
    <row r="19" spans="1:16" x14ac:dyDescent="0.2">
      <c r="A19" s="16" t="s">
        <v>5</v>
      </c>
      <c r="B19" s="17">
        <v>2.242152466367713E-3</v>
      </c>
      <c r="C19" s="17">
        <v>1.3452914798206279E-2</v>
      </c>
      <c r="D19" s="17">
        <v>1.5695067264573991E-2</v>
      </c>
      <c r="E19" s="17">
        <v>1.7937219730941704E-2</v>
      </c>
      <c r="F19" s="17">
        <v>2.242152466367713E-3</v>
      </c>
      <c r="G19" s="17">
        <v>5.1569506726457402E-2</v>
      </c>
      <c r="H19" s="17"/>
      <c r="L19" s="18"/>
      <c r="M19" s="18"/>
      <c r="N19" s="18"/>
      <c r="O19" s="18"/>
      <c r="P19" s="18"/>
    </row>
    <row r="20" spans="1:16" x14ac:dyDescent="0.2">
      <c r="A20" s="16" t="s">
        <v>0</v>
      </c>
      <c r="B20" s="17">
        <v>2.6905829596412557E-2</v>
      </c>
      <c r="C20" s="17">
        <v>2.0179372197309416E-2</v>
      </c>
      <c r="D20" s="17">
        <v>8.9686098654708515E-2</v>
      </c>
      <c r="E20" s="17">
        <v>5.1569506726457402E-2</v>
      </c>
      <c r="F20" s="17">
        <v>2.6905829596412557E-2</v>
      </c>
      <c r="G20" s="17">
        <v>0.21524663677130046</v>
      </c>
      <c r="H20" s="17"/>
      <c r="K20" s="20"/>
    </row>
    <row r="21" spans="1:16" x14ac:dyDescent="0.2">
      <c r="A21" s="16" t="s">
        <v>2</v>
      </c>
      <c r="B21" s="17">
        <v>2.6905829596412557E-2</v>
      </c>
      <c r="C21" s="17">
        <v>1.7937219730941704E-2</v>
      </c>
      <c r="D21" s="17">
        <v>3.3632286995515695E-2</v>
      </c>
      <c r="E21" s="17">
        <v>2.6905829596412557E-2</v>
      </c>
      <c r="F21" s="17">
        <v>2.4663677130044841E-2</v>
      </c>
      <c r="G21" s="17">
        <v>0.13004484304932734</v>
      </c>
      <c r="H21" s="17"/>
    </row>
    <row r="22" spans="1:16" x14ac:dyDescent="0.2">
      <c r="A22" s="16" t="s">
        <v>1</v>
      </c>
      <c r="B22" s="17">
        <v>3.811659192825112E-2</v>
      </c>
      <c r="C22" s="17">
        <v>2.2421524663677129E-2</v>
      </c>
      <c r="D22" s="17">
        <v>5.1569506726457402E-2</v>
      </c>
      <c r="E22" s="17">
        <v>4.9327354260089683E-2</v>
      </c>
      <c r="F22" s="17">
        <v>3.1390134529147982E-2</v>
      </c>
      <c r="G22" s="17">
        <v>0.19282511210762332</v>
      </c>
      <c r="H22" s="17"/>
      <c r="J22" s="17"/>
    </row>
    <row r="23" spans="1:16" x14ac:dyDescent="0.2">
      <c r="A23" s="16" t="s">
        <v>3</v>
      </c>
      <c r="B23" s="17">
        <v>4.0358744394618833E-2</v>
      </c>
      <c r="C23" s="17">
        <v>6.726457399103139E-2</v>
      </c>
      <c r="D23" s="17">
        <v>7.3991031390134535E-2</v>
      </c>
      <c r="E23" s="17">
        <v>6.9506726457399109E-2</v>
      </c>
      <c r="F23" s="17">
        <v>5.6053811659192827E-2</v>
      </c>
      <c r="G23" s="17">
        <v>0.30717488789237668</v>
      </c>
      <c r="H23" s="17"/>
      <c r="J23" s="17"/>
    </row>
    <row r="24" spans="1:16" x14ac:dyDescent="0.2">
      <c r="A24" s="16" t="s">
        <v>26</v>
      </c>
      <c r="B24" s="17">
        <v>0.15246636771300448</v>
      </c>
      <c r="C24" s="17">
        <v>0.14798206278026907</v>
      </c>
      <c r="D24" s="17">
        <v>0.29372197309417042</v>
      </c>
      <c r="E24" s="17">
        <v>0.25112107623318386</v>
      </c>
      <c r="F24" s="17">
        <v>0.1547085201793722</v>
      </c>
      <c r="G24" s="17">
        <v>1</v>
      </c>
    </row>
    <row r="27" spans="1:16" x14ac:dyDescent="0.2">
      <c r="A27"/>
    </row>
    <row r="28" spans="1:16" x14ac:dyDescent="0.2">
      <c r="A28" s="15" t="s">
        <v>8</v>
      </c>
      <c r="B28" t="s">
        <v>33</v>
      </c>
    </row>
    <row r="29" spans="1:16" x14ac:dyDescent="0.2">
      <c r="A29" s="24" t="s">
        <v>32</v>
      </c>
      <c r="B29" s="24"/>
      <c r="C29" s="24"/>
      <c r="D29" s="24"/>
      <c r="E29" s="24"/>
      <c r="F29" s="24"/>
      <c r="G29" s="24"/>
    </row>
    <row r="30" spans="1:16" x14ac:dyDescent="0.2">
      <c r="A30" s="15" t="s">
        <v>29</v>
      </c>
      <c r="B30" s="15" t="s">
        <v>27</v>
      </c>
      <c r="I30" s="18"/>
    </row>
    <row r="31" spans="1:16" x14ac:dyDescent="0.2">
      <c r="A31" s="15" t="s">
        <v>25</v>
      </c>
      <c r="B31" t="s">
        <v>20</v>
      </c>
      <c r="C31" t="s">
        <v>23</v>
      </c>
      <c r="D31" t="s">
        <v>19</v>
      </c>
      <c r="E31" t="s">
        <v>21</v>
      </c>
      <c r="F31" t="s">
        <v>22</v>
      </c>
      <c r="G31" t="s">
        <v>26</v>
      </c>
      <c r="I31" s="18"/>
    </row>
    <row r="32" spans="1:16" x14ac:dyDescent="0.2">
      <c r="A32" s="16" t="s">
        <v>4</v>
      </c>
      <c r="B32" s="17">
        <v>1.6028495102404273E-2</v>
      </c>
      <c r="C32" s="17">
        <v>9.7951914514692786E-3</v>
      </c>
      <c r="D32" s="17">
        <v>3.2056990204808546E-2</v>
      </c>
      <c r="E32" s="17">
        <v>2.4933214603739984E-2</v>
      </c>
      <c r="F32" s="17">
        <v>1.2466607301869992E-2</v>
      </c>
      <c r="G32" s="17">
        <v>9.5280498664292071E-2</v>
      </c>
      <c r="I32" s="18"/>
    </row>
    <row r="33" spans="1:9" x14ac:dyDescent="0.2">
      <c r="A33" s="16" t="s">
        <v>5</v>
      </c>
      <c r="B33" s="17">
        <v>7.1237756010685662E-3</v>
      </c>
      <c r="C33" s="17">
        <v>1.1576135351736421E-2</v>
      </c>
      <c r="D33" s="17">
        <v>1.6028495102404273E-2</v>
      </c>
      <c r="E33" s="17">
        <v>2.2261798753339269E-2</v>
      </c>
      <c r="F33" s="17">
        <v>5.3428317008014248E-3</v>
      </c>
      <c r="G33" s="17">
        <v>6.2333036509349952E-2</v>
      </c>
      <c r="I33" s="18"/>
    </row>
    <row r="34" spans="1:9" x14ac:dyDescent="0.2">
      <c r="A34" s="16" t="s">
        <v>0</v>
      </c>
      <c r="B34" s="17">
        <v>2.2261798753339269E-2</v>
      </c>
      <c r="C34" s="17">
        <v>2.0480854853072127E-2</v>
      </c>
      <c r="D34" s="17">
        <v>8.1923419412288506E-2</v>
      </c>
      <c r="E34" s="17">
        <v>5.6990204808548529E-2</v>
      </c>
      <c r="F34" s="17">
        <v>2.4042742653606411E-2</v>
      </c>
      <c r="G34" s="17">
        <v>0.20569902048085487</v>
      </c>
      <c r="I34" s="18"/>
    </row>
    <row r="35" spans="1:9" x14ac:dyDescent="0.2">
      <c r="A35" s="16" t="s">
        <v>2</v>
      </c>
      <c r="B35" s="17">
        <v>1.9590382902938557E-2</v>
      </c>
      <c r="C35" s="17">
        <v>2.1371326803205699E-2</v>
      </c>
      <c r="D35" s="17">
        <v>3.2056990204808546E-2</v>
      </c>
      <c r="E35" s="17">
        <v>2.9385574354407838E-2</v>
      </c>
      <c r="F35" s="17">
        <v>2.2261798753339269E-2</v>
      </c>
      <c r="G35" s="17">
        <v>0.1246660730186999</v>
      </c>
      <c r="I35" s="18"/>
    </row>
    <row r="36" spans="1:9" x14ac:dyDescent="0.2">
      <c r="A36" s="16" t="s">
        <v>1</v>
      </c>
      <c r="B36" s="17">
        <v>3.2056990204808546E-2</v>
      </c>
      <c r="C36" s="17">
        <v>1.7809439002671415E-2</v>
      </c>
      <c r="D36" s="17">
        <v>6.5004452359750664E-2</v>
      </c>
      <c r="E36" s="17">
        <v>5.4318788958147818E-2</v>
      </c>
      <c r="F36" s="17">
        <v>2.9385574354407838E-2</v>
      </c>
      <c r="G36" s="17">
        <v>0.19857524487978628</v>
      </c>
    </row>
    <row r="37" spans="1:9" x14ac:dyDescent="0.2">
      <c r="A37" s="16" t="s">
        <v>3</v>
      </c>
      <c r="B37" s="17">
        <v>4.0071237756010687E-2</v>
      </c>
      <c r="C37" s="17">
        <v>6.3223508459483532E-2</v>
      </c>
      <c r="D37" s="17">
        <v>8.7266251113089943E-2</v>
      </c>
      <c r="E37" s="17">
        <v>7.2128227960819233E-2</v>
      </c>
      <c r="F37" s="17">
        <v>5.0756901157613533E-2</v>
      </c>
      <c r="G37" s="17">
        <v>0.31344612644701692</v>
      </c>
    </row>
    <row r="38" spans="1:9" x14ac:dyDescent="0.2">
      <c r="A38" s="16" t="s">
        <v>26</v>
      </c>
      <c r="B38" s="17">
        <v>0.13713268032056991</v>
      </c>
      <c r="C38" s="17">
        <v>0.14425645592163847</v>
      </c>
      <c r="D38" s="17">
        <v>0.3143365983971505</v>
      </c>
      <c r="E38" s="17">
        <v>0.26001780943900266</v>
      </c>
      <c r="F38" s="17">
        <v>0.14425645592163847</v>
      </c>
      <c r="G38" s="17">
        <v>1</v>
      </c>
    </row>
  </sheetData>
  <mergeCells count="2">
    <mergeCell ref="A15:G15"/>
    <mergeCell ref="A29:G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1159"/>
  <sheetViews>
    <sheetView zoomScale="112" workbookViewId="0">
      <selection activeCell="C17" sqref="C17"/>
    </sheetView>
  </sheetViews>
  <sheetFormatPr baseColWidth="10" defaultRowHeight="15" x14ac:dyDescent="0.2"/>
  <cols>
    <col min="1" max="1" width="12.33203125" customWidth="1"/>
    <col min="2" max="2" width="24" customWidth="1"/>
    <col min="3" max="3" width="26" customWidth="1"/>
    <col min="4" max="8" width="14.83203125" customWidth="1"/>
    <col min="9" max="290" width="14.83203125" bestFit="1" customWidth="1"/>
    <col min="291" max="291" width="10" customWidth="1"/>
  </cols>
  <sheetData>
    <row r="2" spans="1:2" x14ac:dyDescent="0.2">
      <c r="A2" t="s">
        <v>41</v>
      </c>
    </row>
    <row r="3" spans="1:2" x14ac:dyDescent="0.2">
      <c r="A3" s="15" t="s">
        <v>30</v>
      </c>
      <c r="B3" t="s">
        <v>24</v>
      </c>
    </row>
    <row r="5" spans="1:2" x14ac:dyDescent="0.2">
      <c r="A5" s="15" t="s">
        <v>25</v>
      </c>
      <c r="B5" t="s">
        <v>28</v>
      </c>
    </row>
    <row r="6" spans="1:2" x14ac:dyDescent="0.2">
      <c r="A6" s="16" t="s">
        <v>4</v>
      </c>
      <c r="B6" s="21">
        <v>25869</v>
      </c>
    </row>
    <row r="7" spans="1:2" x14ac:dyDescent="0.2">
      <c r="A7" s="16" t="s">
        <v>5</v>
      </c>
      <c r="B7" s="21">
        <v>23693</v>
      </c>
    </row>
    <row r="8" spans="1:2" x14ac:dyDescent="0.2">
      <c r="A8" s="16" t="s">
        <v>0</v>
      </c>
      <c r="B8" s="21">
        <v>106448</v>
      </c>
    </row>
    <row r="9" spans="1:2" x14ac:dyDescent="0.2">
      <c r="A9" s="16" t="s">
        <v>2</v>
      </c>
      <c r="B9" s="21">
        <v>38123</v>
      </c>
    </row>
    <row r="10" spans="1:2" x14ac:dyDescent="0.2">
      <c r="A10" s="16" t="s">
        <v>1</v>
      </c>
      <c r="B10" s="21">
        <v>52550</v>
      </c>
    </row>
    <row r="11" spans="1:2" x14ac:dyDescent="0.2">
      <c r="A11" s="16" t="s">
        <v>3</v>
      </c>
      <c r="B11" s="21">
        <v>88580</v>
      </c>
    </row>
    <row r="12" spans="1:2" x14ac:dyDescent="0.2">
      <c r="A12" s="16" t="s">
        <v>26</v>
      </c>
      <c r="B12" s="21">
        <v>335263</v>
      </c>
    </row>
    <row r="13" spans="1:2" x14ac:dyDescent="0.2">
      <c r="A13" s="16"/>
      <c r="B13" s="21"/>
    </row>
    <row r="14" spans="1:2" x14ac:dyDescent="0.2">
      <c r="A14" s="16"/>
      <c r="B14" s="21"/>
    </row>
    <row r="15" spans="1:2" x14ac:dyDescent="0.2">
      <c r="A15" s="16"/>
      <c r="B15" s="21"/>
    </row>
    <row r="16" spans="1:2" x14ac:dyDescent="0.2">
      <c r="A16" s="16"/>
      <c r="B16" s="21"/>
    </row>
    <row r="17" spans="1:2" x14ac:dyDescent="0.2">
      <c r="A17" s="16"/>
      <c r="B17" s="21"/>
    </row>
    <row r="18" spans="1:2" x14ac:dyDescent="0.2">
      <c r="A18" s="16"/>
      <c r="B18" s="21"/>
    </row>
    <row r="19" spans="1:2" x14ac:dyDescent="0.2">
      <c r="A19" s="16"/>
      <c r="B19" s="21"/>
    </row>
    <row r="20" spans="1:2" x14ac:dyDescent="0.2">
      <c r="A20" s="16"/>
      <c r="B20" s="21"/>
    </row>
    <row r="22" spans="1:2" x14ac:dyDescent="0.2">
      <c r="A22" s="16" t="s">
        <v>40</v>
      </c>
    </row>
    <row r="23" spans="1:2" x14ac:dyDescent="0.2">
      <c r="A23" s="15" t="s">
        <v>25</v>
      </c>
      <c r="B23" t="s">
        <v>35</v>
      </c>
    </row>
    <row r="24" spans="1:2" x14ac:dyDescent="0.2">
      <c r="A24" s="16" t="s">
        <v>4</v>
      </c>
      <c r="B24" s="17">
        <v>9.5280498664292071E-2</v>
      </c>
    </row>
    <row r="25" spans="1:2" x14ac:dyDescent="0.2">
      <c r="A25" s="16" t="s">
        <v>5</v>
      </c>
      <c r="B25" s="17">
        <v>6.2333036509349952E-2</v>
      </c>
    </row>
    <row r="26" spans="1:2" x14ac:dyDescent="0.2">
      <c r="A26" s="16" t="s">
        <v>0</v>
      </c>
      <c r="B26" s="17">
        <v>0.20569902048085487</v>
      </c>
    </row>
    <row r="27" spans="1:2" x14ac:dyDescent="0.2">
      <c r="A27" s="16" t="s">
        <v>2</v>
      </c>
      <c r="B27" s="17">
        <v>0.1246660730186999</v>
      </c>
    </row>
    <row r="28" spans="1:2" x14ac:dyDescent="0.2">
      <c r="A28" s="16" t="s">
        <v>1</v>
      </c>
      <c r="B28" s="17">
        <v>0.19857524487978628</v>
      </c>
    </row>
    <row r="29" spans="1:2" x14ac:dyDescent="0.2">
      <c r="A29" s="16" t="s">
        <v>3</v>
      </c>
      <c r="B29" s="17">
        <v>0.31344612644701692</v>
      </c>
    </row>
    <row r="30" spans="1:2" x14ac:dyDescent="0.2">
      <c r="A30" s="16" t="s">
        <v>26</v>
      </c>
      <c r="B30" s="17">
        <v>1</v>
      </c>
    </row>
    <row r="32" spans="1:2" x14ac:dyDescent="0.2">
      <c r="A32" s="16"/>
    </row>
    <row r="36" spans="1:9" x14ac:dyDescent="0.2">
      <c r="A36" s="13"/>
      <c r="B36" s="21"/>
      <c r="C36" s="21"/>
    </row>
    <row r="37" spans="1:9" x14ac:dyDescent="0.2">
      <c r="A37" s="13"/>
      <c r="B37" s="21"/>
      <c r="C37" s="21"/>
    </row>
    <row r="38" spans="1:9" x14ac:dyDescent="0.2">
      <c r="A38" s="13"/>
      <c r="B38" s="21"/>
      <c r="C38" s="21"/>
    </row>
    <row r="39" spans="1:9" x14ac:dyDescent="0.2">
      <c r="A39" s="13"/>
      <c r="B39" s="21"/>
      <c r="C39" s="21"/>
      <c r="G39" s="19"/>
      <c r="H39" s="19"/>
      <c r="I39" s="19"/>
    </row>
    <row r="40" spans="1:9" x14ac:dyDescent="0.2">
      <c r="A40" s="13"/>
      <c r="B40" s="21"/>
      <c r="C40" s="21"/>
      <c r="E40" s="21"/>
      <c r="F40" s="19"/>
      <c r="G40" s="19"/>
      <c r="H40" s="19"/>
      <c r="I40" s="19"/>
    </row>
    <row r="41" spans="1:9" x14ac:dyDescent="0.2">
      <c r="A41" s="13"/>
      <c r="B41" s="21"/>
      <c r="C41" s="21"/>
      <c r="E41" s="21"/>
      <c r="F41" s="19"/>
      <c r="G41" s="19"/>
      <c r="H41" s="19"/>
      <c r="I41" s="19"/>
    </row>
    <row r="42" spans="1:9" x14ac:dyDescent="0.2">
      <c r="A42" s="13"/>
      <c r="B42" s="21"/>
      <c r="C42" s="21"/>
      <c r="E42" s="21"/>
      <c r="F42" s="19"/>
      <c r="G42" s="19"/>
      <c r="H42" s="19"/>
      <c r="I42" s="19"/>
    </row>
    <row r="43" spans="1:9" x14ac:dyDescent="0.2">
      <c r="A43" s="13"/>
      <c r="B43" s="21"/>
      <c r="C43" s="21"/>
      <c r="E43" s="21"/>
      <c r="F43" s="19"/>
      <c r="G43" s="19"/>
      <c r="H43" s="19"/>
      <c r="I43" s="19"/>
    </row>
    <row r="44" spans="1:9" x14ac:dyDescent="0.2">
      <c r="A44" s="13"/>
      <c r="B44" s="21"/>
      <c r="C44" s="21"/>
      <c r="E44" s="21"/>
      <c r="F44" s="19"/>
      <c r="G44" s="19"/>
      <c r="H44" s="19"/>
      <c r="I44" s="19"/>
    </row>
    <row r="45" spans="1:9" x14ac:dyDescent="0.2">
      <c r="A45" s="13"/>
      <c r="B45" s="21"/>
      <c r="C45" s="21"/>
      <c r="E45" s="21"/>
      <c r="F45" s="19"/>
      <c r="G45" s="19"/>
      <c r="H45" s="19"/>
      <c r="I45" s="19"/>
    </row>
    <row r="46" spans="1:9" x14ac:dyDescent="0.2">
      <c r="A46" s="13"/>
      <c r="B46" s="21"/>
      <c r="C46" s="21"/>
    </row>
    <row r="47" spans="1:9" x14ac:dyDescent="0.2">
      <c r="A47" s="13"/>
      <c r="B47" s="21"/>
      <c r="C47" s="21"/>
    </row>
    <row r="48" spans="1:9" x14ac:dyDescent="0.2">
      <c r="A48" s="13"/>
      <c r="B48" s="21"/>
      <c r="C48" s="21"/>
    </row>
    <row r="49" spans="1:3" x14ac:dyDescent="0.2">
      <c r="A49" s="13"/>
      <c r="B49" s="21"/>
      <c r="C49" s="21"/>
    </row>
    <row r="50" spans="1:3" x14ac:dyDescent="0.2">
      <c r="A50" s="13"/>
      <c r="B50" s="21"/>
      <c r="C50" s="21"/>
    </row>
    <row r="51" spans="1:3" x14ac:dyDescent="0.2">
      <c r="A51" s="13"/>
      <c r="B51" s="21"/>
      <c r="C51" s="21"/>
    </row>
    <row r="52" spans="1:3" x14ac:dyDescent="0.2">
      <c r="A52" s="13"/>
      <c r="B52" s="21"/>
      <c r="C52" s="21"/>
    </row>
    <row r="53" spans="1:3" x14ac:dyDescent="0.2">
      <c r="A53" s="13"/>
      <c r="B53" s="21"/>
      <c r="C53" s="21"/>
    </row>
    <row r="54" spans="1:3" x14ac:dyDescent="0.2">
      <c r="A54" s="13"/>
      <c r="B54" s="21"/>
      <c r="C54" s="21"/>
    </row>
    <row r="55" spans="1:3" x14ac:dyDescent="0.2">
      <c r="A55" s="13"/>
      <c r="B55" s="21"/>
      <c r="C55" s="21"/>
    </row>
    <row r="56" spans="1:3" x14ac:dyDescent="0.2">
      <c r="A56" s="13"/>
      <c r="B56" s="21"/>
      <c r="C56" s="21"/>
    </row>
    <row r="57" spans="1:3" x14ac:dyDescent="0.2">
      <c r="A57" s="13"/>
      <c r="B57" s="21"/>
      <c r="C57" s="21"/>
    </row>
    <row r="58" spans="1:3" x14ac:dyDescent="0.2">
      <c r="A58" s="13"/>
      <c r="B58" s="21"/>
      <c r="C58" s="21"/>
    </row>
    <row r="59" spans="1:3" x14ac:dyDescent="0.2">
      <c r="A59" s="13"/>
      <c r="B59" s="21"/>
      <c r="C59" s="21"/>
    </row>
    <row r="60" spans="1:3" x14ac:dyDescent="0.2">
      <c r="A60" s="13"/>
      <c r="B60" s="21"/>
      <c r="C60" s="21"/>
    </row>
    <row r="61" spans="1:3" x14ac:dyDescent="0.2">
      <c r="A61" s="13"/>
      <c r="B61" s="21"/>
      <c r="C61" s="21"/>
    </row>
    <row r="62" spans="1:3" x14ac:dyDescent="0.2">
      <c r="A62" s="13"/>
      <c r="B62" s="21"/>
      <c r="C62" s="21"/>
    </row>
    <row r="63" spans="1:3" x14ac:dyDescent="0.2">
      <c r="A63" s="13"/>
      <c r="B63" s="21"/>
      <c r="C63" s="21"/>
    </row>
    <row r="64" spans="1:3" x14ac:dyDescent="0.2">
      <c r="A64" s="13"/>
      <c r="B64" s="21"/>
      <c r="C64" s="21"/>
    </row>
    <row r="65" spans="1:3" x14ac:dyDescent="0.2">
      <c r="A65" s="13"/>
      <c r="B65" s="21"/>
      <c r="C65" s="21"/>
    </row>
    <row r="66" spans="1:3" x14ac:dyDescent="0.2">
      <c r="A66" s="13"/>
      <c r="B66" s="21"/>
      <c r="C66" s="21"/>
    </row>
    <row r="67" spans="1:3" x14ac:dyDescent="0.2">
      <c r="A67" s="13"/>
      <c r="B67" s="21"/>
      <c r="C67" s="21"/>
    </row>
    <row r="68" spans="1:3" x14ac:dyDescent="0.2">
      <c r="A68" s="13"/>
      <c r="B68" s="21"/>
      <c r="C68" s="21"/>
    </row>
    <row r="69" spans="1:3" x14ac:dyDescent="0.2">
      <c r="A69" s="13"/>
      <c r="B69" s="21"/>
      <c r="C69" s="21"/>
    </row>
    <row r="70" spans="1:3" x14ac:dyDescent="0.2">
      <c r="A70" s="13"/>
      <c r="B70" s="21"/>
      <c r="C70" s="21"/>
    </row>
    <row r="71" spans="1:3" x14ac:dyDescent="0.2">
      <c r="A71" s="13"/>
      <c r="B71" s="21"/>
      <c r="C71" s="21"/>
    </row>
    <row r="72" spans="1:3" x14ac:dyDescent="0.2">
      <c r="A72" s="13"/>
      <c r="B72" s="21"/>
      <c r="C72" s="21"/>
    </row>
    <row r="73" spans="1:3" x14ac:dyDescent="0.2">
      <c r="A73" s="13"/>
      <c r="B73" s="21"/>
      <c r="C73" s="21"/>
    </row>
    <row r="74" spans="1:3" x14ac:dyDescent="0.2">
      <c r="A74" s="13"/>
      <c r="B74" s="21"/>
      <c r="C74" s="21"/>
    </row>
    <row r="75" spans="1:3" x14ac:dyDescent="0.2">
      <c r="A75" s="13"/>
      <c r="B75" s="21"/>
      <c r="C75" s="21"/>
    </row>
    <row r="76" spans="1:3" x14ac:dyDescent="0.2">
      <c r="A76" s="13"/>
      <c r="B76" s="21"/>
      <c r="C76" s="21"/>
    </row>
    <row r="77" spans="1:3" x14ac:dyDescent="0.2">
      <c r="A77" s="13"/>
      <c r="B77" s="21"/>
      <c r="C77" s="21"/>
    </row>
    <row r="78" spans="1:3" x14ac:dyDescent="0.2">
      <c r="A78" s="13"/>
      <c r="B78" s="21"/>
      <c r="C78" s="21"/>
    </row>
    <row r="79" spans="1:3" x14ac:dyDescent="0.2">
      <c r="A79" s="13"/>
      <c r="B79" s="21"/>
      <c r="C79" s="21"/>
    </row>
    <row r="80" spans="1:3" x14ac:dyDescent="0.2">
      <c r="A80" s="13"/>
      <c r="B80" s="21"/>
      <c r="C80" s="21"/>
    </row>
    <row r="81" spans="1:3" x14ac:dyDescent="0.2">
      <c r="A81" s="13"/>
      <c r="B81" s="21"/>
      <c r="C81" s="21"/>
    </row>
    <row r="82" spans="1:3" x14ac:dyDescent="0.2">
      <c r="A82" s="13"/>
      <c r="B82" s="21"/>
      <c r="C82" s="21"/>
    </row>
    <row r="83" spans="1:3" x14ac:dyDescent="0.2">
      <c r="A83" s="13"/>
      <c r="B83" s="21"/>
      <c r="C83" s="21"/>
    </row>
    <row r="84" spans="1:3" x14ac:dyDescent="0.2">
      <c r="A84" s="13"/>
      <c r="B84" s="21"/>
      <c r="C84" s="21"/>
    </row>
    <row r="85" spans="1:3" x14ac:dyDescent="0.2">
      <c r="A85" s="13"/>
      <c r="B85" s="21"/>
      <c r="C85" s="21"/>
    </row>
    <row r="86" spans="1:3" x14ac:dyDescent="0.2">
      <c r="A86" s="13"/>
      <c r="B86" s="21"/>
      <c r="C86" s="21"/>
    </row>
    <row r="87" spans="1:3" x14ac:dyDescent="0.2">
      <c r="A87" s="13"/>
      <c r="B87" s="21"/>
      <c r="C87" s="21"/>
    </row>
    <row r="88" spans="1:3" x14ac:dyDescent="0.2">
      <c r="A88" s="13"/>
      <c r="B88" s="21"/>
      <c r="C88" s="21"/>
    </row>
    <row r="89" spans="1:3" x14ac:dyDescent="0.2">
      <c r="A89" s="13"/>
      <c r="B89" s="21"/>
      <c r="C89" s="21"/>
    </row>
    <row r="90" spans="1:3" x14ac:dyDescent="0.2">
      <c r="A90" s="13"/>
      <c r="B90" s="21"/>
      <c r="C90" s="21"/>
    </row>
    <row r="91" spans="1:3" x14ac:dyDescent="0.2">
      <c r="A91" s="13"/>
      <c r="B91" s="21"/>
      <c r="C91" s="21"/>
    </row>
    <row r="92" spans="1:3" x14ac:dyDescent="0.2">
      <c r="A92" s="13"/>
      <c r="B92" s="21"/>
      <c r="C92" s="21"/>
    </row>
    <row r="93" spans="1:3" x14ac:dyDescent="0.2">
      <c r="A93" s="13"/>
      <c r="B93" s="21"/>
      <c r="C93" s="21"/>
    </row>
    <row r="94" spans="1:3" x14ac:dyDescent="0.2">
      <c r="A94" s="13"/>
      <c r="B94" s="21"/>
      <c r="C94" s="21"/>
    </row>
    <row r="95" spans="1:3" x14ac:dyDescent="0.2">
      <c r="A95" s="13"/>
      <c r="B95" s="21"/>
      <c r="C95" s="21"/>
    </row>
    <row r="96" spans="1:3" x14ac:dyDescent="0.2">
      <c r="A96" s="13"/>
      <c r="B96" s="21"/>
      <c r="C96" s="21"/>
    </row>
    <row r="97" spans="1:3" x14ac:dyDescent="0.2">
      <c r="A97" s="13"/>
      <c r="B97" s="21"/>
      <c r="C97" s="21"/>
    </row>
    <row r="98" spans="1:3" x14ac:dyDescent="0.2">
      <c r="A98" s="13"/>
      <c r="B98" s="21"/>
      <c r="C98" s="21"/>
    </row>
    <row r="99" spans="1:3" x14ac:dyDescent="0.2">
      <c r="A99" s="13"/>
      <c r="B99" s="21"/>
      <c r="C99" s="21"/>
    </row>
    <row r="100" spans="1:3" x14ac:dyDescent="0.2">
      <c r="A100" s="13"/>
      <c r="B100" s="21"/>
      <c r="C100" s="21"/>
    </row>
    <row r="101" spans="1:3" x14ac:dyDescent="0.2">
      <c r="A101" s="13"/>
      <c r="B101" s="21"/>
      <c r="C101" s="21"/>
    </row>
    <row r="102" spans="1:3" x14ac:dyDescent="0.2">
      <c r="A102" s="13"/>
      <c r="B102" s="21"/>
      <c r="C102" s="21"/>
    </row>
    <row r="103" spans="1:3" x14ac:dyDescent="0.2">
      <c r="A103" s="13"/>
      <c r="B103" s="21"/>
      <c r="C103" s="21"/>
    </row>
    <row r="104" spans="1:3" x14ac:dyDescent="0.2">
      <c r="A104" s="13"/>
      <c r="B104" s="21"/>
      <c r="C104" s="21"/>
    </row>
    <row r="105" spans="1:3" x14ac:dyDescent="0.2">
      <c r="A105" s="13"/>
      <c r="B105" s="21"/>
      <c r="C105" s="21"/>
    </row>
    <row r="106" spans="1:3" x14ac:dyDescent="0.2">
      <c r="A106" s="13"/>
      <c r="B106" s="21"/>
      <c r="C106" s="21"/>
    </row>
    <row r="107" spans="1:3" x14ac:dyDescent="0.2">
      <c r="A107" s="13"/>
      <c r="B107" s="21"/>
      <c r="C107" s="21"/>
    </row>
    <row r="108" spans="1:3" x14ac:dyDescent="0.2">
      <c r="A108" s="13"/>
      <c r="B108" s="21"/>
      <c r="C108" s="21"/>
    </row>
    <row r="109" spans="1:3" x14ac:dyDescent="0.2">
      <c r="A109" s="13"/>
      <c r="B109" s="21"/>
      <c r="C109" s="21"/>
    </row>
    <row r="110" spans="1:3" x14ac:dyDescent="0.2">
      <c r="A110" s="13"/>
      <c r="B110" s="21"/>
      <c r="C110" s="21"/>
    </row>
    <row r="111" spans="1:3" x14ac:dyDescent="0.2">
      <c r="A111" s="13"/>
      <c r="B111" s="21"/>
      <c r="C111" s="21"/>
    </row>
    <row r="112" spans="1:3" x14ac:dyDescent="0.2">
      <c r="A112" s="13"/>
      <c r="B112" s="21"/>
      <c r="C112" s="21"/>
    </row>
    <row r="113" spans="1:3" x14ac:dyDescent="0.2">
      <c r="A113" s="13"/>
      <c r="B113" s="21"/>
      <c r="C113" s="21"/>
    </row>
    <row r="114" spans="1:3" x14ac:dyDescent="0.2">
      <c r="A114" s="13"/>
      <c r="B114" s="21"/>
      <c r="C114" s="21"/>
    </row>
    <row r="115" spans="1:3" x14ac:dyDescent="0.2">
      <c r="A115" s="13"/>
      <c r="B115" s="21"/>
      <c r="C115" s="21"/>
    </row>
    <row r="116" spans="1:3" x14ac:dyDescent="0.2">
      <c r="A116" s="13"/>
      <c r="B116" s="21"/>
      <c r="C116" s="21"/>
    </row>
    <row r="117" spans="1:3" x14ac:dyDescent="0.2">
      <c r="A117" s="13"/>
      <c r="B117" s="21"/>
      <c r="C117" s="21"/>
    </row>
    <row r="118" spans="1:3" x14ac:dyDescent="0.2">
      <c r="A118" s="13"/>
      <c r="B118" s="21"/>
      <c r="C118" s="21"/>
    </row>
    <row r="119" spans="1:3" x14ac:dyDescent="0.2">
      <c r="A119" s="13"/>
      <c r="B119" s="21"/>
      <c r="C119" s="21"/>
    </row>
    <row r="120" spans="1:3" x14ac:dyDescent="0.2">
      <c r="A120" s="13"/>
      <c r="B120" s="21"/>
      <c r="C120" s="21"/>
    </row>
    <row r="121" spans="1:3" x14ac:dyDescent="0.2">
      <c r="A121" s="13"/>
      <c r="B121" s="21"/>
      <c r="C121" s="21"/>
    </row>
    <row r="122" spans="1:3" x14ac:dyDescent="0.2">
      <c r="A122" s="13"/>
      <c r="B122" s="21"/>
      <c r="C122" s="21"/>
    </row>
    <row r="123" spans="1:3" x14ac:dyDescent="0.2">
      <c r="A123" s="13"/>
      <c r="B123" s="21"/>
      <c r="C123" s="21"/>
    </row>
    <row r="124" spans="1:3" x14ac:dyDescent="0.2">
      <c r="A124" s="13"/>
      <c r="B124" s="21"/>
      <c r="C124" s="21"/>
    </row>
    <row r="125" spans="1:3" x14ac:dyDescent="0.2">
      <c r="A125" s="13"/>
      <c r="B125" s="21"/>
      <c r="C125" s="21"/>
    </row>
    <row r="126" spans="1:3" x14ac:dyDescent="0.2">
      <c r="A126" s="13"/>
      <c r="B126" s="21"/>
      <c r="C126" s="21"/>
    </row>
    <row r="127" spans="1:3" x14ac:dyDescent="0.2">
      <c r="A127" s="13"/>
      <c r="B127" s="21"/>
      <c r="C127" s="21"/>
    </row>
    <row r="128" spans="1:3" x14ac:dyDescent="0.2">
      <c r="A128" s="13"/>
      <c r="B128" s="21"/>
      <c r="C128" s="21"/>
    </row>
    <row r="129" spans="1:3" x14ac:dyDescent="0.2">
      <c r="A129" s="13"/>
      <c r="B129" s="21"/>
      <c r="C129" s="21"/>
    </row>
    <row r="130" spans="1:3" x14ac:dyDescent="0.2">
      <c r="A130" s="13"/>
      <c r="B130" s="21"/>
      <c r="C130" s="21"/>
    </row>
    <row r="131" spans="1:3" x14ac:dyDescent="0.2">
      <c r="A131" s="13"/>
      <c r="B131" s="21"/>
      <c r="C131" s="21"/>
    </row>
    <row r="132" spans="1:3" x14ac:dyDescent="0.2">
      <c r="A132" s="13"/>
      <c r="B132" s="21"/>
      <c r="C132" s="21"/>
    </row>
    <row r="133" spans="1:3" x14ac:dyDescent="0.2">
      <c r="A133" s="13"/>
      <c r="B133" s="21"/>
      <c r="C133" s="21"/>
    </row>
    <row r="134" spans="1:3" x14ac:dyDescent="0.2">
      <c r="A134" s="13"/>
      <c r="B134" s="21"/>
      <c r="C134" s="21"/>
    </row>
    <row r="135" spans="1:3" x14ac:dyDescent="0.2">
      <c r="A135" s="13"/>
      <c r="B135" s="21"/>
      <c r="C135" s="21"/>
    </row>
    <row r="136" spans="1:3" x14ac:dyDescent="0.2">
      <c r="A136" s="13"/>
      <c r="B136" s="21"/>
      <c r="C136" s="21"/>
    </row>
    <row r="137" spans="1:3" x14ac:dyDescent="0.2">
      <c r="A137" s="13"/>
      <c r="B137" s="21"/>
      <c r="C137" s="21"/>
    </row>
    <row r="138" spans="1:3" x14ac:dyDescent="0.2">
      <c r="A138" s="13"/>
      <c r="B138" s="21"/>
      <c r="C138" s="21"/>
    </row>
    <row r="139" spans="1:3" x14ac:dyDescent="0.2">
      <c r="A139" s="13"/>
      <c r="B139" s="21"/>
      <c r="C139" s="21"/>
    </row>
    <row r="140" spans="1:3" x14ac:dyDescent="0.2">
      <c r="A140" s="13"/>
      <c r="B140" s="21"/>
      <c r="C140" s="21"/>
    </row>
    <row r="141" spans="1:3" x14ac:dyDescent="0.2">
      <c r="A141" s="13"/>
      <c r="B141" s="21"/>
      <c r="C141" s="21"/>
    </row>
    <row r="142" spans="1:3" x14ac:dyDescent="0.2">
      <c r="A142" s="13"/>
      <c r="B142" s="21"/>
      <c r="C142" s="21"/>
    </row>
    <row r="143" spans="1:3" x14ac:dyDescent="0.2">
      <c r="A143" s="13"/>
      <c r="B143" s="21"/>
      <c r="C143" s="21"/>
    </row>
    <row r="144" spans="1:3" x14ac:dyDescent="0.2">
      <c r="A144" s="13"/>
      <c r="B144" s="21"/>
      <c r="C144" s="21"/>
    </row>
    <row r="145" spans="1:3" x14ac:dyDescent="0.2">
      <c r="A145" s="13"/>
      <c r="B145" s="21"/>
      <c r="C145" s="21"/>
    </row>
    <row r="146" spans="1:3" x14ac:dyDescent="0.2">
      <c r="A146" s="13"/>
      <c r="B146" s="21"/>
      <c r="C146" s="21"/>
    </row>
    <row r="147" spans="1:3" x14ac:dyDescent="0.2">
      <c r="A147" s="13"/>
      <c r="B147" s="21"/>
      <c r="C147" s="21"/>
    </row>
    <row r="148" spans="1:3" x14ac:dyDescent="0.2">
      <c r="A148" s="13"/>
      <c r="B148" s="21"/>
      <c r="C148" s="21"/>
    </row>
    <row r="149" spans="1:3" x14ac:dyDescent="0.2">
      <c r="A149" s="13"/>
      <c r="B149" s="21"/>
      <c r="C149" s="21"/>
    </row>
    <row r="150" spans="1:3" x14ac:dyDescent="0.2">
      <c r="A150" s="13"/>
      <c r="B150" s="21"/>
      <c r="C150" s="21"/>
    </row>
    <row r="151" spans="1:3" x14ac:dyDescent="0.2">
      <c r="A151" s="13"/>
      <c r="B151" s="21"/>
      <c r="C151" s="21"/>
    </row>
    <row r="152" spans="1:3" x14ac:dyDescent="0.2">
      <c r="A152" s="13"/>
      <c r="B152" s="21"/>
      <c r="C152" s="21"/>
    </row>
    <row r="153" spans="1:3" x14ac:dyDescent="0.2">
      <c r="A153" s="13"/>
      <c r="B153" s="21"/>
      <c r="C153" s="21"/>
    </row>
    <row r="154" spans="1:3" x14ac:dyDescent="0.2">
      <c r="A154" s="13"/>
      <c r="B154" s="21"/>
      <c r="C154" s="21"/>
    </row>
    <row r="155" spans="1:3" x14ac:dyDescent="0.2">
      <c r="A155" s="13"/>
      <c r="B155" s="21"/>
      <c r="C155" s="21"/>
    </row>
    <row r="156" spans="1:3" x14ac:dyDescent="0.2">
      <c r="A156" s="13"/>
      <c r="B156" s="21"/>
      <c r="C156" s="21"/>
    </row>
    <row r="157" spans="1:3" x14ac:dyDescent="0.2">
      <c r="A157" s="13"/>
      <c r="B157" s="21"/>
      <c r="C157" s="21"/>
    </row>
    <row r="158" spans="1:3" x14ac:dyDescent="0.2">
      <c r="A158" s="13"/>
      <c r="B158" s="21"/>
      <c r="C158" s="21"/>
    </row>
    <row r="159" spans="1:3" x14ac:dyDescent="0.2">
      <c r="A159" s="13"/>
      <c r="B159" s="21"/>
      <c r="C159" s="21"/>
    </row>
    <row r="160" spans="1:3" x14ac:dyDescent="0.2">
      <c r="A160" s="13"/>
      <c r="B160" s="21"/>
      <c r="C160" s="21"/>
    </row>
    <row r="161" spans="1:3" x14ac:dyDescent="0.2">
      <c r="A161" s="13"/>
      <c r="B161" s="21"/>
      <c r="C161" s="21"/>
    </row>
    <row r="162" spans="1:3" x14ac:dyDescent="0.2">
      <c r="A162" s="13"/>
      <c r="B162" s="21"/>
      <c r="C162" s="21"/>
    </row>
    <row r="163" spans="1:3" x14ac:dyDescent="0.2">
      <c r="A163" s="13"/>
      <c r="B163" s="21"/>
      <c r="C163" s="21"/>
    </row>
    <row r="164" spans="1:3" x14ac:dyDescent="0.2">
      <c r="A164" s="13"/>
      <c r="B164" s="21"/>
      <c r="C164" s="21"/>
    </row>
    <row r="165" spans="1:3" x14ac:dyDescent="0.2">
      <c r="A165" s="13"/>
      <c r="B165" s="21"/>
      <c r="C165" s="21"/>
    </row>
    <row r="166" spans="1:3" x14ac:dyDescent="0.2">
      <c r="A166" s="13"/>
      <c r="B166" s="21"/>
      <c r="C166" s="21"/>
    </row>
    <row r="167" spans="1:3" x14ac:dyDescent="0.2">
      <c r="A167" s="13"/>
      <c r="B167" s="21"/>
      <c r="C167" s="21"/>
    </row>
    <row r="168" spans="1:3" x14ac:dyDescent="0.2">
      <c r="A168" s="13"/>
      <c r="B168" s="21"/>
      <c r="C168" s="21"/>
    </row>
    <row r="169" spans="1:3" x14ac:dyDescent="0.2">
      <c r="A169" s="13"/>
      <c r="B169" s="21"/>
      <c r="C169" s="21"/>
    </row>
    <row r="170" spans="1:3" x14ac:dyDescent="0.2">
      <c r="A170" s="13"/>
      <c r="B170" s="21"/>
      <c r="C170" s="21"/>
    </row>
    <row r="171" spans="1:3" x14ac:dyDescent="0.2">
      <c r="A171" s="13"/>
      <c r="B171" s="21"/>
      <c r="C171" s="21"/>
    </row>
    <row r="172" spans="1:3" x14ac:dyDescent="0.2">
      <c r="A172" s="13"/>
      <c r="B172" s="21"/>
      <c r="C172" s="21"/>
    </row>
    <row r="173" spans="1:3" x14ac:dyDescent="0.2">
      <c r="A173" s="13"/>
      <c r="B173" s="21"/>
      <c r="C173" s="21"/>
    </row>
    <row r="174" spans="1:3" x14ac:dyDescent="0.2">
      <c r="A174" s="13"/>
      <c r="B174" s="21"/>
      <c r="C174" s="21"/>
    </row>
    <row r="175" spans="1:3" x14ac:dyDescent="0.2">
      <c r="A175" s="13"/>
      <c r="B175" s="21"/>
      <c r="C175" s="21"/>
    </row>
    <row r="176" spans="1:3" x14ac:dyDescent="0.2">
      <c r="A176" s="13"/>
      <c r="B176" s="21"/>
      <c r="C176" s="21"/>
    </row>
    <row r="177" spans="1:3" x14ac:dyDescent="0.2">
      <c r="A177" s="13"/>
      <c r="B177" s="21"/>
      <c r="C177" s="21"/>
    </row>
    <row r="178" spans="1:3" x14ac:dyDescent="0.2">
      <c r="A178" s="13"/>
      <c r="B178" s="21"/>
      <c r="C178" s="21"/>
    </row>
    <row r="179" spans="1:3" x14ac:dyDescent="0.2">
      <c r="A179" s="13"/>
      <c r="B179" s="21"/>
      <c r="C179" s="21"/>
    </row>
    <row r="180" spans="1:3" x14ac:dyDescent="0.2">
      <c r="A180" s="13"/>
      <c r="B180" s="21"/>
      <c r="C180" s="21"/>
    </row>
    <row r="181" spans="1:3" x14ac:dyDescent="0.2">
      <c r="A181" s="13"/>
      <c r="B181" s="21"/>
      <c r="C181" s="21"/>
    </row>
    <row r="182" spans="1:3" x14ac:dyDescent="0.2">
      <c r="A182" s="13"/>
      <c r="B182" s="21"/>
      <c r="C182" s="21"/>
    </row>
    <row r="183" spans="1:3" x14ac:dyDescent="0.2">
      <c r="A183" s="13"/>
      <c r="B183" s="21"/>
      <c r="C183" s="21"/>
    </row>
    <row r="184" spans="1:3" x14ac:dyDescent="0.2">
      <c r="A184" s="13"/>
      <c r="B184" s="21"/>
      <c r="C184" s="21"/>
    </row>
    <row r="185" spans="1:3" x14ac:dyDescent="0.2">
      <c r="A185" s="13"/>
      <c r="B185" s="21"/>
      <c r="C185" s="21"/>
    </row>
    <row r="186" spans="1:3" x14ac:dyDescent="0.2">
      <c r="A186" s="13"/>
      <c r="B186" s="21"/>
      <c r="C186" s="21"/>
    </row>
    <row r="187" spans="1:3" x14ac:dyDescent="0.2">
      <c r="A187" s="13"/>
      <c r="B187" s="21"/>
      <c r="C187" s="21"/>
    </row>
    <row r="188" spans="1:3" x14ac:dyDescent="0.2">
      <c r="A188" s="13"/>
      <c r="B188" s="21"/>
      <c r="C188" s="21"/>
    </row>
    <row r="189" spans="1:3" x14ac:dyDescent="0.2">
      <c r="A189" s="13"/>
      <c r="B189" s="21"/>
      <c r="C189" s="21"/>
    </row>
    <row r="190" spans="1:3" x14ac:dyDescent="0.2">
      <c r="A190" s="13"/>
      <c r="B190" s="21"/>
      <c r="C190" s="21"/>
    </row>
    <row r="191" spans="1:3" x14ac:dyDescent="0.2">
      <c r="A191" s="13"/>
      <c r="B191" s="21"/>
      <c r="C191" s="21"/>
    </row>
    <row r="192" spans="1:3" x14ac:dyDescent="0.2">
      <c r="A192" s="13"/>
      <c r="B192" s="21"/>
      <c r="C192" s="21"/>
    </row>
    <row r="193" spans="1:3" x14ac:dyDescent="0.2">
      <c r="A193" s="13"/>
      <c r="B193" s="21"/>
      <c r="C193" s="21"/>
    </row>
    <row r="194" spans="1:3" x14ac:dyDescent="0.2">
      <c r="A194" s="13"/>
      <c r="B194" s="21"/>
      <c r="C194" s="21"/>
    </row>
    <row r="195" spans="1:3" x14ac:dyDescent="0.2">
      <c r="A195" s="13"/>
      <c r="B195" s="21"/>
      <c r="C195" s="21"/>
    </row>
    <row r="196" spans="1:3" x14ac:dyDescent="0.2">
      <c r="A196" s="13"/>
      <c r="B196" s="21"/>
      <c r="C196" s="21"/>
    </row>
    <row r="197" spans="1:3" x14ac:dyDescent="0.2">
      <c r="A197" s="13"/>
      <c r="B197" s="21"/>
      <c r="C197" s="21"/>
    </row>
    <row r="198" spans="1:3" x14ac:dyDescent="0.2">
      <c r="A198" s="13"/>
      <c r="B198" s="21"/>
      <c r="C198" s="21"/>
    </row>
    <row r="199" spans="1:3" x14ac:dyDescent="0.2">
      <c r="A199" s="13"/>
      <c r="B199" s="21"/>
      <c r="C199" s="21"/>
    </row>
    <row r="200" spans="1:3" x14ac:dyDescent="0.2">
      <c r="A200" s="13"/>
      <c r="B200" s="21"/>
      <c r="C200" s="21"/>
    </row>
    <row r="201" spans="1:3" x14ac:dyDescent="0.2">
      <c r="A201" s="13"/>
      <c r="B201" s="21"/>
      <c r="C201" s="21"/>
    </row>
    <row r="202" spans="1:3" x14ac:dyDescent="0.2">
      <c r="A202" s="13"/>
      <c r="B202" s="21"/>
      <c r="C202" s="21"/>
    </row>
    <row r="203" spans="1:3" x14ac:dyDescent="0.2">
      <c r="A203" s="13"/>
      <c r="B203" s="21"/>
      <c r="C203" s="21"/>
    </row>
    <row r="204" spans="1:3" x14ac:dyDescent="0.2">
      <c r="A204" s="13"/>
      <c r="B204" s="21"/>
      <c r="C204" s="21"/>
    </row>
    <row r="205" spans="1:3" x14ac:dyDescent="0.2">
      <c r="A205" s="13"/>
      <c r="B205" s="21"/>
      <c r="C205" s="21"/>
    </row>
    <row r="206" spans="1:3" x14ac:dyDescent="0.2">
      <c r="A206" s="13"/>
      <c r="B206" s="21"/>
      <c r="C206" s="21"/>
    </row>
    <row r="207" spans="1:3" x14ac:dyDescent="0.2">
      <c r="A207" s="13"/>
      <c r="B207" s="21"/>
      <c r="C207" s="21"/>
    </row>
    <row r="208" spans="1:3" x14ac:dyDescent="0.2">
      <c r="A208" s="13"/>
      <c r="B208" s="21"/>
      <c r="C208" s="21"/>
    </row>
    <row r="209" spans="1:3" x14ac:dyDescent="0.2">
      <c r="A209" s="13"/>
      <c r="B209" s="21"/>
      <c r="C209" s="21"/>
    </row>
    <row r="210" spans="1:3" x14ac:dyDescent="0.2">
      <c r="A210" s="13"/>
      <c r="B210" s="21"/>
      <c r="C210" s="21"/>
    </row>
    <row r="211" spans="1:3" x14ac:dyDescent="0.2">
      <c r="A211" s="13"/>
      <c r="B211" s="21"/>
      <c r="C211" s="21"/>
    </row>
    <row r="212" spans="1:3" x14ac:dyDescent="0.2">
      <c r="A212" s="13"/>
      <c r="B212" s="21"/>
      <c r="C212" s="21"/>
    </row>
    <row r="213" spans="1:3" x14ac:dyDescent="0.2">
      <c r="A213" s="13"/>
      <c r="B213" s="21"/>
      <c r="C213" s="21"/>
    </row>
    <row r="214" spans="1:3" x14ac:dyDescent="0.2">
      <c r="A214" s="13"/>
      <c r="B214" s="21"/>
      <c r="C214" s="21"/>
    </row>
    <row r="215" spans="1:3" x14ac:dyDescent="0.2">
      <c r="A215" s="13"/>
      <c r="B215" s="21"/>
      <c r="C215" s="21"/>
    </row>
    <row r="216" spans="1:3" x14ac:dyDescent="0.2">
      <c r="A216" s="13"/>
      <c r="B216" s="21"/>
      <c r="C216" s="21"/>
    </row>
    <row r="217" spans="1:3" x14ac:dyDescent="0.2">
      <c r="A217" s="13"/>
      <c r="B217" s="21"/>
      <c r="C217" s="21"/>
    </row>
    <row r="218" spans="1:3" x14ac:dyDescent="0.2">
      <c r="A218" s="13"/>
      <c r="B218" s="21"/>
      <c r="C218" s="21"/>
    </row>
    <row r="219" spans="1:3" x14ac:dyDescent="0.2">
      <c r="A219" s="13"/>
      <c r="B219" s="21"/>
      <c r="C219" s="21"/>
    </row>
    <row r="220" spans="1:3" x14ac:dyDescent="0.2">
      <c r="A220" s="13"/>
      <c r="B220" s="21"/>
      <c r="C220" s="21"/>
    </row>
    <row r="221" spans="1:3" x14ac:dyDescent="0.2">
      <c r="A221" s="13"/>
      <c r="B221" s="21"/>
      <c r="C221" s="21"/>
    </row>
    <row r="222" spans="1:3" x14ac:dyDescent="0.2">
      <c r="A222" s="13"/>
      <c r="B222" s="21"/>
      <c r="C222" s="21"/>
    </row>
    <row r="223" spans="1:3" x14ac:dyDescent="0.2">
      <c r="A223" s="13"/>
      <c r="B223" s="21"/>
      <c r="C223" s="21"/>
    </row>
    <row r="224" spans="1:3" x14ac:dyDescent="0.2">
      <c r="A224" s="13"/>
      <c r="B224" s="21"/>
      <c r="C224" s="21"/>
    </row>
    <row r="225" spans="1:3" x14ac:dyDescent="0.2">
      <c r="A225" s="13"/>
      <c r="B225" s="21"/>
      <c r="C225" s="21"/>
    </row>
    <row r="226" spans="1:3" x14ac:dyDescent="0.2">
      <c r="A226" s="13"/>
      <c r="B226" s="21"/>
      <c r="C226" s="21"/>
    </row>
    <row r="227" spans="1:3" x14ac:dyDescent="0.2">
      <c r="A227" s="13"/>
      <c r="B227" s="21"/>
      <c r="C227" s="21"/>
    </row>
    <row r="228" spans="1:3" x14ac:dyDescent="0.2">
      <c r="A228" s="13"/>
      <c r="B228" s="21"/>
      <c r="C228" s="21"/>
    </row>
    <row r="229" spans="1:3" x14ac:dyDescent="0.2">
      <c r="A229" s="13"/>
      <c r="B229" s="21"/>
      <c r="C229" s="21"/>
    </row>
    <row r="230" spans="1:3" x14ac:dyDescent="0.2">
      <c r="A230" s="13"/>
      <c r="B230" s="21"/>
      <c r="C230" s="21"/>
    </row>
    <row r="231" spans="1:3" x14ac:dyDescent="0.2">
      <c r="A231" s="13"/>
      <c r="B231" s="21"/>
      <c r="C231" s="21"/>
    </row>
    <row r="232" spans="1:3" x14ac:dyDescent="0.2">
      <c r="A232" s="13"/>
      <c r="B232" s="21"/>
      <c r="C232" s="21"/>
    </row>
    <row r="233" spans="1:3" x14ac:dyDescent="0.2">
      <c r="A233" s="13"/>
      <c r="B233" s="21"/>
      <c r="C233" s="21"/>
    </row>
    <row r="234" spans="1:3" x14ac:dyDescent="0.2">
      <c r="A234" s="13"/>
      <c r="B234" s="21"/>
      <c r="C234" s="21"/>
    </row>
    <row r="235" spans="1:3" x14ac:dyDescent="0.2">
      <c r="A235" s="13"/>
      <c r="B235" s="21"/>
      <c r="C235" s="21"/>
    </row>
    <row r="236" spans="1:3" x14ac:dyDescent="0.2">
      <c r="A236" s="13"/>
      <c r="B236" s="21"/>
      <c r="C236" s="21"/>
    </row>
    <row r="237" spans="1:3" x14ac:dyDescent="0.2">
      <c r="A237" s="13"/>
      <c r="B237" s="21"/>
      <c r="C237" s="21"/>
    </row>
    <row r="238" spans="1:3" x14ac:dyDescent="0.2">
      <c r="A238" s="13"/>
      <c r="B238" s="21"/>
      <c r="C238" s="21"/>
    </row>
    <row r="239" spans="1:3" x14ac:dyDescent="0.2">
      <c r="A239" s="13"/>
      <c r="B239" s="21"/>
      <c r="C239" s="21"/>
    </row>
    <row r="240" spans="1:3" x14ac:dyDescent="0.2">
      <c r="A240" s="13"/>
      <c r="B240" s="21"/>
      <c r="C240" s="21"/>
    </row>
    <row r="241" spans="1:3" x14ac:dyDescent="0.2">
      <c r="A241" s="13"/>
      <c r="B241" s="21"/>
      <c r="C241" s="21"/>
    </row>
    <row r="242" spans="1:3" x14ac:dyDescent="0.2">
      <c r="A242" s="13"/>
      <c r="B242" s="21"/>
      <c r="C242" s="21"/>
    </row>
    <row r="243" spans="1:3" x14ac:dyDescent="0.2">
      <c r="A243" s="13"/>
      <c r="B243" s="21"/>
      <c r="C243" s="21"/>
    </row>
    <row r="244" spans="1:3" x14ac:dyDescent="0.2">
      <c r="A244" s="13"/>
      <c r="B244" s="21"/>
      <c r="C244" s="21"/>
    </row>
    <row r="245" spans="1:3" x14ac:dyDescent="0.2">
      <c r="A245" s="13"/>
      <c r="B245" s="21"/>
      <c r="C245" s="21"/>
    </row>
    <row r="246" spans="1:3" x14ac:dyDescent="0.2">
      <c r="A246" s="13"/>
      <c r="B246" s="21"/>
      <c r="C246" s="21"/>
    </row>
    <row r="247" spans="1:3" x14ac:dyDescent="0.2">
      <c r="A247" s="13"/>
      <c r="B247" s="21"/>
      <c r="C247" s="21"/>
    </row>
    <row r="248" spans="1:3" x14ac:dyDescent="0.2">
      <c r="A248" s="13"/>
      <c r="B248" s="21"/>
      <c r="C248" s="21"/>
    </row>
    <row r="249" spans="1:3" x14ac:dyDescent="0.2">
      <c r="A249" s="13"/>
      <c r="B249" s="21"/>
      <c r="C249" s="21"/>
    </row>
    <row r="250" spans="1:3" x14ac:dyDescent="0.2">
      <c r="A250" s="13"/>
      <c r="B250" s="21"/>
      <c r="C250" s="21"/>
    </row>
    <row r="251" spans="1:3" x14ac:dyDescent="0.2">
      <c r="A251" s="13"/>
      <c r="B251" s="21"/>
      <c r="C251" s="21"/>
    </row>
    <row r="252" spans="1:3" x14ac:dyDescent="0.2">
      <c r="A252" s="13"/>
      <c r="B252" s="21"/>
      <c r="C252" s="21"/>
    </row>
    <row r="253" spans="1:3" x14ac:dyDescent="0.2">
      <c r="A253" s="13"/>
      <c r="B253" s="21"/>
      <c r="C253" s="21"/>
    </row>
    <row r="254" spans="1:3" x14ac:dyDescent="0.2">
      <c r="A254" s="13"/>
      <c r="B254" s="21"/>
      <c r="C254" s="21"/>
    </row>
    <row r="255" spans="1:3" x14ac:dyDescent="0.2">
      <c r="A255" s="13"/>
      <c r="B255" s="21"/>
      <c r="C255" s="21"/>
    </row>
    <row r="256" spans="1:3" x14ac:dyDescent="0.2">
      <c r="A256" s="13"/>
      <c r="B256" s="21"/>
      <c r="C256" s="21"/>
    </row>
    <row r="257" spans="1:3" x14ac:dyDescent="0.2">
      <c r="A257" s="13"/>
      <c r="B257" s="21"/>
      <c r="C257" s="21"/>
    </row>
    <row r="258" spans="1:3" x14ac:dyDescent="0.2">
      <c r="A258" s="13"/>
      <c r="B258" s="21"/>
      <c r="C258" s="21"/>
    </row>
    <row r="259" spans="1:3" x14ac:dyDescent="0.2">
      <c r="A259" s="13"/>
      <c r="B259" s="21"/>
      <c r="C259" s="21"/>
    </row>
    <row r="260" spans="1:3" x14ac:dyDescent="0.2">
      <c r="A260" s="13"/>
      <c r="B260" s="21"/>
      <c r="C260" s="21"/>
    </row>
    <row r="261" spans="1:3" x14ac:dyDescent="0.2">
      <c r="A261" s="13"/>
      <c r="B261" s="21"/>
      <c r="C261" s="21"/>
    </row>
    <row r="262" spans="1:3" x14ac:dyDescent="0.2">
      <c r="A262" s="13"/>
      <c r="B262" s="21"/>
      <c r="C262" s="21"/>
    </row>
    <row r="263" spans="1:3" x14ac:dyDescent="0.2">
      <c r="A263" s="13"/>
      <c r="B263" s="21"/>
      <c r="C263" s="21"/>
    </row>
    <row r="264" spans="1:3" x14ac:dyDescent="0.2">
      <c r="A264" s="13"/>
      <c r="B264" s="21"/>
      <c r="C264" s="21"/>
    </row>
    <row r="265" spans="1:3" x14ac:dyDescent="0.2">
      <c r="A265" s="13"/>
      <c r="B265" s="21"/>
      <c r="C265" s="21"/>
    </row>
    <row r="266" spans="1:3" x14ac:dyDescent="0.2">
      <c r="A266" s="13"/>
      <c r="B266" s="21"/>
      <c r="C266" s="21"/>
    </row>
    <row r="267" spans="1:3" x14ac:dyDescent="0.2">
      <c r="A267" s="13"/>
      <c r="B267" s="21"/>
      <c r="C267" s="21"/>
    </row>
    <row r="268" spans="1:3" x14ac:dyDescent="0.2">
      <c r="A268" s="13"/>
      <c r="B268" s="21"/>
      <c r="C268" s="21"/>
    </row>
    <row r="269" spans="1:3" x14ac:dyDescent="0.2">
      <c r="A269" s="13"/>
      <c r="B269" s="21"/>
      <c r="C269" s="21"/>
    </row>
    <row r="270" spans="1:3" x14ac:dyDescent="0.2">
      <c r="A270" s="13"/>
      <c r="B270" s="21"/>
      <c r="C270" s="21"/>
    </row>
    <row r="271" spans="1:3" x14ac:dyDescent="0.2">
      <c r="A271" s="13"/>
      <c r="B271" s="21"/>
      <c r="C271" s="21"/>
    </row>
    <row r="272" spans="1:3" x14ac:dyDescent="0.2">
      <c r="A272" s="13"/>
      <c r="B272" s="21"/>
      <c r="C272" s="21"/>
    </row>
    <row r="273" spans="1:3" x14ac:dyDescent="0.2">
      <c r="A273" s="13"/>
      <c r="B273" s="21"/>
      <c r="C273" s="21"/>
    </row>
    <row r="274" spans="1:3" x14ac:dyDescent="0.2">
      <c r="A274" s="13"/>
      <c r="B274" s="21"/>
      <c r="C274" s="21"/>
    </row>
    <row r="275" spans="1:3" x14ac:dyDescent="0.2">
      <c r="A275" s="13"/>
      <c r="B275" s="21"/>
      <c r="C275" s="21"/>
    </row>
    <row r="276" spans="1:3" x14ac:dyDescent="0.2">
      <c r="A276" s="13"/>
      <c r="B276" s="21"/>
      <c r="C276" s="21"/>
    </row>
    <row r="277" spans="1:3" x14ac:dyDescent="0.2">
      <c r="A277" s="13"/>
      <c r="B277" s="21"/>
      <c r="C277" s="21"/>
    </row>
    <row r="278" spans="1:3" x14ac:dyDescent="0.2">
      <c r="A278" s="13"/>
      <c r="B278" s="21"/>
      <c r="C278" s="21"/>
    </row>
    <row r="279" spans="1:3" x14ac:dyDescent="0.2">
      <c r="A279" s="13"/>
      <c r="B279" s="21"/>
      <c r="C279" s="21"/>
    </row>
    <row r="280" spans="1:3" x14ac:dyDescent="0.2">
      <c r="A280" s="13"/>
      <c r="B280" s="21"/>
      <c r="C280" s="21"/>
    </row>
    <row r="281" spans="1:3" x14ac:dyDescent="0.2">
      <c r="A281" s="13"/>
      <c r="B281" s="21"/>
      <c r="C281" s="21"/>
    </row>
    <row r="282" spans="1:3" x14ac:dyDescent="0.2">
      <c r="A282" s="13"/>
      <c r="B282" s="21"/>
      <c r="C282" s="21"/>
    </row>
    <row r="283" spans="1:3" x14ac:dyDescent="0.2">
      <c r="A283" s="13"/>
      <c r="B283" s="21"/>
      <c r="C283" s="21"/>
    </row>
    <row r="284" spans="1:3" x14ac:dyDescent="0.2">
      <c r="A284" s="13"/>
      <c r="B284" s="21"/>
      <c r="C284" s="21"/>
    </row>
    <row r="285" spans="1:3" x14ac:dyDescent="0.2">
      <c r="A285" s="13"/>
      <c r="B285" s="21"/>
      <c r="C285" s="21"/>
    </row>
    <row r="286" spans="1:3" x14ac:dyDescent="0.2">
      <c r="A286" s="13"/>
      <c r="B286" s="21"/>
      <c r="C286" s="21"/>
    </row>
    <row r="287" spans="1:3" x14ac:dyDescent="0.2">
      <c r="A287" s="13"/>
      <c r="B287" s="21"/>
      <c r="C287" s="21"/>
    </row>
    <row r="288" spans="1:3" x14ac:dyDescent="0.2">
      <c r="A288" s="13"/>
      <c r="B288" s="21"/>
      <c r="C288" s="21"/>
    </row>
    <row r="289" spans="1:3" x14ac:dyDescent="0.2">
      <c r="A289" s="13"/>
      <c r="B289" s="21"/>
      <c r="C289" s="21"/>
    </row>
    <row r="290" spans="1:3" x14ac:dyDescent="0.2">
      <c r="A290" s="13"/>
      <c r="B290" s="21"/>
      <c r="C290" s="21"/>
    </row>
    <row r="291" spans="1:3" x14ac:dyDescent="0.2">
      <c r="A291" s="13"/>
      <c r="B291" s="21"/>
      <c r="C291" s="21"/>
    </row>
    <row r="292" spans="1:3" x14ac:dyDescent="0.2">
      <c r="A292" s="13"/>
      <c r="B292" s="21"/>
      <c r="C292" s="21"/>
    </row>
    <row r="293" spans="1:3" x14ac:dyDescent="0.2">
      <c r="A293" s="13"/>
      <c r="B293" s="21"/>
      <c r="C293" s="21"/>
    </row>
    <row r="294" spans="1:3" x14ac:dyDescent="0.2">
      <c r="A294" s="13"/>
      <c r="B294" s="21"/>
      <c r="C294" s="21"/>
    </row>
    <row r="295" spans="1:3" x14ac:dyDescent="0.2">
      <c r="A295" s="13"/>
      <c r="B295" s="21"/>
      <c r="C295" s="21"/>
    </row>
    <row r="296" spans="1:3" x14ac:dyDescent="0.2">
      <c r="A296" s="13"/>
      <c r="B296" s="21"/>
      <c r="C296" s="21"/>
    </row>
    <row r="297" spans="1:3" x14ac:dyDescent="0.2">
      <c r="A297" s="13"/>
      <c r="B297" s="21"/>
      <c r="C297" s="21"/>
    </row>
    <row r="298" spans="1:3" x14ac:dyDescent="0.2">
      <c r="A298" s="13"/>
      <c r="B298" s="21"/>
      <c r="C298" s="21"/>
    </row>
    <row r="299" spans="1:3" x14ac:dyDescent="0.2">
      <c r="A299" s="13"/>
      <c r="B299" s="21"/>
      <c r="C299" s="21"/>
    </row>
    <row r="300" spans="1:3" x14ac:dyDescent="0.2">
      <c r="A300" s="13"/>
      <c r="B300" s="21"/>
      <c r="C300" s="21"/>
    </row>
    <row r="301" spans="1:3" x14ac:dyDescent="0.2">
      <c r="A301" s="13"/>
      <c r="B301" s="21"/>
      <c r="C301" s="21"/>
    </row>
    <row r="302" spans="1:3" x14ac:dyDescent="0.2">
      <c r="A302" s="13"/>
      <c r="B302" s="21"/>
      <c r="C302" s="21"/>
    </row>
    <row r="303" spans="1:3" x14ac:dyDescent="0.2">
      <c r="A303" s="13"/>
      <c r="B303" s="21"/>
      <c r="C303" s="21"/>
    </row>
    <row r="304" spans="1:3" x14ac:dyDescent="0.2">
      <c r="A304" s="13"/>
      <c r="B304" s="21"/>
      <c r="C304" s="21"/>
    </row>
    <row r="305" spans="1:3" x14ac:dyDescent="0.2">
      <c r="A305" s="13"/>
      <c r="B305" s="21"/>
      <c r="C305" s="21"/>
    </row>
    <row r="306" spans="1:3" x14ac:dyDescent="0.2">
      <c r="A306" s="13"/>
      <c r="B306" s="21"/>
      <c r="C306" s="21"/>
    </row>
    <row r="307" spans="1:3" x14ac:dyDescent="0.2">
      <c r="A307" s="13"/>
      <c r="B307" s="21"/>
      <c r="C307" s="21"/>
    </row>
    <row r="308" spans="1:3" x14ac:dyDescent="0.2">
      <c r="A308" s="13"/>
      <c r="B308" s="21"/>
      <c r="C308" s="21"/>
    </row>
    <row r="309" spans="1:3" x14ac:dyDescent="0.2">
      <c r="A309" s="13"/>
      <c r="B309" s="21"/>
      <c r="C309" s="21"/>
    </row>
    <row r="310" spans="1:3" x14ac:dyDescent="0.2">
      <c r="A310" s="13"/>
      <c r="B310" s="21"/>
      <c r="C310" s="21"/>
    </row>
    <row r="311" spans="1:3" x14ac:dyDescent="0.2">
      <c r="A311" s="13"/>
      <c r="B311" s="21"/>
      <c r="C311" s="21"/>
    </row>
    <row r="312" spans="1:3" x14ac:dyDescent="0.2">
      <c r="A312" s="13"/>
      <c r="B312" s="21"/>
      <c r="C312" s="21"/>
    </row>
    <row r="313" spans="1:3" x14ac:dyDescent="0.2">
      <c r="A313" s="13"/>
      <c r="B313" s="21"/>
      <c r="C313" s="21"/>
    </row>
    <row r="314" spans="1:3" x14ac:dyDescent="0.2">
      <c r="A314" s="13"/>
      <c r="B314" s="21"/>
      <c r="C314" s="21"/>
    </row>
    <row r="315" spans="1:3" x14ac:dyDescent="0.2">
      <c r="A315" s="13"/>
      <c r="B315" s="21"/>
      <c r="C315" s="21"/>
    </row>
    <row r="316" spans="1:3" x14ac:dyDescent="0.2">
      <c r="A316" s="13"/>
      <c r="B316" s="21"/>
      <c r="C316" s="21"/>
    </row>
    <row r="317" spans="1:3" x14ac:dyDescent="0.2">
      <c r="A317" s="13"/>
      <c r="B317" s="21"/>
      <c r="C317" s="21"/>
    </row>
    <row r="318" spans="1:3" x14ac:dyDescent="0.2">
      <c r="A318" s="13"/>
      <c r="B318" s="21"/>
      <c r="C318" s="21"/>
    </row>
    <row r="319" spans="1:3" x14ac:dyDescent="0.2">
      <c r="A319" s="13"/>
      <c r="B319" s="21"/>
      <c r="C319" s="21"/>
    </row>
    <row r="320" spans="1:3" x14ac:dyDescent="0.2">
      <c r="A320" s="13"/>
      <c r="B320" s="21"/>
      <c r="C320" s="21"/>
    </row>
    <row r="321" spans="1:3" x14ac:dyDescent="0.2">
      <c r="A321" s="13"/>
      <c r="B321" s="21"/>
      <c r="C321" s="21"/>
    </row>
    <row r="322" spans="1:3" x14ac:dyDescent="0.2">
      <c r="A322" s="13"/>
      <c r="B322" s="21"/>
      <c r="C322" s="21"/>
    </row>
    <row r="323" spans="1:3" x14ac:dyDescent="0.2">
      <c r="A323" s="13"/>
      <c r="B323" s="21"/>
      <c r="C323" s="21"/>
    </row>
    <row r="324" spans="1:3" x14ac:dyDescent="0.2">
      <c r="A324" s="13"/>
      <c r="B324" s="21"/>
      <c r="C324" s="21"/>
    </row>
    <row r="325" spans="1:3" x14ac:dyDescent="0.2">
      <c r="A325" s="13"/>
      <c r="B325" s="21"/>
      <c r="C325" s="21"/>
    </row>
    <row r="326" spans="1:3" x14ac:dyDescent="0.2">
      <c r="A326" s="13"/>
      <c r="B326" s="21"/>
      <c r="C326" s="21"/>
    </row>
    <row r="327" spans="1:3" x14ac:dyDescent="0.2">
      <c r="A327" s="13"/>
      <c r="B327" s="21"/>
      <c r="C327" s="21"/>
    </row>
    <row r="328" spans="1:3" x14ac:dyDescent="0.2">
      <c r="A328" s="13"/>
      <c r="B328" s="21"/>
      <c r="C328" s="21"/>
    </row>
    <row r="329" spans="1:3" x14ac:dyDescent="0.2">
      <c r="A329" s="13"/>
      <c r="B329" s="21"/>
      <c r="C329" s="21"/>
    </row>
    <row r="330" spans="1:3" x14ac:dyDescent="0.2">
      <c r="A330" s="13"/>
      <c r="B330" s="21"/>
      <c r="C330" s="21"/>
    </row>
    <row r="331" spans="1:3" x14ac:dyDescent="0.2">
      <c r="A331" s="13"/>
      <c r="B331" s="21"/>
      <c r="C331" s="21"/>
    </row>
    <row r="332" spans="1:3" x14ac:dyDescent="0.2">
      <c r="A332" s="13"/>
      <c r="B332" s="21"/>
      <c r="C332" s="21"/>
    </row>
    <row r="333" spans="1:3" x14ac:dyDescent="0.2">
      <c r="A333" s="13"/>
      <c r="B333" s="21"/>
      <c r="C333" s="21"/>
    </row>
    <row r="334" spans="1:3" x14ac:dyDescent="0.2">
      <c r="A334" s="13"/>
      <c r="B334" s="21"/>
      <c r="C334" s="21"/>
    </row>
    <row r="335" spans="1:3" x14ac:dyDescent="0.2">
      <c r="A335" s="13"/>
      <c r="B335" s="21"/>
      <c r="C335" s="21"/>
    </row>
    <row r="336" spans="1:3" x14ac:dyDescent="0.2">
      <c r="A336" s="13"/>
      <c r="B336" s="21"/>
      <c r="C336" s="21"/>
    </row>
    <row r="337" spans="1:3" x14ac:dyDescent="0.2">
      <c r="A337" s="13"/>
      <c r="B337" s="21"/>
      <c r="C337" s="21"/>
    </row>
    <row r="338" spans="1:3" x14ac:dyDescent="0.2">
      <c r="A338" s="13"/>
      <c r="B338" s="21"/>
      <c r="C338" s="21"/>
    </row>
    <row r="339" spans="1:3" x14ac:dyDescent="0.2">
      <c r="A339" s="13"/>
      <c r="B339" s="21"/>
      <c r="C339" s="21"/>
    </row>
    <row r="340" spans="1:3" x14ac:dyDescent="0.2">
      <c r="A340" s="13"/>
      <c r="B340" s="21"/>
      <c r="C340" s="21"/>
    </row>
    <row r="341" spans="1:3" x14ac:dyDescent="0.2">
      <c r="A341" s="13"/>
      <c r="B341" s="21"/>
      <c r="C341" s="21"/>
    </row>
    <row r="342" spans="1:3" x14ac:dyDescent="0.2">
      <c r="A342" s="13"/>
      <c r="B342" s="21"/>
      <c r="C342" s="21"/>
    </row>
    <row r="343" spans="1:3" x14ac:dyDescent="0.2">
      <c r="A343" s="13"/>
      <c r="B343" s="21"/>
      <c r="C343" s="21"/>
    </row>
    <row r="344" spans="1:3" x14ac:dyDescent="0.2">
      <c r="A344" s="13"/>
      <c r="B344" s="21"/>
      <c r="C344" s="21"/>
    </row>
    <row r="345" spans="1:3" x14ac:dyDescent="0.2">
      <c r="A345" s="13"/>
      <c r="B345" s="21"/>
      <c r="C345" s="21"/>
    </row>
    <row r="346" spans="1:3" x14ac:dyDescent="0.2">
      <c r="A346" s="13"/>
      <c r="B346" s="21"/>
      <c r="C346" s="21"/>
    </row>
    <row r="347" spans="1:3" x14ac:dyDescent="0.2">
      <c r="A347" s="13"/>
      <c r="B347" s="21"/>
      <c r="C347" s="21"/>
    </row>
    <row r="348" spans="1:3" x14ac:dyDescent="0.2">
      <c r="A348" s="13"/>
      <c r="B348" s="21"/>
      <c r="C348" s="21"/>
    </row>
    <row r="349" spans="1:3" x14ac:dyDescent="0.2">
      <c r="A349" s="13"/>
      <c r="B349" s="21"/>
      <c r="C349" s="21"/>
    </row>
    <row r="350" spans="1:3" x14ac:dyDescent="0.2">
      <c r="A350" s="13"/>
      <c r="B350" s="21"/>
      <c r="C350" s="21"/>
    </row>
    <row r="351" spans="1:3" x14ac:dyDescent="0.2">
      <c r="A351" s="13"/>
      <c r="B351" s="21"/>
      <c r="C351" s="21"/>
    </row>
    <row r="352" spans="1:3" x14ac:dyDescent="0.2">
      <c r="A352" s="13"/>
      <c r="B352" s="21"/>
      <c r="C352" s="21"/>
    </row>
    <row r="353" spans="1:3" x14ac:dyDescent="0.2">
      <c r="A353" s="13"/>
      <c r="B353" s="21"/>
      <c r="C353" s="21"/>
    </row>
    <row r="354" spans="1:3" x14ac:dyDescent="0.2">
      <c r="A354" s="13"/>
      <c r="B354" s="21"/>
      <c r="C354" s="21"/>
    </row>
    <row r="355" spans="1:3" x14ac:dyDescent="0.2">
      <c r="A355" s="13"/>
      <c r="B355" s="21"/>
      <c r="C355" s="21"/>
    </row>
    <row r="356" spans="1:3" x14ac:dyDescent="0.2">
      <c r="A356" s="13"/>
      <c r="B356" s="21"/>
      <c r="C356" s="21"/>
    </row>
    <row r="357" spans="1:3" x14ac:dyDescent="0.2">
      <c r="A357" s="13"/>
      <c r="B357" s="21"/>
      <c r="C357" s="21"/>
    </row>
    <row r="358" spans="1:3" x14ac:dyDescent="0.2">
      <c r="A358" s="13"/>
      <c r="B358" s="21"/>
      <c r="C358" s="21"/>
    </row>
    <row r="359" spans="1:3" x14ac:dyDescent="0.2">
      <c r="A359" s="13"/>
      <c r="B359" s="21"/>
      <c r="C359" s="21"/>
    </row>
    <row r="360" spans="1:3" x14ac:dyDescent="0.2">
      <c r="A360" s="13"/>
      <c r="B360" s="21"/>
      <c r="C360" s="21"/>
    </row>
    <row r="361" spans="1:3" x14ac:dyDescent="0.2">
      <c r="A361" s="13"/>
      <c r="B361" s="21"/>
      <c r="C361" s="21"/>
    </row>
    <row r="362" spans="1:3" x14ac:dyDescent="0.2">
      <c r="A362" s="13"/>
      <c r="B362" s="21"/>
      <c r="C362" s="21"/>
    </row>
    <row r="363" spans="1:3" x14ac:dyDescent="0.2">
      <c r="A363" s="13"/>
      <c r="B363" s="21"/>
      <c r="C363" s="21"/>
    </row>
    <row r="364" spans="1:3" x14ac:dyDescent="0.2">
      <c r="A364" s="13"/>
      <c r="B364" s="21"/>
      <c r="C364" s="21"/>
    </row>
    <row r="365" spans="1:3" x14ac:dyDescent="0.2">
      <c r="A365" s="13"/>
      <c r="B365" s="21"/>
      <c r="C365" s="21"/>
    </row>
    <row r="366" spans="1:3" x14ac:dyDescent="0.2">
      <c r="A366" s="13"/>
      <c r="B366" s="21"/>
      <c r="C366" s="21"/>
    </row>
    <row r="367" spans="1:3" x14ac:dyDescent="0.2">
      <c r="A367" s="13"/>
      <c r="B367" s="21"/>
      <c r="C367" s="21"/>
    </row>
    <row r="368" spans="1:3" x14ac:dyDescent="0.2">
      <c r="A368" s="13"/>
      <c r="B368" s="21"/>
      <c r="C368" s="21"/>
    </row>
    <row r="369" spans="1:3" x14ac:dyDescent="0.2">
      <c r="A369" s="13"/>
      <c r="B369" s="21"/>
      <c r="C369" s="21"/>
    </row>
    <row r="370" spans="1:3" x14ac:dyDescent="0.2">
      <c r="A370" s="13"/>
      <c r="B370" s="21"/>
      <c r="C370" s="21"/>
    </row>
    <row r="371" spans="1:3" x14ac:dyDescent="0.2">
      <c r="A371" s="13"/>
      <c r="B371" s="21"/>
      <c r="C371" s="21"/>
    </row>
    <row r="372" spans="1:3" x14ac:dyDescent="0.2">
      <c r="A372" s="13"/>
      <c r="B372" s="21"/>
      <c r="C372" s="21"/>
    </row>
    <row r="373" spans="1:3" x14ac:dyDescent="0.2">
      <c r="A373" s="13"/>
      <c r="B373" s="21"/>
      <c r="C373" s="21"/>
    </row>
    <row r="374" spans="1:3" x14ac:dyDescent="0.2">
      <c r="A374" s="13"/>
      <c r="B374" s="21"/>
      <c r="C374" s="21"/>
    </row>
    <row r="375" spans="1:3" x14ac:dyDescent="0.2">
      <c r="A375" s="13"/>
      <c r="B375" s="21"/>
      <c r="C375" s="21"/>
    </row>
    <row r="376" spans="1:3" x14ac:dyDescent="0.2">
      <c r="A376" s="13"/>
      <c r="B376" s="21"/>
      <c r="C376" s="21"/>
    </row>
    <row r="377" spans="1:3" x14ac:dyDescent="0.2">
      <c r="A377" s="13"/>
      <c r="B377" s="21"/>
      <c r="C377" s="21"/>
    </row>
    <row r="378" spans="1:3" x14ac:dyDescent="0.2">
      <c r="A378" s="13"/>
      <c r="B378" s="21"/>
      <c r="C378" s="21"/>
    </row>
    <row r="379" spans="1:3" x14ac:dyDescent="0.2">
      <c r="A379" s="13"/>
      <c r="B379" s="21"/>
      <c r="C379" s="21"/>
    </row>
    <row r="380" spans="1:3" x14ac:dyDescent="0.2">
      <c r="A380" s="13"/>
      <c r="B380" s="21"/>
      <c r="C380" s="21"/>
    </row>
    <row r="381" spans="1:3" x14ac:dyDescent="0.2">
      <c r="A381" s="13"/>
      <c r="B381" s="21"/>
      <c r="C381" s="21"/>
    </row>
    <row r="382" spans="1:3" x14ac:dyDescent="0.2">
      <c r="A382" s="13"/>
      <c r="B382" s="21"/>
      <c r="C382" s="21"/>
    </row>
    <row r="383" spans="1:3" x14ac:dyDescent="0.2">
      <c r="A383" s="13"/>
      <c r="B383" s="21"/>
      <c r="C383" s="21"/>
    </row>
    <row r="384" spans="1:3" x14ac:dyDescent="0.2">
      <c r="A384" s="13"/>
      <c r="B384" s="21"/>
      <c r="C384" s="21"/>
    </row>
    <row r="385" spans="1:3" x14ac:dyDescent="0.2">
      <c r="A385" s="13"/>
      <c r="B385" s="21"/>
      <c r="C385" s="21"/>
    </row>
    <row r="386" spans="1:3" x14ac:dyDescent="0.2">
      <c r="A386" s="13"/>
      <c r="B386" s="21"/>
      <c r="C386" s="21"/>
    </row>
    <row r="387" spans="1:3" x14ac:dyDescent="0.2">
      <c r="A387" s="13"/>
      <c r="B387" s="21"/>
      <c r="C387" s="21"/>
    </row>
    <row r="388" spans="1:3" x14ac:dyDescent="0.2">
      <c r="A388" s="13"/>
      <c r="B388" s="21"/>
      <c r="C388" s="21"/>
    </row>
    <row r="389" spans="1:3" x14ac:dyDescent="0.2">
      <c r="A389" s="13"/>
      <c r="B389" s="21"/>
      <c r="C389" s="21"/>
    </row>
    <row r="390" spans="1:3" x14ac:dyDescent="0.2">
      <c r="A390" s="13"/>
      <c r="B390" s="21"/>
      <c r="C390" s="21"/>
    </row>
    <row r="391" spans="1:3" x14ac:dyDescent="0.2">
      <c r="A391" s="13"/>
      <c r="B391" s="21"/>
      <c r="C391" s="21"/>
    </row>
    <row r="392" spans="1:3" x14ac:dyDescent="0.2">
      <c r="A392" s="13"/>
      <c r="B392" s="21"/>
      <c r="C392" s="21"/>
    </row>
    <row r="393" spans="1:3" x14ac:dyDescent="0.2">
      <c r="A393" s="13"/>
      <c r="B393" s="21"/>
      <c r="C393" s="21"/>
    </row>
    <row r="394" spans="1:3" x14ac:dyDescent="0.2">
      <c r="A394" s="13"/>
      <c r="B394" s="21"/>
      <c r="C394" s="21"/>
    </row>
    <row r="395" spans="1:3" x14ac:dyDescent="0.2">
      <c r="A395" s="13"/>
      <c r="B395" s="21"/>
      <c r="C395" s="21"/>
    </row>
    <row r="396" spans="1:3" x14ac:dyDescent="0.2">
      <c r="A396" s="13"/>
      <c r="B396" s="21"/>
      <c r="C396" s="21"/>
    </row>
    <row r="397" spans="1:3" x14ac:dyDescent="0.2">
      <c r="A397" s="13"/>
      <c r="B397" s="21"/>
      <c r="C397" s="21"/>
    </row>
    <row r="398" spans="1:3" x14ac:dyDescent="0.2">
      <c r="A398" s="13"/>
      <c r="B398" s="21"/>
      <c r="C398" s="21"/>
    </row>
    <row r="399" spans="1:3" x14ac:dyDescent="0.2">
      <c r="A399" s="13"/>
      <c r="B399" s="21"/>
      <c r="C399" s="21"/>
    </row>
    <row r="400" spans="1:3" x14ac:dyDescent="0.2">
      <c r="A400" s="13"/>
      <c r="B400" s="21"/>
      <c r="C400" s="21"/>
    </row>
    <row r="401" spans="1:3" x14ac:dyDescent="0.2">
      <c r="A401" s="13"/>
      <c r="B401" s="21"/>
      <c r="C401" s="21"/>
    </row>
    <row r="402" spans="1:3" x14ac:dyDescent="0.2">
      <c r="A402" s="13"/>
      <c r="B402" s="21"/>
      <c r="C402" s="21"/>
    </row>
    <row r="403" spans="1:3" x14ac:dyDescent="0.2">
      <c r="A403" s="13"/>
      <c r="B403" s="21"/>
      <c r="C403" s="21"/>
    </row>
    <row r="404" spans="1:3" x14ac:dyDescent="0.2">
      <c r="A404" s="13"/>
      <c r="B404" s="21"/>
      <c r="C404" s="21"/>
    </row>
    <row r="405" spans="1:3" x14ac:dyDescent="0.2">
      <c r="A405" s="13"/>
      <c r="B405" s="21"/>
      <c r="C405" s="21"/>
    </row>
    <row r="406" spans="1:3" x14ac:dyDescent="0.2">
      <c r="A406" s="13"/>
      <c r="B406" s="21"/>
      <c r="C406" s="21"/>
    </row>
    <row r="407" spans="1:3" x14ac:dyDescent="0.2">
      <c r="A407" s="13"/>
      <c r="B407" s="21"/>
      <c r="C407" s="21"/>
    </row>
    <row r="408" spans="1:3" x14ac:dyDescent="0.2">
      <c r="A408" s="13"/>
      <c r="B408" s="21"/>
      <c r="C408" s="21"/>
    </row>
    <row r="409" spans="1:3" x14ac:dyDescent="0.2">
      <c r="A409" s="13"/>
      <c r="B409" s="21"/>
      <c r="C409" s="21"/>
    </row>
    <row r="410" spans="1:3" x14ac:dyDescent="0.2">
      <c r="A410" s="13"/>
      <c r="B410" s="21"/>
      <c r="C410" s="21"/>
    </row>
    <row r="411" spans="1:3" x14ac:dyDescent="0.2">
      <c r="A411" s="13"/>
      <c r="B411" s="21"/>
      <c r="C411" s="21"/>
    </row>
    <row r="412" spans="1:3" x14ac:dyDescent="0.2">
      <c r="A412" s="13"/>
      <c r="B412" s="21"/>
      <c r="C412" s="21"/>
    </row>
    <row r="413" spans="1:3" x14ac:dyDescent="0.2">
      <c r="A413" s="13"/>
      <c r="B413" s="21"/>
      <c r="C413" s="21"/>
    </row>
    <row r="414" spans="1:3" x14ac:dyDescent="0.2">
      <c r="A414" s="13"/>
      <c r="B414" s="21"/>
      <c r="C414" s="21"/>
    </row>
    <row r="415" spans="1:3" x14ac:dyDescent="0.2">
      <c r="A415" s="13"/>
      <c r="B415" s="21"/>
      <c r="C415" s="21"/>
    </row>
    <row r="416" spans="1:3" x14ac:dyDescent="0.2">
      <c r="A416" s="13"/>
      <c r="B416" s="21"/>
      <c r="C416" s="21"/>
    </row>
    <row r="417" spans="1:3" x14ac:dyDescent="0.2">
      <c r="A417" s="13"/>
      <c r="B417" s="21"/>
      <c r="C417" s="21"/>
    </row>
    <row r="418" spans="1:3" x14ac:dyDescent="0.2">
      <c r="A418" s="13"/>
      <c r="B418" s="21"/>
      <c r="C418" s="21"/>
    </row>
    <row r="419" spans="1:3" x14ac:dyDescent="0.2">
      <c r="A419" s="13"/>
      <c r="B419" s="21"/>
      <c r="C419" s="21"/>
    </row>
    <row r="420" spans="1:3" x14ac:dyDescent="0.2">
      <c r="A420" s="13"/>
      <c r="B420" s="21"/>
      <c r="C420" s="21"/>
    </row>
    <row r="421" spans="1:3" x14ac:dyDescent="0.2">
      <c r="A421" s="13"/>
      <c r="B421" s="21"/>
      <c r="C421" s="21"/>
    </row>
    <row r="422" spans="1:3" x14ac:dyDescent="0.2">
      <c r="A422" s="13"/>
      <c r="B422" s="21"/>
      <c r="C422" s="21"/>
    </row>
    <row r="423" spans="1:3" x14ac:dyDescent="0.2">
      <c r="A423" s="13"/>
      <c r="B423" s="21"/>
      <c r="C423" s="21"/>
    </row>
    <row r="424" spans="1:3" x14ac:dyDescent="0.2">
      <c r="A424" s="13"/>
      <c r="B424" s="21"/>
      <c r="C424" s="21"/>
    </row>
    <row r="425" spans="1:3" x14ac:dyDescent="0.2">
      <c r="A425" s="13"/>
      <c r="B425" s="21"/>
      <c r="C425" s="21"/>
    </row>
    <row r="426" spans="1:3" x14ac:dyDescent="0.2">
      <c r="A426" s="13"/>
      <c r="B426" s="21"/>
      <c r="C426" s="21"/>
    </row>
    <row r="427" spans="1:3" x14ac:dyDescent="0.2">
      <c r="A427" s="13"/>
      <c r="B427" s="21"/>
      <c r="C427" s="21"/>
    </row>
    <row r="428" spans="1:3" x14ac:dyDescent="0.2">
      <c r="A428" s="13"/>
      <c r="B428" s="21"/>
      <c r="C428" s="21"/>
    </row>
    <row r="429" spans="1:3" x14ac:dyDescent="0.2">
      <c r="A429" s="13"/>
      <c r="B429" s="21"/>
      <c r="C429" s="21"/>
    </row>
    <row r="430" spans="1:3" x14ac:dyDescent="0.2">
      <c r="A430" s="13"/>
      <c r="B430" s="21"/>
      <c r="C430" s="21"/>
    </row>
    <row r="431" spans="1:3" x14ac:dyDescent="0.2">
      <c r="A431" s="13"/>
      <c r="B431" s="21"/>
      <c r="C431" s="21"/>
    </row>
    <row r="432" spans="1:3" x14ac:dyDescent="0.2">
      <c r="A432" s="13"/>
      <c r="B432" s="21"/>
      <c r="C432" s="21"/>
    </row>
    <row r="433" spans="1:3" x14ac:dyDescent="0.2">
      <c r="A433" s="13"/>
      <c r="B433" s="21"/>
      <c r="C433" s="21"/>
    </row>
    <row r="434" spans="1:3" x14ac:dyDescent="0.2">
      <c r="A434" s="13"/>
      <c r="B434" s="21"/>
      <c r="C434" s="21"/>
    </row>
    <row r="435" spans="1:3" x14ac:dyDescent="0.2">
      <c r="A435" s="13"/>
      <c r="B435" s="21"/>
      <c r="C435" s="21"/>
    </row>
    <row r="436" spans="1:3" x14ac:dyDescent="0.2">
      <c r="A436" s="13"/>
      <c r="B436" s="21"/>
      <c r="C436" s="21"/>
    </row>
    <row r="437" spans="1:3" x14ac:dyDescent="0.2">
      <c r="A437" s="13"/>
      <c r="B437" s="21"/>
      <c r="C437" s="21"/>
    </row>
    <row r="438" spans="1:3" x14ac:dyDescent="0.2">
      <c r="A438" s="13"/>
      <c r="B438" s="21"/>
      <c r="C438" s="21"/>
    </row>
    <row r="439" spans="1:3" x14ac:dyDescent="0.2">
      <c r="A439" s="13"/>
      <c r="B439" s="21"/>
      <c r="C439" s="21"/>
    </row>
    <row r="440" spans="1:3" x14ac:dyDescent="0.2">
      <c r="A440" s="13"/>
      <c r="B440" s="21"/>
      <c r="C440" s="21"/>
    </row>
    <row r="441" spans="1:3" x14ac:dyDescent="0.2">
      <c r="A441" s="13"/>
      <c r="B441" s="21"/>
      <c r="C441" s="21"/>
    </row>
    <row r="442" spans="1:3" x14ac:dyDescent="0.2">
      <c r="A442" s="13"/>
      <c r="B442" s="21"/>
      <c r="C442" s="21"/>
    </row>
    <row r="443" spans="1:3" x14ac:dyDescent="0.2">
      <c r="A443" s="13"/>
      <c r="B443" s="21"/>
      <c r="C443" s="21"/>
    </row>
    <row r="444" spans="1:3" x14ac:dyDescent="0.2">
      <c r="A444" s="13"/>
      <c r="B444" s="21"/>
      <c r="C444" s="21"/>
    </row>
    <row r="445" spans="1:3" x14ac:dyDescent="0.2">
      <c r="A445" s="13"/>
      <c r="B445" s="21"/>
      <c r="C445" s="21"/>
    </row>
    <row r="446" spans="1:3" x14ac:dyDescent="0.2">
      <c r="A446" s="13"/>
      <c r="B446" s="21"/>
      <c r="C446" s="21"/>
    </row>
    <row r="447" spans="1:3" x14ac:dyDescent="0.2">
      <c r="A447" s="13"/>
      <c r="B447" s="21"/>
      <c r="C447" s="21"/>
    </row>
    <row r="448" spans="1:3" x14ac:dyDescent="0.2">
      <c r="A448" s="13"/>
      <c r="B448" s="21"/>
      <c r="C448" s="21"/>
    </row>
    <row r="449" spans="1:3" x14ac:dyDescent="0.2">
      <c r="A449" s="13"/>
      <c r="B449" s="21"/>
      <c r="C449" s="21"/>
    </row>
    <row r="450" spans="1:3" x14ac:dyDescent="0.2">
      <c r="A450" s="13"/>
      <c r="B450" s="21"/>
      <c r="C450" s="21"/>
    </row>
    <row r="451" spans="1:3" x14ac:dyDescent="0.2">
      <c r="A451" s="13"/>
      <c r="B451" s="21"/>
      <c r="C451" s="21"/>
    </row>
    <row r="452" spans="1:3" x14ac:dyDescent="0.2">
      <c r="A452" s="13"/>
      <c r="B452" s="21"/>
      <c r="C452" s="21"/>
    </row>
    <row r="453" spans="1:3" x14ac:dyDescent="0.2">
      <c r="A453" s="13"/>
      <c r="B453" s="21"/>
      <c r="C453" s="21"/>
    </row>
    <row r="454" spans="1:3" x14ac:dyDescent="0.2">
      <c r="A454" s="13"/>
      <c r="B454" s="21"/>
      <c r="C454" s="21"/>
    </row>
    <row r="455" spans="1:3" x14ac:dyDescent="0.2">
      <c r="A455" s="13"/>
      <c r="B455" s="21"/>
      <c r="C455" s="21"/>
    </row>
    <row r="456" spans="1:3" x14ac:dyDescent="0.2">
      <c r="A456" s="13"/>
      <c r="B456" s="21"/>
      <c r="C456" s="21"/>
    </row>
    <row r="457" spans="1:3" x14ac:dyDescent="0.2">
      <c r="A457" s="13"/>
      <c r="B457" s="21"/>
      <c r="C457" s="21"/>
    </row>
    <row r="458" spans="1:3" x14ac:dyDescent="0.2">
      <c r="A458" s="13"/>
      <c r="B458" s="21"/>
      <c r="C458" s="21"/>
    </row>
    <row r="459" spans="1:3" x14ac:dyDescent="0.2">
      <c r="A459" s="13"/>
      <c r="B459" s="21"/>
      <c r="C459" s="21"/>
    </row>
    <row r="460" spans="1:3" x14ac:dyDescent="0.2">
      <c r="A460" s="13"/>
      <c r="B460" s="21"/>
      <c r="C460" s="21"/>
    </row>
    <row r="461" spans="1:3" x14ac:dyDescent="0.2">
      <c r="A461" s="13"/>
      <c r="B461" s="21"/>
      <c r="C461" s="21"/>
    </row>
    <row r="462" spans="1:3" x14ac:dyDescent="0.2">
      <c r="A462" s="13"/>
      <c r="B462" s="21"/>
      <c r="C462" s="21"/>
    </row>
    <row r="463" spans="1:3" x14ac:dyDescent="0.2">
      <c r="A463" s="13"/>
      <c r="B463" s="21"/>
      <c r="C463" s="21"/>
    </row>
    <row r="464" spans="1:3" x14ac:dyDescent="0.2">
      <c r="A464" s="13"/>
      <c r="B464" s="21"/>
      <c r="C464" s="21"/>
    </row>
    <row r="465" spans="1:3" x14ac:dyDescent="0.2">
      <c r="A465" s="13"/>
      <c r="B465" s="21"/>
      <c r="C465" s="21"/>
    </row>
    <row r="466" spans="1:3" x14ac:dyDescent="0.2">
      <c r="A466" s="13"/>
      <c r="B466" s="21"/>
      <c r="C466" s="21"/>
    </row>
    <row r="467" spans="1:3" x14ac:dyDescent="0.2">
      <c r="A467" s="13"/>
      <c r="B467" s="21"/>
      <c r="C467" s="21"/>
    </row>
    <row r="468" spans="1:3" x14ac:dyDescent="0.2">
      <c r="A468" s="13"/>
      <c r="B468" s="21"/>
      <c r="C468" s="21"/>
    </row>
    <row r="469" spans="1:3" x14ac:dyDescent="0.2">
      <c r="A469" s="13"/>
      <c r="B469" s="21"/>
      <c r="C469" s="21"/>
    </row>
    <row r="470" spans="1:3" x14ac:dyDescent="0.2">
      <c r="A470" s="13"/>
      <c r="B470" s="21"/>
      <c r="C470" s="21"/>
    </row>
    <row r="471" spans="1:3" x14ac:dyDescent="0.2">
      <c r="A471" s="13"/>
      <c r="B471" s="21"/>
      <c r="C471" s="21"/>
    </row>
    <row r="472" spans="1:3" x14ac:dyDescent="0.2">
      <c r="A472" s="13"/>
      <c r="B472" s="21"/>
      <c r="C472" s="21"/>
    </row>
    <row r="473" spans="1:3" x14ac:dyDescent="0.2">
      <c r="A473" s="13"/>
      <c r="B473" s="21"/>
      <c r="C473" s="21"/>
    </row>
    <row r="474" spans="1:3" x14ac:dyDescent="0.2">
      <c r="A474" s="13"/>
      <c r="B474" s="21"/>
      <c r="C474" s="21"/>
    </row>
    <row r="475" spans="1:3" x14ac:dyDescent="0.2">
      <c r="A475" s="13"/>
      <c r="B475" s="21"/>
      <c r="C475" s="21"/>
    </row>
    <row r="476" spans="1:3" x14ac:dyDescent="0.2">
      <c r="A476" s="13"/>
      <c r="B476" s="21"/>
      <c r="C476" s="21"/>
    </row>
    <row r="477" spans="1:3" x14ac:dyDescent="0.2">
      <c r="A477" s="13"/>
      <c r="B477" s="21"/>
      <c r="C477" s="21"/>
    </row>
    <row r="478" spans="1:3" x14ac:dyDescent="0.2">
      <c r="A478" s="13"/>
      <c r="B478" s="21"/>
      <c r="C478" s="21"/>
    </row>
    <row r="479" spans="1:3" x14ac:dyDescent="0.2">
      <c r="A479" s="13"/>
      <c r="B479" s="21"/>
      <c r="C479" s="21"/>
    </row>
    <row r="480" spans="1:3" x14ac:dyDescent="0.2">
      <c r="A480" s="13"/>
      <c r="B480" s="21"/>
      <c r="C480" s="21"/>
    </row>
    <row r="481" spans="1:3" x14ac:dyDescent="0.2">
      <c r="A481" s="13"/>
      <c r="B481" s="21"/>
      <c r="C481" s="21"/>
    </row>
    <row r="482" spans="1:3" x14ac:dyDescent="0.2">
      <c r="A482" s="13"/>
      <c r="B482" s="21"/>
      <c r="C482" s="21"/>
    </row>
    <row r="483" spans="1:3" x14ac:dyDescent="0.2">
      <c r="A483" s="13"/>
      <c r="B483" s="21"/>
      <c r="C483" s="21"/>
    </row>
    <row r="484" spans="1:3" x14ac:dyDescent="0.2">
      <c r="A484" s="13"/>
      <c r="B484" s="21"/>
      <c r="C484" s="21"/>
    </row>
    <row r="485" spans="1:3" x14ac:dyDescent="0.2">
      <c r="A485" s="13"/>
      <c r="B485" s="21"/>
      <c r="C485" s="21"/>
    </row>
    <row r="486" spans="1:3" x14ac:dyDescent="0.2">
      <c r="A486" s="13"/>
      <c r="B486" s="21"/>
      <c r="C486" s="21"/>
    </row>
    <row r="487" spans="1:3" x14ac:dyDescent="0.2">
      <c r="A487" s="13"/>
      <c r="B487" s="21"/>
      <c r="C487" s="21"/>
    </row>
    <row r="488" spans="1:3" x14ac:dyDescent="0.2">
      <c r="A488" s="13"/>
      <c r="B488" s="21"/>
      <c r="C488" s="21"/>
    </row>
    <row r="489" spans="1:3" x14ac:dyDescent="0.2">
      <c r="A489" s="13"/>
      <c r="B489" s="21"/>
      <c r="C489" s="21"/>
    </row>
    <row r="490" spans="1:3" x14ac:dyDescent="0.2">
      <c r="A490" s="13"/>
      <c r="B490" s="21"/>
      <c r="C490" s="21"/>
    </row>
    <row r="491" spans="1:3" x14ac:dyDescent="0.2">
      <c r="A491" s="13"/>
      <c r="B491" s="21"/>
      <c r="C491" s="21"/>
    </row>
    <row r="492" spans="1:3" x14ac:dyDescent="0.2">
      <c r="A492" s="13"/>
      <c r="B492" s="21"/>
      <c r="C492" s="21"/>
    </row>
    <row r="493" spans="1:3" x14ac:dyDescent="0.2">
      <c r="A493" s="13"/>
      <c r="B493" s="21"/>
      <c r="C493" s="21"/>
    </row>
    <row r="494" spans="1:3" x14ac:dyDescent="0.2">
      <c r="A494" s="13"/>
      <c r="B494" s="21"/>
      <c r="C494" s="21"/>
    </row>
    <row r="495" spans="1:3" x14ac:dyDescent="0.2">
      <c r="A495" s="13"/>
      <c r="B495" s="21"/>
      <c r="C495" s="21"/>
    </row>
    <row r="496" spans="1:3" x14ac:dyDescent="0.2">
      <c r="A496" s="13"/>
      <c r="B496" s="21"/>
      <c r="C496" s="21"/>
    </row>
    <row r="497" spans="1:3" x14ac:dyDescent="0.2">
      <c r="A497" s="13"/>
      <c r="B497" s="21"/>
      <c r="C497" s="21"/>
    </row>
    <row r="498" spans="1:3" x14ac:dyDescent="0.2">
      <c r="A498" s="13"/>
      <c r="B498" s="21"/>
      <c r="C498" s="21"/>
    </row>
    <row r="499" spans="1:3" x14ac:dyDescent="0.2">
      <c r="A499" s="13"/>
      <c r="B499" s="21"/>
      <c r="C499" s="21"/>
    </row>
    <row r="500" spans="1:3" x14ac:dyDescent="0.2">
      <c r="A500" s="13"/>
      <c r="B500" s="21"/>
      <c r="C500" s="21"/>
    </row>
    <row r="501" spans="1:3" x14ac:dyDescent="0.2">
      <c r="A501" s="13"/>
      <c r="B501" s="21"/>
      <c r="C501" s="21"/>
    </row>
    <row r="502" spans="1:3" x14ac:dyDescent="0.2">
      <c r="A502" s="13"/>
      <c r="B502" s="21"/>
      <c r="C502" s="21"/>
    </row>
    <row r="503" spans="1:3" x14ac:dyDescent="0.2">
      <c r="A503" s="13"/>
      <c r="B503" s="21"/>
      <c r="C503" s="21"/>
    </row>
    <row r="504" spans="1:3" x14ac:dyDescent="0.2">
      <c r="A504" s="13"/>
      <c r="B504" s="21"/>
      <c r="C504" s="21"/>
    </row>
    <row r="505" spans="1:3" x14ac:dyDescent="0.2">
      <c r="A505" s="13"/>
      <c r="B505" s="21"/>
      <c r="C505" s="21"/>
    </row>
    <row r="506" spans="1:3" x14ac:dyDescent="0.2">
      <c r="A506" s="13"/>
      <c r="B506" s="21"/>
      <c r="C506" s="21"/>
    </row>
    <row r="507" spans="1:3" x14ac:dyDescent="0.2">
      <c r="A507" s="13"/>
      <c r="B507" s="21"/>
      <c r="C507" s="21"/>
    </row>
    <row r="508" spans="1:3" x14ac:dyDescent="0.2">
      <c r="A508" s="13"/>
      <c r="B508" s="21"/>
      <c r="C508" s="21"/>
    </row>
    <row r="509" spans="1:3" x14ac:dyDescent="0.2">
      <c r="A509" s="13"/>
      <c r="B509" s="21"/>
      <c r="C509" s="21"/>
    </row>
    <row r="510" spans="1:3" x14ac:dyDescent="0.2">
      <c r="A510" s="13"/>
      <c r="B510" s="21"/>
      <c r="C510" s="21"/>
    </row>
    <row r="511" spans="1:3" x14ac:dyDescent="0.2">
      <c r="A511" s="13"/>
      <c r="B511" s="21"/>
      <c r="C511" s="21"/>
    </row>
    <row r="512" spans="1:3" x14ac:dyDescent="0.2">
      <c r="A512" s="13"/>
      <c r="B512" s="21"/>
      <c r="C512" s="21"/>
    </row>
    <row r="513" spans="1:3" x14ac:dyDescent="0.2">
      <c r="A513" s="13"/>
      <c r="B513" s="21"/>
      <c r="C513" s="21"/>
    </row>
    <row r="514" spans="1:3" x14ac:dyDescent="0.2">
      <c r="A514" s="13"/>
      <c r="B514" s="21"/>
      <c r="C514" s="21"/>
    </row>
    <row r="515" spans="1:3" x14ac:dyDescent="0.2">
      <c r="A515" s="13"/>
      <c r="B515" s="21"/>
      <c r="C515" s="21"/>
    </row>
    <row r="516" spans="1:3" x14ac:dyDescent="0.2">
      <c r="A516" s="13"/>
      <c r="B516" s="21"/>
      <c r="C516" s="21"/>
    </row>
    <row r="517" spans="1:3" x14ac:dyDescent="0.2">
      <c r="A517" s="13"/>
      <c r="B517" s="21"/>
      <c r="C517" s="21"/>
    </row>
    <row r="518" spans="1:3" x14ac:dyDescent="0.2">
      <c r="A518" s="13"/>
      <c r="B518" s="21"/>
      <c r="C518" s="21"/>
    </row>
    <row r="519" spans="1:3" x14ac:dyDescent="0.2">
      <c r="A519" s="13"/>
      <c r="B519" s="21"/>
      <c r="C519" s="21"/>
    </row>
    <row r="520" spans="1:3" x14ac:dyDescent="0.2">
      <c r="A520" s="13"/>
      <c r="B520" s="21"/>
      <c r="C520" s="21"/>
    </row>
    <row r="521" spans="1:3" x14ac:dyDescent="0.2">
      <c r="A521" s="13"/>
      <c r="B521" s="21"/>
      <c r="C521" s="21"/>
    </row>
    <row r="522" spans="1:3" x14ac:dyDescent="0.2">
      <c r="A522" s="13"/>
      <c r="B522" s="21"/>
      <c r="C522" s="21"/>
    </row>
    <row r="523" spans="1:3" x14ac:dyDescent="0.2">
      <c r="A523" s="13"/>
      <c r="B523" s="21"/>
      <c r="C523" s="21"/>
    </row>
    <row r="524" spans="1:3" x14ac:dyDescent="0.2">
      <c r="A524" s="13"/>
      <c r="B524" s="21"/>
      <c r="C524" s="21"/>
    </row>
    <row r="525" spans="1:3" x14ac:dyDescent="0.2">
      <c r="A525" s="13"/>
      <c r="B525" s="21"/>
      <c r="C525" s="21"/>
    </row>
    <row r="526" spans="1:3" x14ac:dyDescent="0.2">
      <c r="A526" s="13"/>
      <c r="B526" s="21"/>
      <c r="C526" s="21"/>
    </row>
    <row r="527" spans="1:3" x14ac:dyDescent="0.2">
      <c r="A527" s="13"/>
      <c r="B527" s="21"/>
      <c r="C527" s="21"/>
    </row>
    <row r="528" spans="1:3" x14ac:dyDescent="0.2">
      <c r="A528" s="13"/>
      <c r="B528" s="21"/>
      <c r="C528" s="21"/>
    </row>
    <row r="529" spans="1:3" x14ac:dyDescent="0.2">
      <c r="A529" s="13"/>
      <c r="B529" s="21"/>
      <c r="C529" s="21"/>
    </row>
    <row r="530" spans="1:3" x14ac:dyDescent="0.2">
      <c r="A530" s="13"/>
      <c r="B530" s="21"/>
      <c r="C530" s="21"/>
    </row>
    <row r="531" spans="1:3" x14ac:dyDescent="0.2">
      <c r="A531" s="13"/>
      <c r="B531" s="21"/>
      <c r="C531" s="21"/>
    </row>
    <row r="532" spans="1:3" x14ac:dyDescent="0.2">
      <c r="A532" s="13"/>
      <c r="B532" s="21"/>
      <c r="C532" s="21"/>
    </row>
    <row r="533" spans="1:3" x14ac:dyDescent="0.2">
      <c r="A533" s="13"/>
      <c r="B533" s="21"/>
      <c r="C533" s="21"/>
    </row>
    <row r="534" spans="1:3" x14ac:dyDescent="0.2">
      <c r="A534" s="13"/>
      <c r="B534" s="21"/>
      <c r="C534" s="21"/>
    </row>
    <row r="535" spans="1:3" x14ac:dyDescent="0.2">
      <c r="A535" s="13"/>
      <c r="B535" s="21"/>
      <c r="C535" s="21"/>
    </row>
    <row r="536" spans="1:3" x14ac:dyDescent="0.2">
      <c r="A536" s="13"/>
      <c r="B536" s="21"/>
      <c r="C536" s="21"/>
    </row>
    <row r="537" spans="1:3" x14ac:dyDescent="0.2">
      <c r="A537" s="13"/>
      <c r="B537" s="21"/>
      <c r="C537" s="21"/>
    </row>
    <row r="538" spans="1:3" x14ac:dyDescent="0.2">
      <c r="A538" s="13"/>
      <c r="B538" s="21"/>
      <c r="C538" s="21"/>
    </row>
    <row r="539" spans="1:3" x14ac:dyDescent="0.2">
      <c r="A539" s="13"/>
      <c r="B539" s="21"/>
      <c r="C539" s="21"/>
    </row>
    <row r="540" spans="1:3" x14ac:dyDescent="0.2">
      <c r="A540" s="13"/>
      <c r="B540" s="21"/>
      <c r="C540" s="21"/>
    </row>
    <row r="541" spans="1:3" x14ac:dyDescent="0.2">
      <c r="A541" s="13"/>
      <c r="B541" s="21"/>
      <c r="C541" s="21"/>
    </row>
    <row r="542" spans="1:3" x14ac:dyDescent="0.2">
      <c r="A542" s="13"/>
      <c r="B542" s="21"/>
      <c r="C542" s="21"/>
    </row>
    <row r="543" spans="1:3" x14ac:dyDescent="0.2">
      <c r="A543" s="13"/>
      <c r="B543" s="21"/>
      <c r="C543" s="21"/>
    </row>
    <row r="544" spans="1:3" x14ac:dyDescent="0.2">
      <c r="A544" s="13"/>
      <c r="B544" s="21"/>
      <c r="C544" s="21"/>
    </row>
    <row r="545" spans="1:3" x14ac:dyDescent="0.2">
      <c r="A545" s="13"/>
      <c r="B545" s="21"/>
      <c r="C545" s="21"/>
    </row>
    <row r="546" spans="1:3" x14ac:dyDescent="0.2">
      <c r="A546" s="13"/>
      <c r="B546" s="21"/>
      <c r="C546" s="21"/>
    </row>
    <row r="547" spans="1:3" x14ac:dyDescent="0.2">
      <c r="A547" s="13"/>
      <c r="B547" s="21"/>
      <c r="C547" s="21"/>
    </row>
    <row r="548" spans="1:3" x14ac:dyDescent="0.2">
      <c r="A548" s="13"/>
      <c r="B548" s="21"/>
      <c r="C548" s="21"/>
    </row>
    <row r="549" spans="1:3" x14ac:dyDescent="0.2">
      <c r="A549" s="13"/>
      <c r="B549" s="21"/>
      <c r="C549" s="21"/>
    </row>
    <row r="550" spans="1:3" x14ac:dyDescent="0.2">
      <c r="A550" s="13"/>
      <c r="B550" s="21"/>
      <c r="C550" s="21"/>
    </row>
    <row r="551" spans="1:3" x14ac:dyDescent="0.2">
      <c r="A551" s="13"/>
      <c r="B551" s="21"/>
      <c r="C551" s="21"/>
    </row>
    <row r="552" spans="1:3" x14ac:dyDescent="0.2">
      <c r="A552" s="13"/>
      <c r="B552" s="21"/>
      <c r="C552" s="21"/>
    </row>
    <row r="553" spans="1:3" x14ac:dyDescent="0.2">
      <c r="A553" s="13"/>
      <c r="B553" s="21"/>
      <c r="C553" s="21"/>
    </row>
    <row r="554" spans="1:3" x14ac:dyDescent="0.2">
      <c r="A554" s="13"/>
      <c r="B554" s="21"/>
      <c r="C554" s="21"/>
    </row>
    <row r="555" spans="1:3" x14ac:dyDescent="0.2">
      <c r="A555" s="13"/>
      <c r="B555" s="21"/>
      <c r="C555" s="21"/>
    </row>
    <row r="556" spans="1:3" x14ac:dyDescent="0.2">
      <c r="A556" s="13"/>
      <c r="B556" s="21"/>
      <c r="C556" s="21"/>
    </row>
    <row r="557" spans="1:3" x14ac:dyDescent="0.2">
      <c r="A557" s="13"/>
      <c r="B557" s="21"/>
      <c r="C557" s="21"/>
    </row>
    <row r="558" spans="1:3" x14ac:dyDescent="0.2">
      <c r="A558" s="13"/>
      <c r="B558" s="21"/>
      <c r="C558" s="21"/>
    </row>
    <row r="559" spans="1:3" x14ac:dyDescent="0.2">
      <c r="A559" s="13"/>
      <c r="B559" s="21"/>
      <c r="C559" s="21"/>
    </row>
    <row r="560" spans="1:3" x14ac:dyDescent="0.2">
      <c r="A560" s="13"/>
      <c r="B560" s="21"/>
      <c r="C560" s="21"/>
    </row>
    <row r="561" spans="1:3" x14ac:dyDescent="0.2">
      <c r="A561" s="13"/>
      <c r="B561" s="21"/>
      <c r="C561" s="21"/>
    </row>
    <row r="562" spans="1:3" x14ac:dyDescent="0.2">
      <c r="A562" s="13"/>
      <c r="B562" s="21"/>
      <c r="C562" s="21"/>
    </row>
    <row r="563" spans="1:3" x14ac:dyDescent="0.2">
      <c r="A563" s="13"/>
      <c r="B563" s="21"/>
      <c r="C563" s="21"/>
    </row>
    <row r="564" spans="1:3" x14ac:dyDescent="0.2">
      <c r="A564" s="13"/>
      <c r="B564" s="21"/>
      <c r="C564" s="21"/>
    </row>
    <row r="565" spans="1:3" x14ac:dyDescent="0.2">
      <c r="A565" s="13"/>
      <c r="B565" s="21"/>
      <c r="C565" s="21"/>
    </row>
    <row r="566" spans="1:3" x14ac:dyDescent="0.2">
      <c r="A566" s="13"/>
      <c r="B566" s="21"/>
      <c r="C566" s="21"/>
    </row>
    <row r="567" spans="1:3" x14ac:dyDescent="0.2">
      <c r="A567" s="13"/>
      <c r="B567" s="21"/>
      <c r="C567" s="21"/>
    </row>
    <row r="568" spans="1:3" x14ac:dyDescent="0.2">
      <c r="A568" s="13"/>
      <c r="B568" s="21"/>
      <c r="C568" s="21"/>
    </row>
    <row r="569" spans="1:3" x14ac:dyDescent="0.2">
      <c r="A569" s="13"/>
      <c r="B569" s="21"/>
      <c r="C569" s="21"/>
    </row>
    <row r="570" spans="1:3" x14ac:dyDescent="0.2">
      <c r="A570" s="13"/>
      <c r="B570" s="21"/>
      <c r="C570" s="21"/>
    </row>
    <row r="571" spans="1:3" x14ac:dyDescent="0.2">
      <c r="A571" s="13"/>
      <c r="B571" s="21"/>
      <c r="C571" s="21"/>
    </row>
    <row r="572" spans="1:3" x14ac:dyDescent="0.2">
      <c r="A572" s="13"/>
      <c r="B572" s="21"/>
      <c r="C572" s="21"/>
    </row>
    <row r="573" spans="1:3" x14ac:dyDescent="0.2">
      <c r="A573" s="13"/>
      <c r="B573" s="21"/>
      <c r="C573" s="21"/>
    </row>
    <row r="574" spans="1:3" x14ac:dyDescent="0.2">
      <c r="A574" s="13"/>
      <c r="B574" s="21"/>
      <c r="C574" s="21"/>
    </row>
    <row r="575" spans="1:3" x14ac:dyDescent="0.2">
      <c r="A575" s="13"/>
      <c r="B575" s="21"/>
      <c r="C575" s="21"/>
    </row>
    <row r="576" spans="1:3" x14ac:dyDescent="0.2">
      <c r="A576" s="13"/>
      <c r="B576" s="21"/>
      <c r="C576" s="21"/>
    </row>
    <row r="577" spans="1:3" x14ac:dyDescent="0.2">
      <c r="A577" s="13"/>
      <c r="B577" s="21"/>
      <c r="C577" s="21"/>
    </row>
    <row r="578" spans="1:3" x14ac:dyDescent="0.2">
      <c r="A578" s="13"/>
      <c r="B578" s="21"/>
      <c r="C578" s="21"/>
    </row>
    <row r="579" spans="1:3" x14ac:dyDescent="0.2">
      <c r="A579" s="13"/>
      <c r="B579" s="21"/>
      <c r="C579" s="21"/>
    </row>
    <row r="580" spans="1:3" x14ac:dyDescent="0.2">
      <c r="A580" s="13"/>
      <c r="B580" s="21"/>
      <c r="C580" s="21"/>
    </row>
    <row r="581" spans="1:3" x14ac:dyDescent="0.2">
      <c r="A581" s="13"/>
      <c r="B581" s="21"/>
      <c r="C581" s="21"/>
    </row>
    <row r="582" spans="1:3" x14ac:dyDescent="0.2">
      <c r="A582" s="13"/>
      <c r="B582" s="21"/>
      <c r="C582" s="21"/>
    </row>
    <row r="583" spans="1:3" x14ac:dyDescent="0.2">
      <c r="A583" s="13"/>
      <c r="B583" s="21"/>
      <c r="C583" s="21"/>
    </row>
    <row r="584" spans="1:3" x14ac:dyDescent="0.2">
      <c r="A584" s="13"/>
      <c r="B584" s="21"/>
      <c r="C584" s="21"/>
    </row>
    <row r="585" spans="1:3" x14ac:dyDescent="0.2">
      <c r="A585" s="13"/>
      <c r="B585" s="21"/>
      <c r="C585" s="21"/>
    </row>
    <row r="586" spans="1:3" x14ac:dyDescent="0.2">
      <c r="A586" s="13"/>
      <c r="B586" s="21"/>
      <c r="C586" s="21"/>
    </row>
    <row r="587" spans="1:3" x14ac:dyDescent="0.2">
      <c r="A587" s="13"/>
      <c r="B587" s="21"/>
      <c r="C587" s="21"/>
    </row>
    <row r="588" spans="1:3" x14ac:dyDescent="0.2">
      <c r="A588" s="13"/>
      <c r="B588" s="21"/>
      <c r="C588" s="21"/>
    </row>
    <row r="589" spans="1:3" x14ac:dyDescent="0.2">
      <c r="A589" s="13"/>
      <c r="B589" s="21"/>
      <c r="C589" s="21"/>
    </row>
    <row r="590" spans="1:3" x14ac:dyDescent="0.2">
      <c r="A590" s="13"/>
      <c r="B590" s="21"/>
      <c r="C590" s="21"/>
    </row>
    <row r="591" spans="1:3" x14ac:dyDescent="0.2">
      <c r="A591" s="13"/>
      <c r="B591" s="21"/>
      <c r="C591" s="21"/>
    </row>
    <row r="592" spans="1:3" x14ac:dyDescent="0.2">
      <c r="A592" s="13"/>
      <c r="B592" s="21"/>
      <c r="C592" s="21"/>
    </row>
    <row r="593" spans="1:3" x14ac:dyDescent="0.2">
      <c r="A593" s="13"/>
      <c r="B593" s="21"/>
      <c r="C593" s="21"/>
    </row>
    <row r="594" spans="1:3" x14ac:dyDescent="0.2">
      <c r="A594" s="13"/>
      <c r="B594" s="21"/>
      <c r="C594" s="21"/>
    </row>
    <row r="595" spans="1:3" x14ac:dyDescent="0.2">
      <c r="A595" s="13"/>
      <c r="B595" s="21"/>
      <c r="C595" s="21"/>
    </row>
    <row r="596" spans="1:3" x14ac:dyDescent="0.2">
      <c r="A596" s="13"/>
      <c r="B596" s="21"/>
      <c r="C596" s="21"/>
    </row>
    <row r="597" spans="1:3" x14ac:dyDescent="0.2">
      <c r="A597" s="13"/>
      <c r="B597" s="21"/>
      <c r="C597" s="21"/>
    </row>
    <row r="598" spans="1:3" x14ac:dyDescent="0.2">
      <c r="A598" s="13"/>
      <c r="B598" s="21"/>
      <c r="C598" s="21"/>
    </row>
    <row r="599" spans="1:3" x14ac:dyDescent="0.2">
      <c r="A599" s="13"/>
      <c r="B599" s="21"/>
      <c r="C599" s="21"/>
    </row>
    <row r="600" spans="1:3" x14ac:dyDescent="0.2">
      <c r="A600" s="13"/>
      <c r="B600" s="21"/>
      <c r="C600" s="21"/>
    </row>
    <row r="601" spans="1:3" x14ac:dyDescent="0.2">
      <c r="A601" s="13"/>
      <c r="B601" s="21"/>
      <c r="C601" s="21"/>
    </row>
    <row r="602" spans="1:3" x14ac:dyDescent="0.2">
      <c r="A602" s="13"/>
      <c r="B602" s="21"/>
      <c r="C602" s="21"/>
    </row>
    <row r="603" spans="1:3" x14ac:dyDescent="0.2">
      <c r="A603" s="13"/>
      <c r="B603" s="21"/>
      <c r="C603" s="21"/>
    </row>
    <row r="604" spans="1:3" x14ac:dyDescent="0.2">
      <c r="A604" s="13"/>
      <c r="B604" s="21"/>
      <c r="C604" s="21"/>
    </row>
    <row r="605" spans="1:3" x14ac:dyDescent="0.2">
      <c r="A605" s="13"/>
      <c r="B605" s="21"/>
      <c r="C605" s="21"/>
    </row>
    <row r="606" spans="1:3" x14ac:dyDescent="0.2">
      <c r="A606" s="13"/>
      <c r="B606" s="21"/>
      <c r="C606" s="21"/>
    </row>
    <row r="607" spans="1:3" x14ac:dyDescent="0.2">
      <c r="A607" s="13"/>
      <c r="B607" s="21"/>
      <c r="C607" s="21"/>
    </row>
    <row r="608" spans="1:3" x14ac:dyDescent="0.2">
      <c r="A608" s="13"/>
      <c r="B608" s="21"/>
      <c r="C608" s="21"/>
    </row>
    <row r="609" spans="1:3" x14ac:dyDescent="0.2">
      <c r="A609" s="13"/>
      <c r="B609" s="21"/>
      <c r="C609" s="21"/>
    </row>
    <row r="610" spans="1:3" x14ac:dyDescent="0.2">
      <c r="A610" s="13"/>
      <c r="B610" s="21"/>
      <c r="C610" s="21"/>
    </row>
    <row r="611" spans="1:3" x14ac:dyDescent="0.2">
      <c r="A611" s="13"/>
      <c r="B611" s="21"/>
      <c r="C611" s="21"/>
    </row>
    <row r="612" spans="1:3" x14ac:dyDescent="0.2">
      <c r="A612" s="13"/>
      <c r="B612" s="21"/>
      <c r="C612" s="21"/>
    </row>
    <row r="613" spans="1:3" x14ac:dyDescent="0.2">
      <c r="A613" s="13"/>
      <c r="B613" s="21"/>
      <c r="C613" s="21"/>
    </row>
    <row r="614" spans="1:3" x14ac:dyDescent="0.2">
      <c r="A614" s="13"/>
      <c r="B614" s="21"/>
      <c r="C614" s="21"/>
    </row>
    <row r="615" spans="1:3" x14ac:dyDescent="0.2">
      <c r="A615" s="13"/>
      <c r="B615" s="21"/>
      <c r="C615" s="21"/>
    </row>
    <row r="616" spans="1:3" x14ac:dyDescent="0.2">
      <c r="A616" s="13"/>
      <c r="B616" s="21"/>
      <c r="C616" s="21"/>
    </row>
    <row r="617" spans="1:3" x14ac:dyDescent="0.2">
      <c r="A617" s="13"/>
      <c r="B617" s="21"/>
      <c r="C617" s="21"/>
    </row>
    <row r="618" spans="1:3" x14ac:dyDescent="0.2">
      <c r="A618" s="13"/>
      <c r="B618" s="21"/>
      <c r="C618" s="21"/>
    </row>
    <row r="619" spans="1:3" x14ac:dyDescent="0.2">
      <c r="A619" s="13"/>
      <c r="B619" s="21"/>
      <c r="C619" s="21"/>
    </row>
    <row r="620" spans="1:3" x14ac:dyDescent="0.2">
      <c r="A620" s="13"/>
      <c r="B620" s="21"/>
      <c r="C620" s="21"/>
    </row>
    <row r="621" spans="1:3" x14ac:dyDescent="0.2">
      <c r="A621" s="13"/>
      <c r="B621" s="21"/>
      <c r="C621" s="21"/>
    </row>
    <row r="622" spans="1:3" x14ac:dyDescent="0.2">
      <c r="A622" s="13"/>
      <c r="B622" s="21"/>
      <c r="C622" s="21"/>
    </row>
    <row r="623" spans="1:3" x14ac:dyDescent="0.2">
      <c r="A623" s="13"/>
      <c r="B623" s="21"/>
      <c r="C623" s="21"/>
    </row>
    <row r="624" spans="1:3" x14ac:dyDescent="0.2">
      <c r="A624" s="13"/>
      <c r="B624" s="21"/>
      <c r="C624" s="21"/>
    </row>
    <row r="625" spans="1:3" x14ac:dyDescent="0.2">
      <c r="A625" s="13"/>
      <c r="B625" s="21"/>
      <c r="C625" s="21"/>
    </row>
    <row r="626" spans="1:3" x14ac:dyDescent="0.2">
      <c r="A626" s="13"/>
      <c r="B626" s="21"/>
      <c r="C626" s="21"/>
    </row>
    <row r="627" spans="1:3" x14ac:dyDescent="0.2">
      <c r="A627" s="13"/>
      <c r="B627" s="21"/>
      <c r="C627" s="21"/>
    </row>
    <row r="628" spans="1:3" x14ac:dyDescent="0.2">
      <c r="A628" s="13"/>
      <c r="B628" s="21"/>
      <c r="C628" s="21"/>
    </row>
    <row r="629" spans="1:3" x14ac:dyDescent="0.2">
      <c r="A629" s="13"/>
      <c r="B629" s="21"/>
      <c r="C629" s="21"/>
    </row>
    <row r="630" spans="1:3" x14ac:dyDescent="0.2">
      <c r="A630" s="13"/>
      <c r="B630" s="21"/>
      <c r="C630" s="21"/>
    </row>
    <row r="631" spans="1:3" x14ac:dyDescent="0.2">
      <c r="A631" s="13"/>
      <c r="B631" s="21"/>
      <c r="C631" s="21"/>
    </row>
    <row r="632" spans="1:3" x14ac:dyDescent="0.2">
      <c r="A632" s="13"/>
      <c r="B632" s="21"/>
      <c r="C632" s="21"/>
    </row>
    <row r="633" spans="1:3" x14ac:dyDescent="0.2">
      <c r="A633" s="13"/>
      <c r="B633" s="21"/>
      <c r="C633" s="21"/>
    </row>
    <row r="634" spans="1:3" x14ac:dyDescent="0.2">
      <c r="A634" s="13"/>
      <c r="B634" s="21"/>
      <c r="C634" s="21"/>
    </row>
    <row r="635" spans="1:3" x14ac:dyDescent="0.2">
      <c r="A635" s="13"/>
      <c r="B635" s="21"/>
      <c r="C635" s="21"/>
    </row>
    <row r="636" spans="1:3" x14ac:dyDescent="0.2">
      <c r="A636" s="13"/>
      <c r="B636" s="21"/>
      <c r="C636" s="21"/>
    </row>
    <row r="637" spans="1:3" x14ac:dyDescent="0.2">
      <c r="A637" s="13"/>
      <c r="B637" s="21"/>
      <c r="C637" s="21"/>
    </row>
    <row r="638" spans="1:3" x14ac:dyDescent="0.2">
      <c r="A638" s="13"/>
      <c r="B638" s="21"/>
      <c r="C638" s="21"/>
    </row>
    <row r="639" spans="1:3" x14ac:dyDescent="0.2">
      <c r="A639" s="13"/>
      <c r="B639" s="21"/>
      <c r="C639" s="21"/>
    </row>
    <row r="640" spans="1:3" x14ac:dyDescent="0.2">
      <c r="A640" s="13"/>
      <c r="B640" s="21"/>
      <c r="C640" s="21"/>
    </row>
    <row r="641" spans="1:3" x14ac:dyDescent="0.2">
      <c r="A641" s="13"/>
      <c r="B641" s="21"/>
      <c r="C641" s="21"/>
    </row>
    <row r="642" spans="1:3" x14ac:dyDescent="0.2">
      <c r="A642" s="13"/>
      <c r="B642" s="21"/>
      <c r="C642" s="21"/>
    </row>
    <row r="643" spans="1:3" x14ac:dyDescent="0.2">
      <c r="A643" s="13"/>
      <c r="B643" s="21"/>
      <c r="C643" s="21"/>
    </row>
    <row r="644" spans="1:3" x14ac:dyDescent="0.2">
      <c r="A644" s="13"/>
      <c r="B644" s="21"/>
      <c r="C644" s="21"/>
    </row>
    <row r="645" spans="1:3" x14ac:dyDescent="0.2">
      <c r="A645" s="13"/>
      <c r="B645" s="21"/>
      <c r="C645" s="21"/>
    </row>
    <row r="646" spans="1:3" x14ac:dyDescent="0.2">
      <c r="A646" s="13"/>
      <c r="B646" s="21"/>
      <c r="C646" s="21"/>
    </row>
    <row r="647" spans="1:3" x14ac:dyDescent="0.2">
      <c r="A647" s="13"/>
      <c r="B647" s="21"/>
      <c r="C647" s="21"/>
    </row>
    <row r="648" spans="1:3" x14ac:dyDescent="0.2">
      <c r="A648" s="13"/>
      <c r="B648" s="21"/>
      <c r="C648" s="21"/>
    </row>
    <row r="649" spans="1:3" x14ac:dyDescent="0.2">
      <c r="A649" s="13"/>
      <c r="B649" s="21"/>
      <c r="C649" s="21"/>
    </row>
    <row r="650" spans="1:3" x14ac:dyDescent="0.2">
      <c r="A650" s="13"/>
      <c r="B650" s="21"/>
      <c r="C650" s="21"/>
    </row>
    <row r="651" spans="1:3" x14ac:dyDescent="0.2">
      <c r="A651" s="13"/>
      <c r="B651" s="21"/>
      <c r="C651" s="21"/>
    </row>
    <row r="652" spans="1:3" x14ac:dyDescent="0.2">
      <c r="A652" s="13"/>
      <c r="B652" s="21"/>
      <c r="C652" s="21"/>
    </row>
    <row r="653" spans="1:3" x14ac:dyDescent="0.2">
      <c r="A653" s="13"/>
      <c r="B653" s="21"/>
      <c r="C653" s="21"/>
    </row>
    <row r="654" spans="1:3" x14ac:dyDescent="0.2">
      <c r="A654" s="13"/>
      <c r="B654" s="21"/>
      <c r="C654" s="21"/>
    </row>
    <row r="655" spans="1:3" x14ac:dyDescent="0.2">
      <c r="A655" s="13"/>
      <c r="B655" s="21"/>
      <c r="C655" s="21"/>
    </row>
    <row r="656" spans="1:3" x14ac:dyDescent="0.2">
      <c r="A656" s="13"/>
      <c r="B656" s="21"/>
      <c r="C656" s="21"/>
    </row>
    <row r="657" spans="1:3" x14ac:dyDescent="0.2">
      <c r="A657" s="13"/>
      <c r="B657" s="21"/>
      <c r="C657" s="21"/>
    </row>
    <row r="658" spans="1:3" x14ac:dyDescent="0.2">
      <c r="A658" s="13"/>
      <c r="B658" s="21"/>
      <c r="C658" s="21"/>
    </row>
    <row r="659" spans="1:3" x14ac:dyDescent="0.2">
      <c r="A659" s="13"/>
      <c r="B659" s="21"/>
      <c r="C659" s="21"/>
    </row>
    <row r="660" spans="1:3" x14ac:dyDescent="0.2">
      <c r="A660" s="13"/>
      <c r="B660" s="21"/>
      <c r="C660" s="21"/>
    </row>
    <row r="661" spans="1:3" x14ac:dyDescent="0.2">
      <c r="A661" s="13"/>
      <c r="B661" s="21"/>
      <c r="C661" s="21"/>
    </row>
    <row r="662" spans="1:3" x14ac:dyDescent="0.2">
      <c r="A662" s="13"/>
      <c r="B662" s="21"/>
      <c r="C662" s="21"/>
    </row>
    <row r="663" spans="1:3" x14ac:dyDescent="0.2">
      <c r="A663" s="13"/>
      <c r="B663" s="21"/>
      <c r="C663" s="21"/>
    </row>
    <row r="664" spans="1:3" x14ac:dyDescent="0.2">
      <c r="A664" s="13"/>
      <c r="B664" s="21"/>
      <c r="C664" s="21"/>
    </row>
    <row r="665" spans="1:3" x14ac:dyDescent="0.2">
      <c r="A665" s="13"/>
      <c r="B665" s="21"/>
      <c r="C665" s="21"/>
    </row>
    <row r="666" spans="1:3" x14ac:dyDescent="0.2">
      <c r="A666" s="13"/>
      <c r="B666" s="21"/>
      <c r="C666" s="21"/>
    </row>
    <row r="667" spans="1:3" x14ac:dyDescent="0.2">
      <c r="A667" s="13"/>
      <c r="B667" s="21"/>
      <c r="C667" s="21"/>
    </row>
    <row r="668" spans="1:3" x14ac:dyDescent="0.2">
      <c r="A668" s="13"/>
      <c r="B668" s="21"/>
      <c r="C668" s="21"/>
    </row>
    <row r="669" spans="1:3" x14ac:dyDescent="0.2">
      <c r="A669" s="13"/>
      <c r="B669" s="21"/>
      <c r="C669" s="21"/>
    </row>
    <row r="670" spans="1:3" x14ac:dyDescent="0.2">
      <c r="A670" s="13"/>
      <c r="B670" s="21"/>
      <c r="C670" s="21"/>
    </row>
    <row r="671" spans="1:3" x14ac:dyDescent="0.2">
      <c r="A671" s="13"/>
      <c r="B671" s="21"/>
      <c r="C671" s="21"/>
    </row>
    <row r="672" spans="1:3" x14ac:dyDescent="0.2">
      <c r="A672" s="13"/>
      <c r="B672" s="21"/>
      <c r="C672" s="21"/>
    </row>
    <row r="673" spans="1:3" x14ac:dyDescent="0.2">
      <c r="A673" s="13"/>
      <c r="B673" s="21"/>
      <c r="C673" s="21"/>
    </row>
    <row r="674" spans="1:3" x14ac:dyDescent="0.2">
      <c r="A674" s="13"/>
      <c r="B674" s="21"/>
      <c r="C674" s="21"/>
    </row>
    <row r="675" spans="1:3" x14ac:dyDescent="0.2">
      <c r="A675" s="13"/>
      <c r="B675" s="21"/>
      <c r="C675" s="21"/>
    </row>
    <row r="676" spans="1:3" x14ac:dyDescent="0.2">
      <c r="A676" s="13"/>
      <c r="B676" s="21"/>
      <c r="C676" s="21"/>
    </row>
    <row r="677" spans="1:3" x14ac:dyDescent="0.2">
      <c r="A677" s="13"/>
      <c r="B677" s="21"/>
      <c r="C677" s="21"/>
    </row>
    <row r="678" spans="1:3" x14ac:dyDescent="0.2">
      <c r="A678" s="13"/>
      <c r="B678" s="21"/>
      <c r="C678" s="21"/>
    </row>
    <row r="679" spans="1:3" x14ac:dyDescent="0.2">
      <c r="A679" s="13"/>
      <c r="B679" s="21"/>
      <c r="C679" s="21"/>
    </row>
    <row r="680" spans="1:3" x14ac:dyDescent="0.2">
      <c r="A680" s="13"/>
      <c r="B680" s="21"/>
      <c r="C680" s="21"/>
    </row>
    <row r="681" spans="1:3" x14ac:dyDescent="0.2">
      <c r="A681" s="13"/>
      <c r="B681" s="21"/>
      <c r="C681" s="21"/>
    </row>
    <row r="682" spans="1:3" x14ac:dyDescent="0.2">
      <c r="A682" s="13"/>
      <c r="B682" s="21"/>
      <c r="C682" s="21"/>
    </row>
    <row r="683" spans="1:3" x14ac:dyDescent="0.2">
      <c r="A683" s="13"/>
      <c r="B683" s="21"/>
      <c r="C683" s="21"/>
    </row>
    <row r="684" spans="1:3" x14ac:dyDescent="0.2">
      <c r="A684" s="13"/>
      <c r="B684" s="21"/>
      <c r="C684" s="21"/>
    </row>
    <row r="685" spans="1:3" x14ac:dyDescent="0.2">
      <c r="A685" s="13"/>
      <c r="B685" s="21"/>
      <c r="C685" s="21"/>
    </row>
    <row r="686" spans="1:3" x14ac:dyDescent="0.2">
      <c r="A686" s="13"/>
      <c r="B686" s="21"/>
      <c r="C686" s="21"/>
    </row>
    <row r="687" spans="1:3" x14ac:dyDescent="0.2">
      <c r="A687" s="13"/>
      <c r="B687" s="21"/>
      <c r="C687" s="21"/>
    </row>
    <row r="688" spans="1:3" x14ac:dyDescent="0.2">
      <c r="A688" s="13"/>
      <c r="B688" s="21"/>
      <c r="C688" s="21"/>
    </row>
    <row r="689" spans="1:3" x14ac:dyDescent="0.2">
      <c r="A689" s="13"/>
      <c r="B689" s="21"/>
      <c r="C689" s="21"/>
    </row>
    <row r="690" spans="1:3" x14ac:dyDescent="0.2">
      <c r="A690" s="13"/>
      <c r="B690" s="21"/>
      <c r="C690" s="21"/>
    </row>
    <row r="691" spans="1:3" x14ac:dyDescent="0.2">
      <c r="A691" s="13"/>
      <c r="B691" s="21"/>
      <c r="C691" s="21"/>
    </row>
    <row r="692" spans="1:3" x14ac:dyDescent="0.2">
      <c r="A692" s="13"/>
      <c r="B692" s="21"/>
      <c r="C692" s="21"/>
    </row>
    <row r="693" spans="1:3" x14ac:dyDescent="0.2">
      <c r="A693" s="13"/>
      <c r="B693" s="21"/>
      <c r="C693" s="21"/>
    </row>
    <row r="694" spans="1:3" x14ac:dyDescent="0.2">
      <c r="A694" s="13"/>
      <c r="B694" s="21"/>
      <c r="C694" s="21"/>
    </row>
    <row r="695" spans="1:3" x14ac:dyDescent="0.2">
      <c r="A695" s="13"/>
      <c r="B695" s="21"/>
      <c r="C695" s="21"/>
    </row>
    <row r="696" spans="1:3" x14ac:dyDescent="0.2">
      <c r="A696" s="13"/>
      <c r="B696" s="21"/>
      <c r="C696" s="21"/>
    </row>
    <row r="697" spans="1:3" x14ac:dyDescent="0.2">
      <c r="A697" s="13"/>
      <c r="B697" s="21"/>
      <c r="C697" s="21"/>
    </row>
    <row r="698" spans="1:3" x14ac:dyDescent="0.2">
      <c r="A698" s="13"/>
      <c r="B698" s="21"/>
      <c r="C698" s="21"/>
    </row>
    <row r="699" spans="1:3" x14ac:dyDescent="0.2">
      <c r="A699" s="13"/>
      <c r="B699" s="21"/>
      <c r="C699" s="21"/>
    </row>
    <row r="700" spans="1:3" x14ac:dyDescent="0.2">
      <c r="A700" s="13"/>
      <c r="B700" s="21"/>
      <c r="C700" s="21"/>
    </row>
    <row r="701" spans="1:3" x14ac:dyDescent="0.2">
      <c r="A701" s="13"/>
      <c r="B701" s="21"/>
      <c r="C701" s="21"/>
    </row>
    <row r="702" spans="1:3" x14ac:dyDescent="0.2">
      <c r="A702" s="13"/>
      <c r="B702" s="21"/>
      <c r="C702" s="21"/>
    </row>
    <row r="703" spans="1:3" x14ac:dyDescent="0.2">
      <c r="A703" s="13"/>
      <c r="B703" s="21"/>
      <c r="C703" s="21"/>
    </row>
    <row r="704" spans="1:3" x14ac:dyDescent="0.2">
      <c r="A704" s="13"/>
      <c r="B704" s="21"/>
      <c r="C704" s="21"/>
    </row>
    <row r="705" spans="1:3" x14ac:dyDescent="0.2">
      <c r="A705" s="13"/>
      <c r="B705" s="21"/>
      <c r="C705" s="21"/>
    </row>
    <row r="706" spans="1:3" x14ac:dyDescent="0.2">
      <c r="A706" s="13"/>
      <c r="B706" s="21"/>
      <c r="C706" s="21"/>
    </row>
    <row r="707" spans="1:3" x14ac:dyDescent="0.2">
      <c r="A707" s="13"/>
      <c r="B707" s="21"/>
      <c r="C707" s="21"/>
    </row>
    <row r="708" spans="1:3" x14ac:dyDescent="0.2">
      <c r="A708" s="13"/>
      <c r="B708" s="21"/>
      <c r="C708" s="21"/>
    </row>
    <row r="709" spans="1:3" x14ac:dyDescent="0.2">
      <c r="A709" s="13"/>
      <c r="B709" s="21"/>
      <c r="C709" s="21"/>
    </row>
    <row r="710" spans="1:3" x14ac:dyDescent="0.2">
      <c r="A710" s="13"/>
      <c r="B710" s="21"/>
      <c r="C710" s="21"/>
    </row>
    <row r="711" spans="1:3" x14ac:dyDescent="0.2">
      <c r="A711" s="13"/>
      <c r="B711" s="21"/>
      <c r="C711" s="21"/>
    </row>
    <row r="712" spans="1:3" x14ac:dyDescent="0.2">
      <c r="A712" s="13"/>
      <c r="B712" s="21"/>
      <c r="C712" s="21"/>
    </row>
    <row r="713" spans="1:3" x14ac:dyDescent="0.2">
      <c r="A713" s="13"/>
      <c r="B713" s="21"/>
      <c r="C713" s="21"/>
    </row>
    <row r="714" spans="1:3" x14ac:dyDescent="0.2">
      <c r="A714" s="13"/>
      <c r="B714" s="21"/>
      <c r="C714" s="21"/>
    </row>
    <row r="715" spans="1:3" x14ac:dyDescent="0.2">
      <c r="A715" s="13"/>
      <c r="B715" s="21"/>
      <c r="C715" s="21"/>
    </row>
    <row r="716" spans="1:3" x14ac:dyDescent="0.2">
      <c r="A716" s="13"/>
      <c r="B716" s="21"/>
      <c r="C716" s="21"/>
    </row>
    <row r="717" spans="1:3" x14ac:dyDescent="0.2">
      <c r="A717" s="13"/>
      <c r="B717" s="21"/>
      <c r="C717" s="21"/>
    </row>
    <row r="718" spans="1:3" x14ac:dyDescent="0.2">
      <c r="A718" s="13"/>
      <c r="B718" s="21"/>
      <c r="C718" s="21"/>
    </row>
    <row r="719" spans="1:3" x14ac:dyDescent="0.2">
      <c r="A719" s="13"/>
      <c r="B719" s="21"/>
      <c r="C719" s="21"/>
    </row>
    <row r="720" spans="1:3" x14ac:dyDescent="0.2">
      <c r="A720" s="13"/>
      <c r="B720" s="21"/>
      <c r="C720" s="21"/>
    </row>
    <row r="721" spans="1:3" x14ac:dyDescent="0.2">
      <c r="A721" s="13"/>
      <c r="B721" s="21"/>
      <c r="C721" s="21"/>
    </row>
    <row r="722" spans="1:3" x14ac:dyDescent="0.2">
      <c r="A722" s="13"/>
      <c r="B722" s="21"/>
      <c r="C722" s="21"/>
    </row>
    <row r="723" spans="1:3" x14ac:dyDescent="0.2">
      <c r="A723" s="13"/>
      <c r="B723" s="21"/>
      <c r="C723" s="21"/>
    </row>
    <row r="724" spans="1:3" x14ac:dyDescent="0.2">
      <c r="A724" s="13"/>
      <c r="B724" s="21"/>
      <c r="C724" s="21"/>
    </row>
    <row r="725" spans="1:3" x14ac:dyDescent="0.2">
      <c r="A725" s="13"/>
      <c r="B725" s="21"/>
      <c r="C725" s="21"/>
    </row>
    <row r="726" spans="1:3" x14ac:dyDescent="0.2">
      <c r="A726" s="13"/>
      <c r="B726" s="21"/>
      <c r="C726" s="21"/>
    </row>
    <row r="727" spans="1:3" x14ac:dyDescent="0.2">
      <c r="A727" s="13"/>
      <c r="B727" s="21"/>
      <c r="C727" s="21"/>
    </row>
    <row r="728" spans="1:3" x14ac:dyDescent="0.2">
      <c r="A728" s="13"/>
      <c r="B728" s="21"/>
      <c r="C728" s="21"/>
    </row>
    <row r="729" spans="1:3" x14ac:dyDescent="0.2">
      <c r="A729" s="13"/>
      <c r="B729" s="21"/>
      <c r="C729" s="21"/>
    </row>
    <row r="730" spans="1:3" x14ac:dyDescent="0.2">
      <c r="A730" s="13"/>
      <c r="B730" s="21"/>
      <c r="C730" s="21"/>
    </row>
    <row r="731" spans="1:3" x14ac:dyDescent="0.2">
      <c r="A731" s="13"/>
      <c r="B731" s="21"/>
      <c r="C731" s="21"/>
    </row>
    <row r="732" spans="1:3" x14ac:dyDescent="0.2">
      <c r="A732" s="13"/>
      <c r="B732" s="21"/>
      <c r="C732" s="21"/>
    </row>
    <row r="733" spans="1:3" x14ac:dyDescent="0.2">
      <c r="A733" s="13"/>
      <c r="B733" s="21"/>
      <c r="C733" s="21"/>
    </row>
    <row r="734" spans="1:3" x14ac:dyDescent="0.2">
      <c r="A734" s="13"/>
      <c r="B734" s="21"/>
      <c r="C734" s="21"/>
    </row>
    <row r="735" spans="1:3" x14ac:dyDescent="0.2">
      <c r="A735" s="13"/>
      <c r="B735" s="21"/>
      <c r="C735" s="21"/>
    </row>
    <row r="736" spans="1:3" x14ac:dyDescent="0.2">
      <c r="A736" s="13"/>
      <c r="B736" s="21"/>
      <c r="C736" s="21"/>
    </row>
    <row r="737" spans="1:3" x14ac:dyDescent="0.2">
      <c r="A737" s="13"/>
      <c r="B737" s="21"/>
      <c r="C737" s="21"/>
    </row>
    <row r="738" spans="1:3" x14ac:dyDescent="0.2">
      <c r="A738" s="13"/>
      <c r="B738" s="21"/>
      <c r="C738" s="21"/>
    </row>
    <row r="739" spans="1:3" x14ac:dyDescent="0.2">
      <c r="A739" s="13"/>
      <c r="B739" s="21"/>
      <c r="C739" s="21"/>
    </row>
    <row r="740" spans="1:3" x14ac:dyDescent="0.2">
      <c r="A740" s="13"/>
      <c r="B740" s="21"/>
      <c r="C740" s="21"/>
    </row>
    <row r="741" spans="1:3" x14ac:dyDescent="0.2">
      <c r="A741" s="13"/>
      <c r="B741" s="21"/>
      <c r="C741" s="21"/>
    </row>
    <row r="742" spans="1:3" x14ac:dyDescent="0.2">
      <c r="A742" s="13"/>
      <c r="B742" s="21"/>
      <c r="C742" s="21"/>
    </row>
    <row r="743" spans="1:3" x14ac:dyDescent="0.2">
      <c r="A743" s="13"/>
      <c r="B743" s="21"/>
      <c r="C743" s="21"/>
    </row>
    <row r="744" spans="1:3" x14ac:dyDescent="0.2">
      <c r="A744" s="13"/>
      <c r="B744" s="21"/>
      <c r="C744" s="21"/>
    </row>
    <row r="745" spans="1:3" x14ac:dyDescent="0.2">
      <c r="A745" s="13"/>
      <c r="B745" s="21"/>
      <c r="C745" s="21"/>
    </row>
    <row r="746" spans="1:3" x14ac:dyDescent="0.2">
      <c r="A746" s="13"/>
      <c r="B746" s="21"/>
      <c r="C746" s="21"/>
    </row>
    <row r="747" spans="1:3" x14ac:dyDescent="0.2">
      <c r="A747" s="13"/>
      <c r="B747" s="21"/>
      <c r="C747" s="21"/>
    </row>
    <row r="748" spans="1:3" x14ac:dyDescent="0.2">
      <c r="A748" s="13"/>
      <c r="B748" s="21"/>
      <c r="C748" s="21"/>
    </row>
    <row r="749" spans="1:3" x14ac:dyDescent="0.2">
      <c r="A749" s="13"/>
      <c r="B749" s="21"/>
      <c r="C749" s="21"/>
    </row>
    <row r="750" spans="1:3" x14ac:dyDescent="0.2">
      <c r="A750" s="13"/>
      <c r="B750" s="21"/>
      <c r="C750" s="21"/>
    </row>
    <row r="751" spans="1:3" x14ac:dyDescent="0.2">
      <c r="A751" s="13"/>
      <c r="B751" s="21"/>
      <c r="C751" s="21"/>
    </row>
    <row r="752" spans="1:3" x14ac:dyDescent="0.2">
      <c r="A752" s="13"/>
      <c r="B752" s="21"/>
      <c r="C752" s="21"/>
    </row>
    <row r="753" spans="1:3" x14ac:dyDescent="0.2">
      <c r="A753" s="13"/>
      <c r="B753" s="21"/>
      <c r="C753" s="21"/>
    </row>
    <row r="754" spans="1:3" x14ac:dyDescent="0.2">
      <c r="A754" s="13"/>
      <c r="B754" s="21"/>
      <c r="C754" s="21"/>
    </row>
    <row r="755" spans="1:3" x14ac:dyDescent="0.2">
      <c r="A755" s="13"/>
      <c r="B755" s="21"/>
      <c r="C755" s="21"/>
    </row>
    <row r="756" spans="1:3" x14ac:dyDescent="0.2">
      <c r="A756" s="13"/>
      <c r="B756" s="21"/>
      <c r="C756" s="21"/>
    </row>
    <row r="757" spans="1:3" x14ac:dyDescent="0.2">
      <c r="A757" s="13"/>
      <c r="B757" s="21"/>
      <c r="C757" s="21"/>
    </row>
    <row r="758" spans="1:3" x14ac:dyDescent="0.2">
      <c r="A758" s="13"/>
      <c r="B758" s="21"/>
      <c r="C758" s="21"/>
    </row>
    <row r="759" spans="1:3" x14ac:dyDescent="0.2">
      <c r="A759" s="13"/>
      <c r="B759" s="21"/>
      <c r="C759" s="21"/>
    </row>
    <row r="760" spans="1:3" x14ac:dyDescent="0.2">
      <c r="A760" s="13"/>
      <c r="B760" s="21"/>
      <c r="C760" s="21"/>
    </row>
    <row r="761" spans="1:3" x14ac:dyDescent="0.2">
      <c r="A761" s="13"/>
      <c r="B761" s="21"/>
      <c r="C761" s="21"/>
    </row>
    <row r="762" spans="1:3" x14ac:dyDescent="0.2">
      <c r="A762" s="13"/>
      <c r="B762" s="21"/>
      <c r="C762" s="21"/>
    </row>
    <row r="763" spans="1:3" x14ac:dyDescent="0.2">
      <c r="A763" s="13"/>
      <c r="B763" s="21"/>
      <c r="C763" s="21"/>
    </row>
    <row r="764" spans="1:3" x14ac:dyDescent="0.2">
      <c r="A764" s="13"/>
      <c r="B764" s="21"/>
      <c r="C764" s="21"/>
    </row>
    <row r="765" spans="1:3" x14ac:dyDescent="0.2">
      <c r="A765" s="13"/>
      <c r="B765" s="21"/>
      <c r="C765" s="21"/>
    </row>
    <row r="766" spans="1:3" x14ac:dyDescent="0.2">
      <c r="A766" s="13"/>
      <c r="B766" s="21"/>
      <c r="C766" s="21"/>
    </row>
    <row r="767" spans="1:3" x14ac:dyDescent="0.2">
      <c r="A767" s="13"/>
      <c r="B767" s="21"/>
      <c r="C767" s="21"/>
    </row>
    <row r="768" spans="1:3" x14ac:dyDescent="0.2">
      <c r="A768" s="13"/>
      <c r="B768" s="21"/>
      <c r="C768" s="21"/>
    </row>
    <row r="769" spans="1:3" x14ac:dyDescent="0.2">
      <c r="A769" s="13"/>
      <c r="B769" s="21"/>
      <c r="C769" s="21"/>
    </row>
    <row r="770" spans="1:3" x14ac:dyDescent="0.2">
      <c r="A770" s="13"/>
      <c r="B770" s="21"/>
      <c r="C770" s="21"/>
    </row>
    <row r="771" spans="1:3" x14ac:dyDescent="0.2">
      <c r="A771" s="13"/>
      <c r="B771" s="21"/>
      <c r="C771" s="21"/>
    </row>
    <row r="772" spans="1:3" x14ac:dyDescent="0.2">
      <c r="A772" s="13"/>
      <c r="B772" s="21"/>
      <c r="C772" s="21"/>
    </row>
    <row r="773" spans="1:3" x14ac:dyDescent="0.2">
      <c r="A773" s="13"/>
      <c r="B773" s="21"/>
      <c r="C773" s="21"/>
    </row>
    <row r="774" spans="1:3" x14ac:dyDescent="0.2">
      <c r="A774" s="13"/>
      <c r="B774" s="21"/>
      <c r="C774" s="21"/>
    </row>
    <row r="775" spans="1:3" x14ac:dyDescent="0.2">
      <c r="A775" s="13"/>
      <c r="B775" s="21"/>
      <c r="C775" s="21"/>
    </row>
    <row r="776" spans="1:3" x14ac:dyDescent="0.2">
      <c r="A776" s="13"/>
      <c r="B776" s="21"/>
      <c r="C776" s="21"/>
    </row>
    <row r="777" spans="1:3" x14ac:dyDescent="0.2">
      <c r="A777" s="13"/>
      <c r="B777" s="21"/>
      <c r="C777" s="21"/>
    </row>
    <row r="778" spans="1:3" x14ac:dyDescent="0.2">
      <c r="A778" s="13"/>
      <c r="B778" s="21"/>
      <c r="C778" s="21"/>
    </row>
    <row r="779" spans="1:3" x14ac:dyDescent="0.2">
      <c r="A779" s="13"/>
      <c r="B779" s="21"/>
      <c r="C779" s="21"/>
    </row>
    <row r="780" spans="1:3" x14ac:dyDescent="0.2">
      <c r="A780" s="13"/>
      <c r="B780" s="21"/>
      <c r="C780" s="21"/>
    </row>
    <row r="781" spans="1:3" x14ac:dyDescent="0.2">
      <c r="A781" s="13"/>
      <c r="B781" s="21"/>
      <c r="C781" s="21"/>
    </row>
    <row r="782" spans="1:3" x14ac:dyDescent="0.2">
      <c r="A782" s="13"/>
      <c r="B782" s="21"/>
      <c r="C782" s="21"/>
    </row>
    <row r="783" spans="1:3" x14ac:dyDescent="0.2">
      <c r="A783" s="13"/>
      <c r="B783" s="21"/>
      <c r="C783" s="21"/>
    </row>
    <row r="784" spans="1:3" x14ac:dyDescent="0.2">
      <c r="A784" s="13"/>
      <c r="B784" s="21"/>
      <c r="C784" s="21"/>
    </row>
    <row r="785" spans="1:3" x14ac:dyDescent="0.2">
      <c r="A785" s="13"/>
      <c r="B785" s="21"/>
      <c r="C785" s="21"/>
    </row>
    <row r="786" spans="1:3" x14ac:dyDescent="0.2">
      <c r="A786" s="13"/>
      <c r="B786" s="21"/>
      <c r="C786" s="21"/>
    </row>
    <row r="787" spans="1:3" x14ac:dyDescent="0.2">
      <c r="A787" s="13"/>
      <c r="B787" s="21"/>
      <c r="C787" s="21"/>
    </row>
    <row r="788" spans="1:3" x14ac:dyDescent="0.2">
      <c r="A788" s="13"/>
      <c r="B788" s="21"/>
      <c r="C788" s="21"/>
    </row>
    <row r="789" spans="1:3" x14ac:dyDescent="0.2">
      <c r="A789" s="13"/>
      <c r="B789" s="21"/>
      <c r="C789" s="21"/>
    </row>
    <row r="790" spans="1:3" x14ac:dyDescent="0.2">
      <c r="A790" s="13"/>
      <c r="B790" s="21"/>
      <c r="C790" s="21"/>
    </row>
    <row r="791" spans="1:3" x14ac:dyDescent="0.2">
      <c r="A791" s="13"/>
      <c r="B791" s="21"/>
      <c r="C791" s="21"/>
    </row>
    <row r="792" spans="1:3" x14ac:dyDescent="0.2">
      <c r="A792" s="13"/>
      <c r="B792" s="21"/>
      <c r="C792" s="21"/>
    </row>
    <row r="793" spans="1:3" x14ac:dyDescent="0.2">
      <c r="A793" s="13"/>
      <c r="B793" s="21"/>
      <c r="C793" s="21"/>
    </row>
    <row r="794" spans="1:3" x14ac:dyDescent="0.2">
      <c r="A794" s="13"/>
      <c r="B794" s="21"/>
      <c r="C794" s="21"/>
    </row>
    <row r="795" spans="1:3" x14ac:dyDescent="0.2">
      <c r="A795" s="13"/>
      <c r="B795" s="21"/>
      <c r="C795" s="21"/>
    </row>
    <row r="796" spans="1:3" x14ac:dyDescent="0.2">
      <c r="A796" s="13"/>
      <c r="B796" s="21"/>
      <c r="C796" s="21"/>
    </row>
    <row r="797" spans="1:3" x14ac:dyDescent="0.2">
      <c r="A797" s="13"/>
      <c r="B797" s="21"/>
      <c r="C797" s="21"/>
    </row>
    <row r="798" spans="1:3" x14ac:dyDescent="0.2">
      <c r="A798" s="13"/>
      <c r="B798" s="21"/>
      <c r="C798" s="21"/>
    </row>
    <row r="799" spans="1:3" x14ac:dyDescent="0.2">
      <c r="A799" s="13"/>
      <c r="B799" s="21"/>
      <c r="C799" s="21"/>
    </row>
    <row r="800" spans="1:3" x14ac:dyDescent="0.2">
      <c r="A800" s="13"/>
      <c r="B800" s="21"/>
      <c r="C800" s="21"/>
    </row>
    <row r="801" spans="1:3" x14ac:dyDescent="0.2">
      <c r="A801" s="13"/>
      <c r="B801" s="21"/>
      <c r="C801" s="21"/>
    </row>
    <row r="802" spans="1:3" x14ac:dyDescent="0.2">
      <c r="A802" s="13"/>
      <c r="B802" s="21"/>
      <c r="C802" s="21"/>
    </row>
    <row r="803" spans="1:3" x14ac:dyDescent="0.2">
      <c r="A803" s="13"/>
      <c r="B803" s="21"/>
      <c r="C803" s="21"/>
    </row>
    <row r="804" spans="1:3" x14ac:dyDescent="0.2">
      <c r="A804" s="13"/>
      <c r="B804" s="21"/>
      <c r="C804" s="21"/>
    </row>
    <row r="805" spans="1:3" x14ac:dyDescent="0.2">
      <c r="A805" s="13"/>
      <c r="B805" s="21"/>
      <c r="C805" s="21"/>
    </row>
    <row r="806" spans="1:3" x14ac:dyDescent="0.2">
      <c r="A806" s="13"/>
      <c r="B806" s="21"/>
      <c r="C806" s="21"/>
    </row>
    <row r="807" spans="1:3" x14ac:dyDescent="0.2">
      <c r="A807" s="13"/>
      <c r="B807" s="21"/>
      <c r="C807" s="21"/>
    </row>
    <row r="808" spans="1:3" x14ac:dyDescent="0.2">
      <c r="A808" s="13"/>
      <c r="B808" s="21"/>
      <c r="C808" s="21"/>
    </row>
    <row r="809" spans="1:3" x14ac:dyDescent="0.2">
      <c r="A809" s="13"/>
      <c r="B809" s="21"/>
      <c r="C809" s="21"/>
    </row>
    <row r="810" spans="1:3" x14ac:dyDescent="0.2">
      <c r="A810" s="13"/>
      <c r="B810" s="21"/>
      <c r="C810" s="21"/>
    </row>
    <row r="811" spans="1:3" x14ac:dyDescent="0.2">
      <c r="A811" s="13"/>
      <c r="B811" s="21"/>
      <c r="C811" s="21"/>
    </row>
    <row r="812" spans="1:3" x14ac:dyDescent="0.2">
      <c r="A812" s="13"/>
      <c r="B812" s="21"/>
      <c r="C812" s="21"/>
    </row>
    <row r="813" spans="1:3" x14ac:dyDescent="0.2">
      <c r="A813" s="13"/>
      <c r="B813" s="21"/>
      <c r="C813" s="21"/>
    </row>
    <row r="814" spans="1:3" x14ac:dyDescent="0.2">
      <c r="A814" s="13"/>
      <c r="B814" s="21"/>
      <c r="C814" s="21"/>
    </row>
    <row r="815" spans="1:3" x14ac:dyDescent="0.2">
      <c r="A815" s="13"/>
      <c r="B815" s="21"/>
      <c r="C815" s="21"/>
    </row>
    <row r="816" spans="1:3" x14ac:dyDescent="0.2">
      <c r="A816" s="13"/>
      <c r="B816" s="21"/>
      <c r="C816" s="21"/>
    </row>
    <row r="817" spans="1:3" x14ac:dyDescent="0.2">
      <c r="A817" s="13"/>
      <c r="B817" s="21"/>
      <c r="C817" s="21"/>
    </row>
    <row r="818" spans="1:3" x14ac:dyDescent="0.2">
      <c r="A818" s="13"/>
      <c r="B818" s="21"/>
      <c r="C818" s="21"/>
    </row>
    <row r="819" spans="1:3" x14ac:dyDescent="0.2">
      <c r="A819" s="13"/>
      <c r="B819" s="21"/>
      <c r="C819" s="21"/>
    </row>
    <row r="820" spans="1:3" x14ac:dyDescent="0.2">
      <c r="A820" s="13"/>
      <c r="B820" s="21"/>
      <c r="C820" s="21"/>
    </row>
    <row r="821" spans="1:3" x14ac:dyDescent="0.2">
      <c r="A821" s="13"/>
      <c r="B821" s="21"/>
      <c r="C821" s="21"/>
    </row>
    <row r="822" spans="1:3" x14ac:dyDescent="0.2">
      <c r="A822" s="13"/>
      <c r="B822" s="21"/>
      <c r="C822" s="21"/>
    </row>
    <row r="823" spans="1:3" x14ac:dyDescent="0.2">
      <c r="A823" s="13"/>
      <c r="B823" s="21"/>
      <c r="C823" s="21"/>
    </row>
    <row r="824" spans="1:3" x14ac:dyDescent="0.2">
      <c r="A824" s="13"/>
      <c r="B824" s="21"/>
      <c r="C824" s="21"/>
    </row>
    <row r="825" spans="1:3" x14ac:dyDescent="0.2">
      <c r="A825" s="13"/>
      <c r="B825" s="21"/>
      <c r="C825" s="21"/>
    </row>
    <row r="826" spans="1:3" x14ac:dyDescent="0.2">
      <c r="A826" s="13"/>
      <c r="B826" s="21"/>
      <c r="C826" s="21"/>
    </row>
    <row r="827" spans="1:3" x14ac:dyDescent="0.2">
      <c r="A827" s="13"/>
      <c r="B827" s="21"/>
      <c r="C827" s="21"/>
    </row>
    <row r="828" spans="1:3" x14ac:dyDescent="0.2">
      <c r="A828" s="13"/>
      <c r="B828" s="21"/>
      <c r="C828" s="21"/>
    </row>
    <row r="829" spans="1:3" x14ac:dyDescent="0.2">
      <c r="A829" s="13"/>
      <c r="B829" s="21"/>
      <c r="C829" s="21"/>
    </row>
    <row r="830" spans="1:3" x14ac:dyDescent="0.2">
      <c r="A830" s="13"/>
      <c r="B830" s="21"/>
      <c r="C830" s="21"/>
    </row>
    <row r="831" spans="1:3" x14ac:dyDescent="0.2">
      <c r="A831" s="13"/>
      <c r="B831" s="21"/>
      <c r="C831" s="21"/>
    </row>
    <row r="832" spans="1:3" x14ac:dyDescent="0.2">
      <c r="A832" s="13"/>
      <c r="B832" s="21"/>
      <c r="C832" s="21"/>
    </row>
    <row r="833" spans="1:3" x14ac:dyDescent="0.2">
      <c r="A833" s="13"/>
      <c r="B833" s="21"/>
      <c r="C833" s="21"/>
    </row>
    <row r="834" spans="1:3" x14ac:dyDescent="0.2">
      <c r="A834" s="13"/>
      <c r="B834" s="21"/>
      <c r="C834" s="21"/>
    </row>
    <row r="835" spans="1:3" x14ac:dyDescent="0.2">
      <c r="A835" s="13"/>
      <c r="B835" s="21"/>
      <c r="C835" s="21"/>
    </row>
    <row r="836" spans="1:3" x14ac:dyDescent="0.2">
      <c r="A836" s="13"/>
      <c r="B836" s="21"/>
      <c r="C836" s="21"/>
    </row>
    <row r="837" spans="1:3" x14ac:dyDescent="0.2">
      <c r="A837" s="13"/>
      <c r="B837" s="21"/>
      <c r="C837" s="21"/>
    </row>
    <row r="838" spans="1:3" x14ac:dyDescent="0.2">
      <c r="A838" s="13"/>
      <c r="B838" s="21"/>
      <c r="C838" s="21"/>
    </row>
    <row r="839" spans="1:3" x14ac:dyDescent="0.2">
      <c r="A839" s="13"/>
      <c r="B839" s="21"/>
      <c r="C839" s="21"/>
    </row>
    <row r="840" spans="1:3" x14ac:dyDescent="0.2">
      <c r="A840" s="13"/>
      <c r="B840" s="21"/>
      <c r="C840" s="21"/>
    </row>
    <row r="841" spans="1:3" x14ac:dyDescent="0.2">
      <c r="A841" s="13"/>
      <c r="B841" s="21"/>
      <c r="C841" s="21"/>
    </row>
    <row r="842" spans="1:3" x14ac:dyDescent="0.2">
      <c r="A842" s="13"/>
      <c r="B842" s="21"/>
      <c r="C842" s="21"/>
    </row>
    <row r="843" spans="1:3" x14ac:dyDescent="0.2">
      <c r="A843" s="13"/>
      <c r="B843" s="21"/>
      <c r="C843" s="21"/>
    </row>
    <row r="844" spans="1:3" x14ac:dyDescent="0.2">
      <c r="A844" s="13"/>
      <c r="B844" s="21"/>
      <c r="C844" s="21"/>
    </row>
    <row r="845" spans="1:3" x14ac:dyDescent="0.2">
      <c r="A845" s="13"/>
      <c r="B845" s="21"/>
      <c r="C845" s="21"/>
    </row>
    <row r="846" spans="1:3" x14ac:dyDescent="0.2">
      <c r="A846" s="13"/>
      <c r="B846" s="21"/>
      <c r="C846" s="21"/>
    </row>
    <row r="847" spans="1:3" x14ac:dyDescent="0.2">
      <c r="A847" s="13"/>
      <c r="B847" s="21"/>
      <c r="C847" s="21"/>
    </row>
    <row r="848" spans="1:3" x14ac:dyDescent="0.2">
      <c r="A848" s="13"/>
      <c r="B848" s="21"/>
      <c r="C848" s="21"/>
    </row>
    <row r="849" spans="1:3" x14ac:dyDescent="0.2">
      <c r="A849" s="13"/>
      <c r="B849" s="21"/>
      <c r="C849" s="21"/>
    </row>
    <row r="850" spans="1:3" x14ac:dyDescent="0.2">
      <c r="A850" s="13"/>
      <c r="B850" s="21"/>
      <c r="C850" s="21"/>
    </row>
    <row r="851" spans="1:3" x14ac:dyDescent="0.2">
      <c r="A851" s="13"/>
      <c r="B851" s="21"/>
      <c r="C851" s="21"/>
    </row>
    <row r="852" spans="1:3" x14ac:dyDescent="0.2">
      <c r="A852" s="13"/>
      <c r="B852" s="21"/>
      <c r="C852" s="21"/>
    </row>
    <row r="853" spans="1:3" x14ac:dyDescent="0.2">
      <c r="A853" s="13"/>
      <c r="B853" s="21"/>
      <c r="C853" s="21"/>
    </row>
    <row r="854" spans="1:3" x14ac:dyDescent="0.2">
      <c r="A854" s="13"/>
      <c r="B854" s="21"/>
      <c r="C854" s="21"/>
    </row>
    <row r="855" spans="1:3" x14ac:dyDescent="0.2">
      <c r="A855" s="13"/>
      <c r="B855" s="21"/>
      <c r="C855" s="21"/>
    </row>
    <row r="856" spans="1:3" x14ac:dyDescent="0.2">
      <c r="A856" s="13"/>
      <c r="B856" s="21"/>
      <c r="C856" s="21"/>
    </row>
    <row r="857" spans="1:3" x14ac:dyDescent="0.2">
      <c r="A857" s="13"/>
      <c r="B857" s="21"/>
      <c r="C857" s="21"/>
    </row>
    <row r="858" spans="1:3" x14ac:dyDescent="0.2">
      <c r="A858" s="13"/>
      <c r="B858" s="21"/>
      <c r="C858" s="21"/>
    </row>
    <row r="859" spans="1:3" x14ac:dyDescent="0.2">
      <c r="A859" s="13"/>
      <c r="B859" s="21"/>
      <c r="C859" s="21"/>
    </row>
    <row r="860" spans="1:3" x14ac:dyDescent="0.2">
      <c r="A860" s="13"/>
      <c r="B860" s="21"/>
      <c r="C860" s="21"/>
    </row>
    <row r="861" spans="1:3" x14ac:dyDescent="0.2">
      <c r="A861" s="13"/>
      <c r="B861" s="21"/>
      <c r="C861" s="21"/>
    </row>
    <row r="862" spans="1:3" x14ac:dyDescent="0.2">
      <c r="A862" s="13"/>
      <c r="B862" s="21"/>
      <c r="C862" s="21"/>
    </row>
    <row r="863" spans="1:3" x14ac:dyDescent="0.2">
      <c r="A863" s="13"/>
      <c r="B863" s="21"/>
      <c r="C863" s="21"/>
    </row>
    <row r="864" spans="1:3" x14ac:dyDescent="0.2">
      <c r="A864" s="13"/>
      <c r="B864" s="21"/>
      <c r="C864" s="21"/>
    </row>
    <row r="865" spans="1:3" x14ac:dyDescent="0.2">
      <c r="A865" s="13"/>
      <c r="B865" s="21"/>
      <c r="C865" s="21"/>
    </row>
    <row r="866" spans="1:3" x14ac:dyDescent="0.2">
      <c r="A866" s="13"/>
      <c r="B866" s="21"/>
      <c r="C866" s="21"/>
    </row>
    <row r="867" spans="1:3" x14ac:dyDescent="0.2">
      <c r="A867" s="13"/>
      <c r="B867" s="21"/>
      <c r="C867" s="21"/>
    </row>
    <row r="868" spans="1:3" x14ac:dyDescent="0.2">
      <c r="A868" s="13"/>
      <c r="B868" s="21"/>
      <c r="C868" s="21"/>
    </row>
    <row r="869" spans="1:3" x14ac:dyDescent="0.2">
      <c r="A869" s="13"/>
      <c r="B869" s="21"/>
      <c r="C869" s="21"/>
    </row>
    <row r="870" spans="1:3" x14ac:dyDescent="0.2">
      <c r="A870" s="13"/>
      <c r="B870" s="21"/>
      <c r="C870" s="21"/>
    </row>
    <row r="871" spans="1:3" x14ac:dyDescent="0.2">
      <c r="A871" s="13"/>
      <c r="B871" s="21"/>
      <c r="C871" s="21"/>
    </row>
    <row r="872" spans="1:3" x14ac:dyDescent="0.2">
      <c r="A872" s="13"/>
      <c r="B872" s="21"/>
      <c r="C872" s="21"/>
    </row>
    <row r="873" spans="1:3" x14ac:dyDescent="0.2">
      <c r="A873" s="13"/>
      <c r="B873" s="21"/>
      <c r="C873" s="21"/>
    </row>
    <row r="874" spans="1:3" x14ac:dyDescent="0.2">
      <c r="A874" s="13"/>
      <c r="B874" s="21"/>
      <c r="C874" s="21"/>
    </row>
    <row r="875" spans="1:3" x14ac:dyDescent="0.2">
      <c r="A875" s="13"/>
      <c r="B875" s="21"/>
      <c r="C875" s="21"/>
    </row>
    <row r="876" spans="1:3" x14ac:dyDescent="0.2">
      <c r="A876" s="13"/>
      <c r="B876" s="21"/>
      <c r="C876" s="21"/>
    </row>
    <row r="877" spans="1:3" x14ac:dyDescent="0.2">
      <c r="A877" s="13"/>
      <c r="B877" s="21"/>
      <c r="C877" s="21"/>
    </row>
    <row r="878" spans="1:3" x14ac:dyDescent="0.2">
      <c r="A878" s="13"/>
      <c r="B878" s="21"/>
      <c r="C878" s="21"/>
    </row>
    <row r="879" spans="1:3" x14ac:dyDescent="0.2">
      <c r="A879" s="13"/>
      <c r="B879" s="21"/>
      <c r="C879" s="21"/>
    </row>
    <row r="880" spans="1:3" x14ac:dyDescent="0.2">
      <c r="A880" s="13"/>
      <c r="B880" s="21"/>
      <c r="C880" s="21"/>
    </row>
    <row r="881" spans="1:3" x14ac:dyDescent="0.2">
      <c r="A881" s="13"/>
      <c r="B881" s="21"/>
      <c r="C881" s="21"/>
    </row>
    <row r="882" spans="1:3" x14ac:dyDescent="0.2">
      <c r="A882" s="13"/>
      <c r="B882" s="21"/>
      <c r="C882" s="21"/>
    </row>
    <row r="883" spans="1:3" x14ac:dyDescent="0.2">
      <c r="A883" s="13"/>
      <c r="B883" s="21"/>
      <c r="C883" s="21"/>
    </row>
    <row r="884" spans="1:3" x14ac:dyDescent="0.2">
      <c r="A884" s="13"/>
      <c r="B884" s="21"/>
      <c r="C884" s="21"/>
    </row>
    <row r="885" spans="1:3" x14ac:dyDescent="0.2">
      <c r="A885" s="13"/>
      <c r="B885" s="21"/>
      <c r="C885" s="21"/>
    </row>
    <row r="886" spans="1:3" x14ac:dyDescent="0.2">
      <c r="A886" s="13"/>
      <c r="B886" s="21"/>
      <c r="C886" s="21"/>
    </row>
    <row r="887" spans="1:3" x14ac:dyDescent="0.2">
      <c r="A887" s="13"/>
      <c r="B887" s="21"/>
      <c r="C887" s="21"/>
    </row>
    <row r="888" spans="1:3" x14ac:dyDescent="0.2">
      <c r="A888" s="13"/>
      <c r="B888" s="21"/>
      <c r="C888" s="21"/>
    </row>
    <row r="889" spans="1:3" x14ac:dyDescent="0.2">
      <c r="A889" s="13"/>
      <c r="B889" s="21"/>
      <c r="C889" s="21"/>
    </row>
    <row r="890" spans="1:3" x14ac:dyDescent="0.2">
      <c r="A890" s="13"/>
      <c r="B890" s="21"/>
      <c r="C890" s="21"/>
    </row>
    <row r="891" spans="1:3" x14ac:dyDescent="0.2">
      <c r="A891" s="13"/>
      <c r="B891" s="21"/>
      <c r="C891" s="21"/>
    </row>
    <row r="892" spans="1:3" x14ac:dyDescent="0.2">
      <c r="A892" s="13"/>
      <c r="B892" s="21"/>
      <c r="C892" s="21"/>
    </row>
    <row r="893" spans="1:3" x14ac:dyDescent="0.2">
      <c r="A893" s="13"/>
      <c r="B893" s="21"/>
      <c r="C893" s="21"/>
    </row>
    <row r="894" spans="1:3" x14ac:dyDescent="0.2">
      <c r="A894" s="13"/>
      <c r="B894" s="21"/>
      <c r="C894" s="21"/>
    </row>
    <row r="895" spans="1:3" x14ac:dyDescent="0.2">
      <c r="A895" s="13"/>
      <c r="B895" s="21"/>
      <c r="C895" s="21"/>
    </row>
    <row r="896" spans="1:3" x14ac:dyDescent="0.2">
      <c r="A896" s="13"/>
      <c r="B896" s="21"/>
      <c r="C896" s="21"/>
    </row>
    <row r="897" spans="1:3" x14ac:dyDescent="0.2">
      <c r="A897" s="13"/>
      <c r="B897" s="21"/>
      <c r="C897" s="21"/>
    </row>
    <row r="898" spans="1:3" x14ac:dyDescent="0.2">
      <c r="A898" s="13"/>
      <c r="B898" s="21"/>
      <c r="C898" s="21"/>
    </row>
    <row r="899" spans="1:3" x14ac:dyDescent="0.2">
      <c r="A899" s="13"/>
      <c r="B899" s="21"/>
      <c r="C899" s="21"/>
    </row>
    <row r="900" spans="1:3" x14ac:dyDescent="0.2">
      <c r="A900" s="13"/>
      <c r="B900" s="21"/>
      <c r="C900" s="21"/>
    </row>
    <row r="901" spans="1:3" x14ac:dyDescent="0.2">
      <c r="A901" s="13"/>
      <c r="B901" s="21"/>
      <c r="C901" s="21"/>
    </row>
    <row r="902" spans="1:3" x14ac:dyDescent="0.2">
      <c r="A902" s="13"/>
      <c r="B902" s="21"/>
      <c r="C902" s="21"/>
    </row>
    <row r="903" spans="1:3" x14ac:dyDescent="0.2">
      <c r="A903" s="13"/>
      <c r="B903" s="21"/>
      <c r="C903" s="21"/>
    </row>
    <row r="904" spans="1:3" x14ac:dyDescent="0.2">
      <c r="A904" s="13"/>
      <c r="B904" s="21"/>
      <c r="C904" s="21"/>
    </row>
    <row r="905" spans="1:3" x14ac:dyDescent="0.2">
      <c r="A905" s="13"/>
      <c r="B905" s="21"/>
      <c r="C905" s="21"/>
    </row>
    <row r="906" spans="1:3" x14ac:dyDescent="0.2">
      <c r="A906" s="13"/>
      <c r="B906" s="21"/>
      <c r="C906" s="21"/>
    </row>
    <row r="907" spans="1:3" x14ac:dyDescent="0.2">
      <c r="A907" s="13"/>
      <c r="B907" s="21"/>
      <c r="C907" s="21"/>
    </row>
    <row r="908" spans="1:3" x14ac:dyDescent="0.2">
      <c r="A908" s="13"/>
      <c r="B908" s="21"/>
      <c r="C908" s="21"/>
    </row>
    <row r="909" spans="1:3" x14ac:dyDescent="0.2">
      <c r="A909" s="13"/>
      <c r="B909" s="21"/>
      <c r="C909" s="21"/>
    </row>
    <row r="910" spans="1:3" x14ac:dyDescent="0.2">
      <c r="A910" s="13"/>
      <c r="B910" s="21"/>
      <c r="C910" s="21"/>
    </row>
    <row r="911" spans="1:3" x14ac:dyDescent="0.2">
      <c r="A911" s="13"/>
      <c r="B911" s="21"/>
      <c r="C911" s="21"/>
    </row>
    <row r="912" spans="1:3" x14ac:dyDescent="0.2">
      <c r="A912" s="13"/>
      <c r="B912" s="21"/>
      <c r="C912" s="21"/>
    </row>
    <row r="913" spans="1:3" x14ac:dyDescent="0.2">
      <c r="A913" s="13"/>
      <c r="B913" s="21"/>
      <c r="C913" s="21"/>
    </row>
    <row r="914" spans="1:3" x14ac:dyDescent="0.2">
      <c r="A914" s="13"/>
      <c r="B914" s="21"/>
      <c r="C914" s="21"/>
    </row>
    <row r="915" spans="1:3" x14ac:dyDescent="0.2">
      <c r="A915" s="13"/>
      <c r="B915" s="21"/>
      <c r="C915" s="21"/>
    </row>
    <row r="916" spans="1:3" x14ac:dyDescent="0.2">
      <c r="A916" s="13"/>
      <c r="B916" s="21"/>
      <c r="C916" s="21"/>
    </row>
    <row r="917" spans="1:3" x14ac:dyDescent="0.2">
      <c r="A917" s="13"/>
      <c r="B917" s="21"/>
      <c r="C917" s="21"/>
    </row>
    <row r="918" spans="1:3" x14ac:dyDescent="0.2">
      <c r="A918" s="13"/>
      <c r="B918" s="21"/>
      <c r="C918" s="21"/>
    </row>
    <row r="919" spans="1:3" x14ac:dyDescent="0.2">
      <c r="A919" s="13"/>
      <c r="B919" s="21"/>
      <c r="C919" s="21"/>
    </row>
    <row r="920" spans="1:3" x14ac:dyDescent="0.2">
      <c r="A920" s="13"/>
      <c r="B920" s="21"/>
      <c r="C920" s="21"/>
    </row>
    <row r="921" spans="1:3" x14ac:dyDescent="0.2">
      <c r="A921" s="13"/>
      <c r="B921" s="21"/>
      <c r="C921" s="21"/>
    </row>
    <row r="922" spans="1:3" x14ac:dyDescent="0.2">
      <c r="A922" s="13"/>
      <c r="B922" s="21"/>
      <c r="C922" s="21"/>
    </row>
    <row r="923" spans="1:3" x14ac:dyDescent="0.2">
      <c r="A923" s="13"/>
      <c r="B923" s="21"/>
      <c r="C923" s="21"/>
    </row>
    <row r="924" spans="1:3" x14ac:dyDescent="0.2">
      <c r="A924" s="13"/>
      <c r="B924" s="21"/>
      <c r="C924" s="21"/>
    </row>
    <row r="925" spans="1:3" x14ac:dyDescent="0.2">
      <c r="A925" s="13"/>
      <c r="B925" s="21"/>
      <c r="C925" s="21"/>
    </row>
    <row r="926" spans="1:3" x14ac:dyDescent="0.2">
      <c r="A926" s="13"/>
      <c r="B926" s="21"/>
      <c r="C926" s="21"/>
    </row>
    <row r="927" spans="1:3" x14ac:dyDescent="0.2">
      <c r="A927" s="13"/>
      <c r="B927" s="21"/>
      <c r="C927" s="21"/>
    </row>
    <row r="928" spans="1:3" x14ac:dyDescent="0.2">
      <c r="A928" s="13"/>
      <c r="B928" s="21"/>
      <c r="C928" s="21"/>
    </row>
    <row r="929" spans="1:3" x14ac:dyDescent="0.2">
      <c r="A929" s="13"/>
      <c r="B929" s="21"/>
      <c r="C929" s="21"/>
    </row>
    <row r="930" spans="1:3" x14ac:dyDescent="0.2">
      <c r="A930" s="13"/>
      <c r="B930" s="21"/>
      <c r="C930" s="21"/>
    </row>
    <row r="931" spans="1:3" x14ac:dyDescent="0.2">
      <c r="A931" s="13"/>
      <c r="B931" s="21"/>
      <c r="C931" s="21"/>
    </row>
    <row r="932" spans="1:3" x14ac:dyDescent="0.2">
      <c r="A932" s="13"/>
      <c r="B932" s="21"/>
      <c r="C932" s="21"/>
    </row>
    <row r="933" spans="1:3" x14ac:dyDescent="0.2">
      <c r="A933" s="13"/>
      <c r="B933" s="21"/>
      <c r="C933" s="21"/>
    </row>
    <row r="934" spans="1:3" x14ac:dyDescent="0.2">
      <c r="A934" s="13"/>
      <c r="B934" s="21"/>
      <c r="C934" s="21"/>
    </row>
    <row r="935" spans="1:3" x14ac:dyDescent="0.2">
      <c r="A935" s="13"/>
      <c r="B935" s="21"/>
      <c r="C935" s="21"/>
    </row>
    <row r="936" spans="1:3" x14ac:dyDescent="0.2">
      <c r="A936" s="13"/>
      <c r="B936" s="21"/>
      <c r="C936" s="21"/>
    </row>
    <row r="937" spans="1:3" x14ac:dyDescent="0.2">
      <c r="A937" s="13"/>
      <c r="B937" s="21"/>
      <c r="C937" s="21"/>
    </row>
    <row r="938" spans="1:3" x14ac:dyDescent="0.2">
      <c r="A938" s="13"/>
      <c r="B938" s="21"/>
      <c r="C938" s="21"/>
    </row>
    <row r="939" spans="1:3" x14ac:dyDescent="0.2">
      <c r="A939" s="13"/>
      <c r="B939" s="21"/>
      <c r="C939" s="21"/>
    </row>
    <row r="940" spans="1:3" x14ac:dyDescent="0.2">
      <c r="A940" s="13"/>
      <c r="B940" s="21"/>
      <c r="C940" s="21"/>
    </row>
    <row r="941" spans="1:3" x14ac:dyDescent="0.2">
      <c r="A941" s="13"/>
      <c r="B941" s="21"/>
      <c r="C941" s="21"/>
    </row>
    <row r="942" spans="1:3" x14ac:dyDescent="0.2">
      <c r="A942" s="13"/>
      <c r="B942" s="21"/>
      <c r="C942" s="21"/>
    </row>
    <row r="943" spans="1:3" x14ac:dyDescent="0.2">
      <c r="A943" s="13"/>
      <c r="B943" s="21"/>
      <c r="C943" s="21"/>
    </row>
    <row r="944" spans="1:3" x14ac:dyDescent="0.2">
      <c r="A944" s="13"/>
      <c r="B944" s="21"/>
      <c r="C944" s="21"/>
    </row>
    <row r="945" spans="1:3" x14ac:dyDescent="0.2">
      <c r="A945" s="13"/>
      <c r="B945" s="21"/>
      <c r="C945" s="21"/>
    </row>
    <row r="946" spans="1:3" x14ac:dyDescent="0.2">
      <c r="A946" s="13"/>
      <c r="B946" s="21"/>
      <c r="C946" s="21"/>
    </row>
    <row r="947" spans="1:3" x14ac:dyDescent="0.2">
      <c r="A947" s="13"/>
      <c r="B947" s="21"/>
      <c r="C947" s="21"/>
    </row>
    <row r="948" spans="1:3" x14ac:dyDescent="0.2">
      <c r="A948" s="13"/>
      <c r="B948" s="21"/>
      <c r="C948" s="21"/>
    </row>
    <row r="949" spans="1:3" x14ac:dyDescent="0.2">
      <c r="A949" s="13"/>
      <c r="B949" s="21"/>
      <c r="C949" s="21"/>
    </row>
    <row r="950" spans="1:3" x14ac:dyDescent="0.2">
      <c r="A950" s="13"/>
      <c r="B950" s="21"/>
      <c r="C950" s="21"/>
    </row>
    <row r="951" spans="1:3" x14ac:dyDescent="0.2">
      <c r="A951" s="13"/>
      <c r="B951" s="21"/>
      <c r="C951" s="21"/>
    </row>
    <row r="952" spans="1:3" x14ac:dyDescent="0.2">
      <c r="A952" s="13"/>
      <c r="B952" s="21"/>
      <c r="C952" s="21"/>
    </row>
    <row r="953" spans="1:3" x14ac:dyDescent="0.2">
      <c r="A953" s="13"/>
      <c r="B953" s="21"/>
      <c r="C953" s="21"/>
    </row>
    <row r="954" spans="1:3" x14ac:dyDescent="0.2">
      <c r="A954" s="13"/>
      <c r="B954" s="21"/>
      <c r="C954" s="21"/>
    </row>
    <row r="955" spans="1:3" x14ac:dyDescent="0.2">
      <c r="A955" s="13"/>
      <c r="B955" s="21"/>
      <c r="C955" s="21"/>
    </row>
    <row r="956" spans="1:3" x14ac:dyDescent="0.2">
      <c r="A956" s="13"/>
      <c r="B956" s="21"/>
      <c r="C956" s="21"/>
    </row>
    <row r="957" spans="1:3" x14ac:dyDescent="0.2">
      <c r="A957" s="13"/>
      <c r="B957" s="21"/>
      <c r="C957" s="21"/>
    </row>
    <row r="958" spans="1:3" x14ac:dyDescent="0.2">
      <c r="A958" s="13"/>
      <c r="B958" s="21"/>
      <c r="C958" s="21"/>
    </row>
    <row r="959" spans="1:3" x14ac:dyDescent="0.2">
      <c r="A959" s="13"/>
      <c r="B959" s="21"/>
      <c r="C959" s="21"/>
    </row>
    <row r="960" spans="1:3" x14ac:dyDescent="0.2">
      <c r="A960" s="13"/>
      <c r="B960" s="21"/>
      <c r="C960" s="21"/>
    </row>
    <row r="961" spans="1:3" x14ac:dyDescent="0.2">
      <c r="A961" s="13"/>
      <c r="B961" s="21"/>
      <c r="C961" s="21"/>
    </row>
    <row r="962" spans="1:3" x14ac:dyDescent="0.2">
      <c r="A962" s="13"/>
      <c r="B962" s="21"/>
      <c r="C962" s="21"/>
    </row>
    <row r="963" spans="1:3" x14ac:dyDescent="0.2">
      <c r="A963" s="13"/>
      <c r="B963" s="21"/>
      <c r="C963" s="21"/>
    </row>
    <row r="964" spans="1:3" x14ac:dyDescent="0.2">
      <c r="A964" s="13"/>
      <c r="B964" s="21"/>
      <c r="C964" s="21"/>
    </row>
    <row r="965" spans="1:3" x14ac:dyDescent="0.2">
      <c r="A965" s="13"/>
      <c r="B965" s="21"/>
      <c r="C965" s="21"/>
    </row>
    <row r="966" spans="1:3" x14ac:dyDescent="0.2">
      <c r="A966" s="13"/>
      <c r="B966" s="21"/>
      <c r="C966" s="21"/>
    </row>
    <row r="967" spans="1:3" x14ac:dyDescent="0.2">
      <c r="A967" s="13"/>
      <c r="B967" s="21"/>
      <c r="C967" s="21"/>
    </row>
    <row r="968" spans="1:3" x14ac:dyDescent="0.2">
      <c r="A968" s="13"/>
      <c r="B968" s="21"/>
      <c r="C968" s="21"/>
    </row>
    <row r="969" spans="1:3" x14ac:dyDescent="0.2">
      <c r="A969" s="13"/>
      <c r="B969" s="21"/>
      <c r="C969" s="21"/>
    </row>
    <row r="970" spans="1:3" x14ac:dyDescent="0.2">
      <c r="A970" s="13"/>
      <c r="B970" s="21"/>
      <c r="C970" s="21"/>
    </row>
    <row r="971" spans="1:3" x14ac:dyDescent="0.2">
      <c r="A971" s="13"/>
      <c r="B971" s="21"/>
      <c r="C971" s="21"/>
    </row>
    <row r="972" spans="1:3" x14ac:dyDescent="0.2">
      <c r="A972" s="13"/>
      <c r="B972" s="21"/>
      <c r="C972" s="21"/>
    </row>
    <row r="973" spans="1:3" x14ac:dyDescent="0.2">
      <c r="A973" s="13"/>
      <c r="B973" s="21"/>
      <c r="C973" s="21"/>
    </row>
    <row r="974" spans="1:3" x14ac:dyDescent="0.2">
      <c r="A974" s="13"/>
      <c r="B974" s="21"/>
      <c r="C974" s="21"/>
    </row>
    <row r="975" spans="1:3" x14ac:dyDescent="0.2">
      <c r="A975" s="13"/>
      <c r="B975" s="21"/>
      <c r="C975" s="21"/>
    </row>
    <row r="976" spans="1:3" x14ac:dyDescent="0.2">
      <c r="A976" s="13"/>
      <c r="B976" s="21"/>
      <c r="C976" s="21"/>
    </row>
    <row r="977" spans="1:3" x14ac:dyDescent="0.2">
      <c r="A977" s="13"/>
      <c r="B977" s="21"/>
      <c r="C977" s="21"/>
    </row>
    <row r="978" spans="1:3" x14ac:dyDescent="0.2">
      <c r="A978" s="13"/>
      <c r="B978" s="21"/>
      <c r="C978" s="21"/>
    </row>
    <row r="979" spans="1:3" x14ac:dyDescent="0.2">
      <c r="A979" s="13"/>
      <c r="B979" s="21"/>
      <c r="C979" s="21"/>
    </row>
    <row r="980" spans="1:3" x14ac:dyDescent="0.2">
      <c r="A980" s="13"/>
      <c r="B980" s="21"/>
      <c r="C980" s="21"/>
    </row>
    <row r="981" spans="1:3" x14ac:dyDescent="0.2">
      <c r="A981" s="13"/>
      <c r="B981" s="21"/>
      <c r="C981" s="21"/>
    </row>
    <row r="982" spans="1:3" x14ac:dyDescent="0.2">
      <c r="A982" s="13"/>
      <c r="B982" s="21"/>
      <c r="C982" s="21"/>
    </row>
    <row r="983" spans="1:3" x14ac:dyDescent="0.2">
      <c r="A983" s="13"/>
      <c r="B983" s="21"/>
      <c r="C983" s="21"/>
    </row>
    <row r="984" spans="1:3" x14ac:dyDescent="0.2">
      <c r="A984" s="13"/>
      <c r="B984" s="21"/>
      <c r="C984" s="21"/>
    </row>
    <row r="985" spans="1:3" x14ac:dyDescent="0.2">
      <c r="A985" s="13"/>
      <c r="B985" s="21"/>
      <c r="C985" s="21"/>
    </row>
    <row r="986" spans="1:3" x14ac:dyDescent="0.2">
      <c r="A986" s="13"/>
      <c r="B986" s="21"/>
      <c r="C986" s="21"/>
    </row>
    <row r="987" spans="1:3" x14ac:dyDescent="0.2">
      <c r="A987" s="13"/>
      <c r="B987" s="21"/>
      <c r="C987" s="21"/>
    </row>
    <row r="988" spans="1:3" x14ac:dyDescent="0.2">
      <c r="A988" s="13"/>
      <c r="B988" s="21"/>
      <c r="C988" s="21"/>
    </row>
    <row r="989" spans="1:3" x14ac:dyDescent="0.2">
      <c r="A989" s="13"/>
      <c r="B989" s="21"/>
      <c r="C989" s="21"/>
    </row>
    <row r="990" spans="1:3" x14ac:dyDescent="0.2">
      <c r="A990" s="13"/>
      <c r="B990" s="21"/>
      <c r="C990" s="21"/>
    </row>
    <row r="991" spans="1:3" x14ac:dyDescent="0.2">
      <c r="A991" s="13"/>
      <c r="B991" s="21"/>
      <c r="C991" s="21"/>
    </row>
    <row r="992" spans="1:3" x14ac:dyDescent="0.2">
      <c r="A992" s="13"/>
      <c r="B992" s="21"/>
      <c r="C992" s="21"/>
    </row>
    <row r="993" spans="1:3" x14ac:dyDescent="0.2">
      <c r="A993" s="13"/>
      <c r="B993" s="21"/>
      <c r="C993" s="21"/>
    </row>
    <row r="994" spans="1:3" x14ac:dyDescent="0.2">
      <c r="A994" s="13"/>
      <c r="B994" s="21"/>
      <c r="C994" s="21"/>
    </row>
    <row r="995" spans="1:3" x14ac:dyDescent="0.2">
      <c r="A995" s="13"/>
      <c r="B995" s="21"/>
      <c r="C995" s="21"/>
    </row>
    <row r="996" spans="1:3" x14ac:dyDescent="0.2">
      <c r="A996" s="13"/>
      <c r="B996" s="21"/>
      <c r="C996" s="21"/>
    </row>
    <row r="997" spans="1:3" x14ac:dyDescent="0.2">
      <c r="A997" s="13"/>
      <c r="B997" s="21"/>
      <c r="C997" s="21"/>
    </row>
    <row r="998" spans="1:3" x14ac:dyDescent="0.2">
      <c r="A998" s="13"/>
      <c r="B998" s="21"/>
      <c r="C998" s="21"/>
    </row>
    <row r="999" spans="1:3" x14ac:dyDescent="0.2">
      <c r="A999" s="13"/>
      <c r="B999" s="21"/>
      <c r="C999" s="21"/>
    </row>
    <row r="1000" spans="1:3" x14ac:dyDescent="0.2">
      <c r="A1000" s="13"/>
      <c r="B1000" s="21"/>
      <c r="C1000" s="21"/>
    </row>
    <row r="1001" spans="1:3" x14ac:dyDescent="0.2">
      <c r="A1001" s="13"/>
      <c r="B1001" s="21"/>
      <c r="C1001" s="21"/>
    </row>
    <row r="1002" spans="1:3" x14ac:dyDescent="0.2">
      <c r="A1002" s="13"/>
      <c r="B1002" s="21"/>
      <c r="C1002" s="21"/>
    </row>
    <row r="1003" spans="1:3" x14ac:dyDescent="0.2">
      <c r="A1003" s="13"/>
      <c r="B1003" s="21"/>
      <c r="C1003" s="21"/>
    </row>
    <row r="1004" spans="1:3" x14ac:dyDescent="0.2">
      <c r="A1004" s="13"/>
      <c r="B1004" s="21"/>
      <c r="C1004" s="21"/>
    </row>
    <row r="1005" spans="1:3" x14ac:dyDescent="0.2">
      <c r="A1005" s="13"/>
      <c r="B1005" s="21"/>
      <c r="C1005" s="21"/>
    </row>
    <row r="1006" spans="1:3" x14ac:dyDescent="0.2">
      <c r="A1006" s="13"/>
      <c r="B1006" s="21"/>
      <c r="C1006" s="21"/>
    </row>
    <row r="1007" spans="1:3" x14ac:dyDescent="0.2">
      <c r="A1007" s="13"/>
      <c r="B1007" s="21"/>
      <c r="C1007" s="21"/>
    </row>
    <row r="1008" spans="1:3" x14ac:dyDescent="0.2">
      <c r="A1008" s="13"/>
      <c r="B1008" s="21"/>
      <c r="C1008" s="21"/>
    </row>
    <row r="1009" spans="1:3" x14ac:dyDescent="0.2">
      <c r="A1009" s="13"/>
      <c r="B1009" s="21"/>
      <c r="C1009" s="21"/>
    </row>
    <row r="1010" spans="1:3" x14ac:dyDescent="0.2">
      <c r="A1010" s="13"/>
      <c r="B1010" s="21"/>
      <c r="C1010" s="21"/>
    </row>
    <row r="1011" spans="1:3" x14ac:dyDescent="0.2">
      <c r="A1011" s="13"/>
      <c r="B1011" s="21"/>
      <c r="C1011" s="21"/>
    </row>
    <row r="1012" spans="1:3" x14ac:dyDescent="0.2">
      <c r="A1012" s="13"/>
      <c r="B1012" s="21"/>
      <c r="C1012" s="21"/>
    </row>
    <row r="1013" spans="1:3" x14ac:dyDescent="0.2">
      <c r="A1013" s="13"/>
      <c r="B1013" s="21"/>
      <c r="C1013" s="21"/>
    </row>
    <row r="1014" spans="1:3" x14ac:dyDescent="0.2">
      <c r="A1014" s="13"/>
      <c r="B1014" s="21"/>
      <c r="C1014" s="21"/>
    </row>
    <row r="1015" spans="1:3" x14ac:dyDescent="0.2">
      <c r="A1015" s="13"/>
      <c r="B1015" s="21"/>
      <c r="C1015" s="21"/>
    </row>
    <row r="1016" spans="1:3" x14ac:dyDescent="0.2">
      <c r="A1016" s="13"/>
      <c r="B1016" s="21"/>
      <c r="C1016" s="21"/>
    </row>
    <row r="1017" spans="1:3" x14ac:dyDescent="0.2">
      <c r="A1017" s="13"/>
      <c r="B1017" s="21"/>
      <c r="C1017" s="21"/>
    </row>
    <row r="1018" spans="1:3" x14ac:dyDescent="0.2">
      <c r="A1018" s="13"/>
      <c r="B1018" s="21"/>
      <c r="C1018" s="21"/>
    </row>
    <row r="1019" spans="1:3" x14ac:dyDescent="0.2">
      <c r="A1019" s="13"/>
      <c r="B1019" s="21"/>
      <c r="C1019" s="21"/>
    </row>
    <row r="1020" spans="1:3" x14ac:dyDescent="0.2">
      <c r="A1020" s="13"/>
      <c r="B1020" s="21"/>
      <c r="C1020" s="21"/>
    </row>
    <row r="1021" spans="1:3" x14ac:dyDescent="0.2">
      <c r="A1021" s="13"/>
      <c r="B1021" s="21"/>
      <c r="C1021" s="21"/>
    </row>
    <row r="1022" spans="1:3" x14ac:dyDescent="0.2">
      <c r="A1022" s="13"/>
      <c r="B1022" s="21"/>
      <c r="C1022" s="21"/>
    </row>
    <row r="1023" spans="1:3" x14ac:dyDescent="0.2">
      <c r="A1023" s="13"/>
      <c r="B1023" s="21"/>
      <c r="C1023" s="21"/>
    </row>
    <row r="1024" spans="1:3" x14ac:dyDescent="0.2">
      <c r="A1024" s="13"/>
      <c r="B1024" s="21"/>
      <c r="C1024" s="21"/>
    </row>
    <row r="1025" spans="1:3" x14ac:dyDescent="0.2">
      <c r="A1025" s="13"/>
      <c r="B1025" s="21"/>
      <c r="C1025" s="21"/>
    </row>
    <row r="1026" spans="1:3" x14ac:dyDescent="0.2">
      <c r="A1026" s="13"/>
      <c r="B1026" s="21"/>
      <c r="C1026" s="21"/>
    </row>
    <row r="1027" spans="1:3" x14ac:dyDescent="0.2">
      <c r="A1027" s="13"/>
      <c r="B1027" s="21"/>
      <c r="C1027" s="21"/>
    </row>
    <row r="1028" spans="1:3" x14ac:dyDescent="0.2">
      <c r="A1028" s="13"/>
      <c r="B1028" s="21"/>
      <c r="C1028" s="21"/>
    </row>
    <row r="1029" spans="1:3" x14ac:dyDescent="0.2">
      <c r="A1029" s="13"/>
      <c r="B1029" s="21"/>
      <c r="C1029" s="21"/>
    </row>
    <row r="1030" spans="1:3" x14ac:dyDescent="0.2">
      <c r="A1030" s="13"/>
      <c r="B1030" s="21"/>
      <c r="C1030" s="21"/>
    </row>
    <row r="1031" spans="1:3" x14ac:dyDescent="0.2">
      <c r="A1031" s="13"/>
      <c r="B1031" s="21"/>
      <c r="C1031" s="21"/>
    </row>
    <row r="1032" spans="1:3" x14ac:dyDescent="0.2">
      <c r="A1032" s="13"/>
      <c r="B1032" s="21"/>
      <c r="C1032" s="21"/>
    </row>
    <row r="1033" spans="1:3" x14ac:dyDescent="0.2">
      <c r="A1033" s="13"/>
      <c r="B1033" s="21"/>
      <c r="C1033" s="21"/>
    </row>
    <row r="1034" spans="1:3" x14ac:dyDescent="0.2">
      <c r="A1034" s="13"/>
      <c r="B1034" s="21"/>
      <c r="C1034" s="21"/>
    </row>
    <row r="1035" spans="1:3" x14ac:dyDescent="0.2">
      <c r="A1035" s="13"/>
      <c r="B1035" s="21"/>
      <c r="C1035" s="21"/>
    </row>
    <row r="1036" spans="1:3" x14ac:dyDescent="0.2">
      <c r="A1036" s="13"/>
      <c r="B1036" s="21"/>
      <c r="C1036" s="21"/>
    </row>
    <row r="1037" spans="1:3" x14ac:dyDescent="0.2">
      <c r="A1037" s="13"/>
      <c r="B1037" s="21"/>
      <c r="C1037" s="21"/>
    </row>
    <row r="1038" spans="1:3" x14ac:dyDescent="0.2">
      <c r="A1038" s="13"/>
      <c r="B1038" s="21"/>
      <c r="C1038" s="21"/>
    </row>
    <row r="1039" spans="1:3" x14ac:dyDescent="0.2">
      <c r="A1039" s="13"/>
      <c r="B1039" s="21"/>
      <c r="C1039" s="21"/>
    </row>
    <row r="1040" spans="1:3" x14ac:dyDescent="0.2">
      <c r="A1040" s="13"/>
      <c r="B1040" s="21"/>
      <c r="C1040" s="21"/>
    </row>
    <row r="1041" spans="1:3" x14ac:dyDescent="0.2">
      <c r="A1041" s="13"/>
      <c r="B1041" s="21"/>
      <c r="C1041" s="21"/>
    </row>
    <row r="1042" spans="1:3" x14ac:dyDescent="0.2">
      <c r="A1042" s="13"/>
      <c r="B1042" s="21"/>
      <c r="C1042" s="21"/>
    </row>
    <row r="1043" spans="1:3" x14ac:dyDescent="0.2">
      <c r="A1043" s="13"/>
      <c r="B1043" s="21"/>
      <c r="C1043" s="21"/>
    </row>
    <row r="1044" spans="1:3" x14ac:dyDescent="0.2">
      <c r="A1044" s="13"/>
      <c r="B1044" s="21"/>
      <c r="C1044" s="21"/>
    </row>
    <row r="1045" spans="1:3" x14ac:dyDescent="0.2">
      <c r="A1045" s="13"/>
      <c r="B1045" s="21"/>
      <c r="C1045" s="21"/>
    </row>
    <row r="1046" spans="1:3" x14ac:dyDescent="0.2">
      <c r="A1046" s="13"/>
      <c r="B1046" s="21"/>
      <c r="C1046" s="21"/>
    </row>
    <row r="1047" spans="1:3" x14ac:dyDescent="0.2">
      <c r="A1047" s="13"/>
      <c r="B1047" s="21"/>
      <c r="C1047" s="21"/>
    </row>
    <row r="1048" spans="1:3" x14ac:dyDescent="0.2">
      <c r="A1048" s="13"/>
      <c r="B1048" s="21"/>
      <c r="C1048" s="21"/>
    </row>
    <row r="1049" spans="1:3" x14ac:dyDescent="0.2">
      <c r="A1049" s="13"/>
      <c r="B1049" s="21"/>
      <c r="C1049" s="21"/>
    </row>
    <row r="1050" spans="1:3" x14ac:dyDescent="0.2">
      <c r="A1050" s="13"/>
      <c r="B1050" s="21"/>
      <c r="C1050" s="21"/>
    </row>
    <row r="1051" spans="1:3" x14ac:dyDescent="0.2">
      <c r="A1051" s="13"/>
      <c r="B1051" s="21"/>
      <c r="C1051" s="21"/>
    </row>
    <row r="1052" spans="1:3" x14ac:dyDescent="0.2">
      <c r="A1052" s="13"/>
      <c r="B1052" s="21"/>
      <c r="C1052" s="21"/>
    </row>
    <row r="1053" spans="1:3" x14ac:dyDescent="0.2">
      <c r="A1053" s="13"/>
      <c r="B1053" s="21"/>
      <c r="C1053" s="21"/>
    </row>
    <row r="1054" spans="1:3" x14ac:dyDescent="0.2">
      <c r="A1054" s="13"/>
      <c r="B1054" s="21"/>
      <c r="C1054" s="21"/>
    </row>
    <row r="1055" spans="1:3" x14ac:dyDescent="0.2">
      <c r="A1055" s="13"/>
      <c r="B1055" s="21"/>
      <c r="C1055" s="21"/>
    </row>
    <row r="1056" spans="1:3" x14ac:dyDescent="0.2">
      <c r="A1056" s="13"/>
      <c r="B1056" s="21"/>
      <c r="C1056" s="21"/>
    </row>
    <row r="1057" spans="1:3" x14ac:dyDescent="0.2">
      <c r="A1057" s="13"/>
      <c r="B1057" s="21"/>
      <c r="C1057" s="21"/>
    </row>
    <row r="1058" spans="1:3" x14ac:dyDescent="0.2">
      <c r="A1058" s="13"/>
      <c r="B1058" s="21"/>
      <c r="C1058" s="21"/>
    </row>
    <row r="1059" spans="1:3" x14ac:dyDescent="0.2">
      <c r="A1059" s="13"/>
      <c r="B1059" s="21"/>
      <c r="C1059" s="21"/>
    </row>
    <row r="1060" spans="1:3" x14ac:dyDescent="0.2">
      <c r="A1060" s="13"/>
      <c r="B1060" s="21"/>
      <c r="C1060" s="21"/>
    </row>
    <row r="1061" spans="1:3" x14ac:dyDescent="0.2">
      <c r="A1061" s="13"/>
      <c r="B1061" s="21"/>
      <c r="C1061" s="21"/>
    </row>
    <row r="1062" spans="1:3" x14ac:dyDescent="0.2">
      <c r="A1062" s="13"/>
      <c r="B1062" s="21"/>
      <c r="C1062" s="21"/>
    </row>
    <row r="1063" spans="1:3" x14ac:dyDescent="0.2">
      <c r="A1063" s="13"/>
      <c r="B1063" s="21"/>
      <c r="C1063" s="21"/>
    </row>
    <row r="1064" spans="1:3" x14ac:dyDescent="0.2">
      <c r="A1064" s="13"/>
      <c r="B1064" s="21"/>
      <c r="C1064" s="21"/>
    </row>
    <row r="1065" spans="1:3" x14ac:dyDescent="0.2">
      <c r="A1065" s="13"/>
      <c r="B1065" s="21"/>
      <c r="C1065" s="21"/>
    </row>
    <row r="1066" spans="1:3" x14ac:dyDescent="0.2">
      <c r="A1066" s="13"/>
      <c r="B1066" s="21"/>
      <c r="C1066" s="21"/>
    </row>
    <row r="1067" spans="1:3" x14ac:dyDescent="0.2">
      <c r="A1067" s="13"/>
      <c r="B1067" s="21"/>
      <c r="C1067" s="21"/>
    </row>
    <row r="1068" spans="1:3" x14ac:dyDescent="0.2">
      <c r="A1068" s="13"/>
      <c r="B1068" s="21"/>
      <c r="C1068" s="21"/>
    </row>
    <row r="1069" spans="1:3" x14ac:dyDescent="0.2">
      <c r="A1069" s="13"/>
      <c r="B1069" s="21"/>
      <c r="C1069" s="21"/>
    </row>
    <row r="1070" spans="1:3" x14ac:dyDescent="0.2">
      <c r="A1070" s="13"/>
      <c r="B1070" s="21"/>
      <c r="C1070" s="21"/>
    </row>
    <row r="1071" spans="1:3" x14ac:dyDescent="0.2">
      <c r="A1071" s="13"/>
      <c r="B1071" s="21"/>
      <c r="C1071" s="21"/>
    </row>
    <row r="1072" spans="1:3" x14ac:dyDescent="0.2">
      <c r="A1072" s="13"/>
      <c r="B1072" s="21"/>
      <c r="C1072" s="21"/>
    </row>
    <row r="1073" spans="1:3" x14ac:dyDescent="0.2">
      <c r="A1073" s="13"/>
      <c r="B1073" s="21"/>
      <c r="C1073" s="21"/>
    </row>
    <row r="1074" spans="1:3" x14ac:dyDescent="0.2">
      <c r="A1074" s="13"/>
      <c r="B1074" s="21"/>
      <c r="C1074" s="21"/>
    </row>
    <row r="1075" spans="1:3" x14ac:dyDescent="0.2">
      <c r="A1075" s="13"/>
      <c r="B1075" s="21"/>
      <c r="C1075" s="21"/>
    </row>
    <row r="1076" spans="1:3" x14ac:dyDescent="0.2">
      <c r="A1076" s="13"/>
      <c r="B1076" s="21"/>
      <c r="C1076" s="21"/>
    </row>
    <row r="1077" spans="1:3" x14ac:dyDescent="0.2">
      <c r="A1077" s="13"/>
      <c r="B1077" s="21"/>
      <c r="C1077" s="21"/>
    </row>
    <row r="1078" spans="1:3" x14ac:dyDescent="0.2">
      <c r="A1078" s="13"/>
      <c r="B1078" s="21"/>
      <c r="C1078" s="21"/>
    </row>
    <row r="1079" spans="1:3" x14ac:dyDescent="0.2">
      <c r="A1079" s="13"/>
      <c r="B1079" s="21"/>
      <c r="C1079" s="21"/>
    </row>
    <row r="1080" spans="1:3" x14ac:dyDescent="0.2">
      <c r="A1080" s="13"/>
      <c r="B1080" s="21"/>
      <c r="C1080" s="21"/>
    </row>
    <row r="1081" spans="1:3" x14ac:dyDescent="0.2">
      <c r="A1081" s="13"/>
      <c r="B1081" s="21"/>
      <c r="C1081" s="21"/>
    </row>
    <row r="1082" spans="1:3" x14ac:dyDescent="0.2">
      <c r="A1082" s="13"/>
      <c r="B1082" s="21"/>
      <c r="C1082" s="21"/>
    </row>
    <row r="1083" spans="1:3" x14ac:dyDescent="0.2">
      <c r="A1083" s="13"/>
      <c r="B1083" s="21"/>
      <c r="C1083" s="21"/>
    </row>
    <row r="1084" spans="1:3" x14ac:dyDescent="0.2">
      <c r="A1084" s="13"/>
      <c r="B1084" s="21"/>
      <c r="C1084" s="21"/>
    </row>
    <row r="1085" spans="1:3" x14ac:dyDescent="0.2">
      <c r="A1085" s="13"/>
      <c r="B1085" s="21"/>
      <c r="C1085" s="21"/>
    </row>
    <row r="1086" spans="1:3" x14ac:dyDescent="0.2">
      <c r="A1086" s="13"/>
      <c r="B1086" s="21"/>
      <c r="C1086" s="21"/>
    </row>
    <row r="1087" spans="1:3" x14ac:dyDescent="0.2">
      <c r="A1087" s="13"/>
      <c r="B1087" s="21"/>
      <c r="C1087" s="21"/>
    </row>
    <row r="1088" spans="1:3" x14ac:dyDescent="0.2">
      <c r="A1088" s="13"/>
      <c r="B1088" s="21"/>
      <c r="C1088" s="21"/>
    </row>
    <row r="1089" spans="1:3" x14ac:dyDescent="0.2">
      <c r="A1089" s="13"/>
      <c r="B1089" s="21"/>
      <c r="C1089" s="21"/>
    </row>
    <row r="1090" spans="1:3" x14ac:dyDescent="0.2">
      <c r="A1090" s="13"/>
      <c r="B1090" s="21"/>
      <c r="C1090" s="21"/>
    </row>
    <row r="1091" spans="1:3" x14ac:dyDescent="0.2">
      <c r="A1091" s="13"/>
      <c r="B1091" s="21"/>
      <c r="C1091" s="21"/>
    </row>
    <row r="1092" spans="1:3" x14ac:dyDescent="0.2">
      <c r="A1092" s="13"/>
      <c r="B1092" s="21"/>
      <c r="C1092" s="21"/>
    </row>
    <row r="1093" spans="1:3" x14ac:dyDescent="0.2">
      <c r="A1093" s="13"/>
      <c r="B1093" s="21"/>
      <c r="C1093" s="21"/>
    </row>
    <row r="1094" spans="1:3" x14ac:dyDescent="0.2">
      <c r="A1094" s="13"/>
      <c r="B1094" s="21"/>
      <c r="C1094" s="21"/>
    </row>
    <row r="1095" spans="1:3" x14ac:dyDescent="0.2">
      <c r="A1095" s="13"/>
      <c r="B1095" s="21"/>
      <c r="C1095" s="21"/>
    </row>
    <row r="1096" spans="1:3" x14ac:dyDescent="0.2">
      <c r="A1096" s="13"/>
      <c r="B1096" s="21"/>
      <c r="C1096" s="21"/>
    </row>
    <row r="1097" spans="1:3" x14ac:dyDescent="0.2">
      <c r="A1097" s="13"/>
      <c r="B1097" s="21"/>
      <c r="C1097" s="21"/>
    </row>
    <row r="1098" spans="1:3" x14ac:dyDescent="0.2">
      <c r="A1098" s="13"/>
      <c r="B1098" s="21"/>
      <c r="C1098" s="21"/>
    </row>
    <row r="1099" spans="1:3" x14ac:dyDescent="0.2">
      <c r="A1099" s="13"/>
      <c r="B1099" s="21"/>
      <c r="C1099" s="21"/>
    </row>
    <row r="1100" spans="1:3" x14ac:dyDescent="0.2">
      <c r="A1100" s="13"/>
      <c r="B1100" s="21"/>
      <c r="C1100" s="21"/>
    </row>
    <row r="1101" spans="1:3" x14ac:dyDescent="0.2">
      <c r="A1101" s="13"/>
      <c r="B1101" s="21"/>
      <c r="C1101" s="21"/>
    </row>
    <row r="1102" spans="1:3" x14ac:dyDescent="0.2">
      <c r="A1102" s="13"/>
      <c r="B1102" s="21"/>
      <c r="C1102" s="21"/>
    </row>
    <row r="1103" spans="1:3" x14ac:dyDescent="0.2">
      <c r="A1103" s="13"/>
      <c r="B1103" s="21"/>
      <c r="C1103" s="21"/>
    </row>
    <row r="1104" spans="1:3" x14ac:dyDescent="0.2">
      <c r="A1104" s="13"/>
      <c r="B1104" s="21"/>
      <c r="C1104" s="21"/>
    </row>
    <row r="1105" spans="1:3" x14ac:dyDescent="0.2">
      <c r="A1105" s="13"/>
      <c r="B1105" s="21"/>
      <c r="C1105" s="21"/>
    </row>
    <row r="1106" spans="1:3" x14ac:dyDescent="0.2">
      <c r="A1106" s="13"/>
      <c r="B1106" s="21"/>
      <c r="C1106" s="21"/>
    </row>
    <row r="1107" spans="1:3" x14ac:dyDescent="0.2">
      <c r="A1107" s="13"/>
      <c r="B1107" s="21"/>
      <c r="C1107" s="21"/>
    </row>
    <row r="1108" spans="1:3" x14ac:dyDescent="0.2">
      <c r="A1108" s="13"/>
      <c r="B1108" s="21"/>
      <c r="C1108" s="21"/>
    </row>
    <row r="1109" spans="1:3" x14ac:dyDescent="0.2">
      <c r="A1109" s="13"/>
      <c r="B1109" s="21"/>
      <c r="C1109" s="21"/>
    </row>
    <row r="1110" spans="1:3" x14ac:dyDescent="0.2">
      <c r="A1110" s="13"/>
      <c r="B1110" s="21"/>
      <c r="C1110" s="21"/>
    </row>
    <row r="1111" spans="1:3" x14ac:dyDescent="0.2">
      <c r="A1111" s="13"/>
      <c r="B1111" s="21"/>
      <c r="C1111" s="21"/>
    </row>
    <row r="1112" spans="1:3" x14ac:dyDescent="0.2">
      <c r="A1112" s="13"/>
      <c r="B1112" s="21"/>
      <c r="C1112" s="21"/>
    </row>
    <row r="1113" spans="1:3" x14ac:dyDescent="0.2">
      <c r="A1113" s="13"/>
      <c r="B1113" s="21"/>
      <c r="C1113" s="21"/>
    </row>
    <row r="1114" spans="1:3" x14ac:dyDescent="0.2">
      <c r="A1114" s="13"/>
      <c r="B1114" s="21"/>
      <c r="C1114" s="21"/>
    </row>
    <row r="1115" spans="1:3" x14ac:dyDescent="0.2">
      <c r="A1115" s="13"/>
      <c r="B1115" s="21"/>
      <c r="C1115" s="21"/>
    </row>
    <row r="1116" spans="1:3" x14ac:dyDescent="0.2">
      <c r="A1116" s="13"/>
      <c r="B1116" s="21"/>
      <c r="C1116" s="21"/>
    </row>
    <row r="1117" spans="1:3" x14ac:dyDescent="0.2">
      <c r="A1117" s="13"/>
      <c r="B1117" s="21"/>
      <c r="C1117" s="21"/>
    </row>
    <row r="1118" spans="1:3" x14ac:dyDescent="0.2">
      <c r="A1118" s="13"/>
      <c r="B1118" s="21"/>
      <c r="C1118" s="21"/>
    </row>
    <row r="1119" spans="1:3" x14ac:dyDescent="0.2">
      <c r="A1119" s="13"/>
      <c r="B1119" s="21"/>
      <c r="C1119" s="21"/>
    </row>
    <row r="1120" spans="1:3" x14ac:dyDescent="0.2">
      <c r="A1120" s="13"/>
      <c r="B1120" s="21"/>
      <c r="C1120" s="21"/>
    </row>
    <row r="1121" spans="1:3" x14ac:dyDescent="0.2">
      <c r="A1121" s="13"/>
      <c r="B1121" s="21"/>
      <c r="C1121" s="21"/>
    </row>
    <row r="1122" spans="1:3" x14ac:dyDescent="0.2">
      <c r="A1122" s="13"/>
      <c r="B1122" s="21"/>
      <c r="C1122" s="21"/>
    </row>
    <row r="1123" spans="1:3" x14ac:dyDescent="0.2">
      <c r="A1123" s="13"/>
      <c r="B1123" s="21"/>
      <c r="C1123" s="21"/>
    </row>
    <row r="1124" spans="1:3" x14ac:dyDescent="0.2">
      <c r="A1124" s="13"/>
      <c r="B1124" s="21"/>
      <c r="C1124" s="21"/>
    </row>
    <row r="1125" spans="1:3" x14ac:dyDescent="0.2">
      <c r="A1125" s="13"/>
      <c r="B1125" s="21"/>
      <c r="C1125" s="21"/>
    </row>
    <row r="1126" spans="1:3" x14ac:dyDescent="0.2">
      <c r="A1126" s="13"/>
      <c r="B1126" s="21"/>
      <c r="C1126" s="21"/>
    </row>
    <row r="1127" spans="1:3" x14ac:dyDescent="0.2">
      <c r="A1127" s="13"/>
      <c r="B1127" s="21"/>
      <c r="C1127" s="21"/>
    </row>
    <row r="1128" spans="1:3" x14ac:dyDescent="0.2">
      <c r="A1128" s="13"/>
      <c r="B1128" s="21"/>
      <c r="C1128" s="21"/>
    </row>
    <row r="1129" spans="1:3" x14ac:dyDescent="0.2">
      <c r="A1129" s="13"/>
      <c r="B1129" s="21"/>
      <c r="C1129" s="21"/>
    </row>
    <row r="1130" spans="1:3" x14ac:dyDescent="0.2">
      <c r="A1130" s="13"/>
      <c r="B1130" s="21"/>
      <c r="C1130" s="21"/>
    </row>
    <row r="1131" spans="1:3" x14ac:dyDescent="0.2">
      <c r="A1131" s="13"/>
      <c r="B1131" s="21"/>
      <c r="C1131" s="21"/>
    </row>
    <row r="1132" spans="1:3" x14ac:dyDescent="0.2">
      <c r="A1132" s="13"/>
      <c r="B1132" s="21"/>
      <c r="C1132" s="21"/>
    </row>
    <row r="1133" spans="1:3" x14ac:dyDescent="0.2">
      <c r="A1133" s="13"/>
      <c r="B1133" s="21"/>
      <c r="C1133" s="21"/>
    </row>
    <row r="1134" spans="1:3" x14ac:dyDescent="0.2">
      <c r="A1134" s="13"/>
      <c r="B1134" s="21"/>
      <c r="C1134" s="21"/>
    </row>
    <row r="1135" spans="1:3" x14ac:dyDescent="0.2">
      <c r="A1135" s="13"/>
      <c r="B1135" s="21"/>
      <c r="C1135" s="21"/>
    </row>
    <row r="1136" spans="1:3" x14ac:dyDescent="0.2">
      <c r="A1136" s="13"/>
      <c r="B1136" s="21"/>
      <c r="C1136" s="21"/>
    </row>
    <row r="1137" spans="1:3" x14ac:dyDescent="0.2">
      <c r="A1137" s="13"/>
      <c r="B1137" s="21"/>
      <c r="C1137" s="21"/>
    </row>
    <row r="1138" spans="1:3" x14ac:dyDescent="0.2">
      <c r="A1138" s="13"/>
      <c r="B1138" s="21"/>
      <c r="C1138" s="21"/>
    </row>
    <row r="1139" spans="1:3" x14ac:dyDescent="0.2">
      <c r="A1139" s="13"/>
      <c r="B1139" s="21"/>
      <c r="C1139" s="21"/>
    </row>
    <row r="1140" spans="1:3" x14ac:dyDescent="0.2">
      <c r="A1140" s="13"/>
      <c r="B1140" s="21"/>
      <c r="C1140" s="21"/>
    </row>
    <row r="1141" spans="1:3" x14ac:dyDescent="0.2">
      <c r="A1141" s="13"/>
      <c r="B1141" s="21"/>
      <c r="C1141" s="21"/>
    </row>
    <row r="1142" spans="1:3" x14ac:dyDescent="0.2">
      <c r="A1142" s="13"/>
      <c r="B1142" s="21"/>
      <c r="C1142" s="21"/>
    </row>
    <row r="1143" spans="1:3" x14ac:dyDescent="0.2">
      <c r="A1143" s="13"/>
      <c r="B1143" s="21"/>
      <c r="C1143" s="21"/>
    </row>
    <row r="1144" spans="1:3" x14ac:dyDescent="0.2">
      <c r="A1144" s="13"/>
      <c r="B1144" s="21"/>
      <c r="C1144" s="21"/>
    </row>
    <row r="1145" spans="1:3" x14ac:dyDescent="0.2">
      <c r="A1145" s="13"/>
      <c r="B1145" s="21"/>
      <c r="C1145" s="21"/>
    </row>
    <row r="1146" spans="1:3" x14ac:dyDescent="0.2">
      <c r="A1146" s="13"/>
      <c r="B1146" s="21"/>
      <c r="C1146" s="21"/>
    </row>
    <row r="1147" spans="1:3" x14ac:dyDescent="0.2">
      <c r="A1147" s="13"/>
      <c r="B1147" s="21"/>
      <c r="C1147" s="21"/>
    </row>
    <row r="1148" spans="1:3" x14ac:dyDescent="0.2">
      <c r="A1148" s="13"/>
      <c r="B1148" s="21"/>
      <c r="C1148" s="21"/>
    </row>
    <row r="1149" spans="1:3" x14ac:dyDescent="0.2">
      <c r="A1149" s="13"/>
      <c r="B1149" s="21"/>
      <c r="C1149" s="21"/>
    </row>
    <row r="1150" spans="1:3" x14ac:dyDescent="0.2">
      <c r="A1150" s="13"/>
      <c r="B1150" s="21"/>
      <c r="C1150" s="21"/>
    </row>
    <row r="1151" spans="1:3" x14ac:dyDescent="0.2">
      <c r="A1151" s="13"/>
      <c r="B1151" s="21"/>
      <c r="C1151" s="21"/>
    </row>
    <row r="1152" spans="1:3" x14ac:dyDescent="0.2">
      <c r="A1152" s="13"/>
      <c r="B1152" s="21"/>
      <c r="C1152" s="21"/>
    </row>
    <row r="1153" spans="1:3" x14ac:dyDescent="0.2">
      <c r="A1153" s="13"/>
      <c r="B1153" s="21"/>
      <c r="C1153" s="21"/>
    </row>
    <row r="1154" spans="1:3" x14ac:dyDescent="0.2">
      <c r="A1154" s="13"/>
      <c r="B1154" s="21"/>
      <c r="C1154" s="21"/>
    </row>
    <row r="1155" spans="1:3" x14ac:dyDescent="0.2">
      <c r="A1155" s="13"/>
      <c r="B1155" s="21"/>
      <c r="C1155" s="21"/>
    </row>
    <row r="1156" spans="1:3" x14ac:dyDescent="0.2">
      <c r="A1156" s="13"/>
      <c r="B1156" s="21"/>
      <c r="C1156" s="21"/>
    </row>
    <row r="1157" spans="1:3" x14ac:dyDescent="0.2">
      <c r="A1157" s="13"/>
      <c r="B1157" s="21"/>
      <c r="C1157" s="21"/>
    </row>
    <row r="1158" spans="1:3" x14ac:dyDescent="0.2">
      <c r="A1158" s="13"/>
      <c r="B1158" s="21"/>
      <c r="C1158" s="21"/>
    </row>
    <row r="1159" spans="1:3" x14ac:dyDescent="0.2">
      <c r="A1159" s="13"/>
      <c r="B1159" s="21"/>
      <c r="C1159" s="21"/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867"/>
  <sheetViews>
    <sheetView workbookViewId="0">
      <selection activeCell="J34" sqref="J34"/>
    </sheetView>
  </sheetViews>
  <sheetFormatPr baseColWidth="10" defaultColWidth="8.83203125" defaultRowHeight="15" x14ac:dyDescent="0.2"/>
  <cols>
    <col min="1" max="1" width="12" style="4" bestFit="1" customWidth="1"/>
    <col min="2" max="2" width="18.1640625" bestFit="1" customWidth="1"/>
    <col min="3" max="3" width="20.33203125" bestFit="1" customWidth="1"/>
  </cols>
  <sheetData>
    <row r="1" spans="1:17" x14ac:dyDescent="0.2">
      <c r="A1" s="12" t="s">
        <v>6</v>
      </c>
      <c r="B1" s="2" t="s">
        <v>12</v>
      </c>
      <c r="C1" s="2" t="s">
        <v>8</v>
      </c>
    </row>
    <row r="2" spans="1:17" x14ac:dyDescent="0.2">
      <c r="A2" s="4">
        <v>2931</v>
      </c>
      <c r="B2">
        <v>1190</v>
      </c>
      <c r="C2">
        <v>19</v>
      </c>
    </row>
    <row r="3" spans="1:17" x14ac:dyDescent="0.2">
      <c r="A3" s="4">
        <v>3225</v>
      </c>
      <c r="B3" s="1">
        <v>5700</v>
      </c>
      <c r="C3">
        <v>19</v>
      </c>
    </row>
    <row r="4" spans="1:17" x14ac:dyDescent="0.2">
      <c r="A4" s="4">
        <v>2551</v>
      </c>
      <c r="B4" s="1">
        <v>4200</v>
      </c>
      <c r="C4">
        <v>18</v>
      </c>
    </row>
    <row r="5" spans="1:17" x14ac:dyDescent="0.2">
      <c r="A5" s="4">
        <v>3160</v>
      </c>
      <c r="B5" s="1">
        <v>5280</v>
      </c>
      <c r="C5">
        <v>18</v>
      </c>
    </row>
    <row r="6" spans="1:17" x14ac:dyDescent="0.2">
      <c r="A6" s="4">
        <v>2637</v>
      </c>
      <c r="B6">
        <v>2100</v>
      </c>
      <c r="C6">
        <v>17</v>
      </c>
      <c r="P6" s="2"/>
      <c r="Q6" s="2"/>
    </row>
    <row r="7" spans="1:17" x14ac:dyDescent="0.2">
      <c r="A7" s="4">
        <v>2472</v>
      </c>
      <c r="B7" s="1">
        <v>9000</v>
      </c>
      <c r="C7">
        <v>17</v>
      </c>
    </row>
    <row r="8" spans="1:17" x14ac:dyDescent="0.2">
      <c r="A8" s="4">
        <v>2922</v>
      </c>
      <c r="B8" s="1">
        <v>3000</v>
      </c>
      <c r="C8">
        <v>17</v>
      </c>
      <c r="P8" s="1"/>
    </row>
    <row r="9" spans="1:17" x14ac:dyDescent="0.2">
      <c r="A9" s="4">
        <v>2660</v>
      </c>
      <c r="B9" s="1">
        <v>6000</v>
      </c>
      <c r="C9">
        <v>16</v>
      </c>
      <c r="P9" s="1"/>
    </row>
    <row r="10" spans="1:17" x14ac:dyDescent="0.2">
      <c r="A10" s="4">
        <v>2541</v>
      </c>
      <c r="B10" s="1">
        <v>6500</v>
      </c>
      <c r="C10">
        <v>15</v>
      </c>
      <c r="P10" s="1"/>
    </row>
    <row r="11" spans="1:17" x14ac:dyDescent="0.2">
      <c r="A11" s="4">
        <v>2361</v>
      </c>
      <c r="B11" s="1">
        <v>2000</v>
      </c>
      <c r="C11">
        <v>14</v>
      </c>
    </row>
    <row r="12" spans="1:17" x14ac:dyDescent="0.2">
      <c r="A12" s="4">
        <v>2329</v>
      </c>
      <c r="B12">
        <v>3852</v>
      </c>
      <c r="C12">
        <v>13</v>
      </c>
      <c r="P12" s="1"/>
    </row>
    <row r="13" spans="1:17" x14ac:dyDescent="0.2">
      <c r="A13" s="4">
        <v>2930</v>
      </c>
      <c r="B13">
        <v>790</v>
      </c>
      <c r="C13">
        <v>13</v>
      </c>
      <c r="P13" s="1"/>
    </row>
    <row r="14" spans="1:17" x14ac:dyDescent="0.2">
      <c r="A14" s="4">
        <v>1975</v>
      </c>
      <c r="B14">
        <v>650</v>
      </c>
      <c r="C14">
        <v>13</v>
      </c>
    </row>
    <row r="15" spans="1:17" x14ac:dyDescent="0.2">
      <c r="A15" s="4">
        <v>2523</v>
      </c>
      <c r="B15">
        <v>2775</v>
      </c>
      <c r="C15">
        <v>13</v>
      </c>
    </row>
    <row r="16" spans="1:17" x14ac:dyDescent="0.2">
      <c r="A16" s="4">
        <v>1867</v>
      </c>
      <c r="B16">
        <v>840</v>
      </c>
      <c r="C16">
        <v>13</v>
      </c>
    </row>
    <row r="17" spans="1:3" x14ac:dyDescent="0.2">
      <c r="A17" s="4">
        <v>1999</v>
      </c>
      <c r="B17" s="1">
        <v>3000</v>
      </c>
      <c r="C17">
        <v>13</v>
      </c>
    </row>
    <row r="18" spans="1:3" x14ac:dyDescent="0.2">
      <c r="A18" s="4">
        <v>2794</v>
      </c>
      <c r="B18">
        <v>7550</v>
      </c>
      <c r="C18">
        <v>12</v>
      </c>
    </row>
    <row r="19" spans="1:3" x14ac:dyDescent="0.2">
      <c r="A19" s="4">
        <v>3048</v>
      </c>
      <c r="B19">
        <v>1550</v>
      </c>
      <c r="C19">
        <v>12</v>
      </c>
    </row>
    <row r="20" spans="1:3" x14ac:dyDescent="0.2">
      <c r="A20" s="4">
        <v>3114</v>
      </c>
      <c r="B20" s="1">
        <v>6000</v>
      </c>
      <c r="C20">
        <v>12</v>
      </c>
    </row>
    <row r="21" spans="1:3" x14ac:dyDescent="0.2">
      <c r="A21" s="4">
        <v>2202</v>
      </c>
      <c r="B21">
        <v>180</v>
      </c>
      <c r="C21">
        <v>11</v>
      </c>
    </row>
    <row r="22" spans="1:3" x14ac:dyDescent="0.2">
      <c r="A22" s="4">
        <v>3272</v>
      </c>
      <c r="B22">
        <v>600</v>
      </c>
      <c r="C22">
        <v>11</v>
      </c>
    </row>
    <row r="23" spans="1:3" x14ac:dyDescent="0.2">
      <c r="A23" s="4">
        <v>2363</v>
      </c>
      <c r="B23" s="1">
        <v>1500</v>
      </c>
      <c r="C23">
        <v>11</v>
      </c>
    </row>
    <row r="24" spans="1:3" x14ac:dyDescent="0.2">
      <c r="A24" s="4">
        <v>2778</v>
      </c>
      <c r="B24" s="1">
        <v>4500</v>
      </c>
      <c r="C24">
        <v>11</v>
      </c>
    </row>
    <row r="25" spans="1:3" x14ac:dyDescent="0.2">
      <c r="A25" s="4">
        <v>2479</v>
      </c>
      <c r="B25" s="1">
        <v>2000</v>
      </c>
      <c r="C25">
        <v>11</v>
      </c>
    </row>
    <row r="26" spans="1:3" x14ac:dyDescent="0.2">
      <c r="A26" s="4">
        <v>2407</v>
      </c>
      <c r="B26" s="1">
        <v>4800</v>
      </c>
      <c r="C26">
        <v>11</v>
      </c>
    </row>
    <row r="27" spans="1:3" x14ac:dyDescent="0.2">
      <c r="A27" s="4">
        <v>3119</v>
      </c>
      <c r="B27" s="1">
        <v>6000</v>
      </c>
      <c r="C27">
        <v>11</v>
      </c>
    </row>
    <row r="28" spans="1:3" x14ac:dyDescent="0.2">
      <c r="A28" s="4">
        <v>3237</v>
      </c>
      <c r="B28" s="1">
        <v>10300</v>
      </c>
      <c r="C28">
        <v>11</v>
      </c>
    </row>
    <row r="29" spans="1:3" x14ac:dyDescent="0.2">
      <c r="A29" s="4">
        <v>2654</v>
      </c>
      <c r="B29" s="1">
        <v>12500</v>
      </c>
      <c r="C29">
        <v>11</v>
      </c>
    </row>
    <row r="30" spans="1:3" x14ac:dyDescent="0.2">
      <c r="A30" s="4">
        <v>2433</v>
      </c>
      <c r="B30">
        <v>820</v>
      </c>
      <c r="C30">
        <v>10</v>
      </c>
    </row>
    <row r="31" spans="1:3" x14ac:dyDescent="0.2">
      <c r="A31" s="4">
        <v>2328</v>
      </c>
      <c r="B31">
        <v>1850</v>
      </c>
      <c r="C31">
        <v>10</v>
      </c>
    </row>
    <row r="32" spans="1:3" x14ac:dyDescent="0.2">
      <c r="A32" s="4">
        <v>2351</v>
      </c>
      <c r="B32">
        <v>100</v>
      </c>
      <c r="C32">
        <v>10</v>
      </c>
    </row>
    <row r="33" spans="1:3" x14ac:dyDescent="0.2">
      <c r="A33" s="4">
        <v>2978</v>
      </c>
      <c r="B33">
        <v>1900</v>
      </c>
      <c r="C33">
        <v>10</v>
      </c>
    </row>
    <row r="34" spans="1:3" x14ac:dyDescent="0.2">
      <c r="A34" s="4">
        <v>2827</v>
      </c>
      <c r="B34">
        <v>3840</v>
      </c>
      <c r="C34">
        <v>10</v>
      </c>
    </row>
    <row r="35" spans="1:3" x14ac:dyDescent="0.2">
      <c r="A35" s="4">
        <v>5664</v>
      </c>
      <c r="B35">
        <v>2150</v>
      </c>
      <c r="C35">
        <v>10</v>
      </c>
    </row>
    <row r="36" spans="1:3" x14ac:dyDescent="0.2">
      <c r="A36" s="4">
        <v>2384</v>
      </c>
      <c r="B36" s="1">
        <v>1000</v>
      </c>
      <c r="C36">
        <v>10</v>
      </c>
    </row>
    <row r="37" spans="1:3" x14ac:dyDescent="0.2">
      <c r="A37" s="4">
        <v>6222</v>
      </c>
      <c r="B37" s="1">
        <v>6000</v>
      </c>
      <c r="C37">
        <v>10</v>
      </c>
    </row>
    <row r="38" spans="1:3" x14ac:dyDescent="0.2">
      <c r="A38" s="4">
        <v>2518</v>
      </c>
      <c r="B38" s="1">
        <v>2700</v>
      </c>
      <c r="C38">
        <v>10</v>
      </c>
    </row>
    <row r="39" spans="1:3" x14ac:dyDescent="0.2">
      <c r="A39" s="4">
        <v>2767</v>
      </c>
      <c r="B39" s="1">
        <v>1500</v>
      </c>
      <c r="C39">
        <v>10</v>
      </c>
    </row>
    <row r="40" spans="1:3" x14ac:dyDescent="0.2">
      <c r="A40" s="4">
        <v>2619</v>
      </c>
      <c r="B40" s="1">
        <v>2700</v>
      </c>
      <c r="C40">
        <v>10</v>
      </c>
    </row>
    <row r="41" spans="1:3" x14ac:dyDescent="0.2">
      <c r="A41" s="4">
        <v>2539</v>
      </c>
      <c r="B41" s="1">
        <v>6000</v>
      </c>
      <c r="C41">
        <v>10</v>
      </c>
    </row>
    <row r="42" spans="1:3" x14ac:dyDescent="0.2">
      <c r="A42" s="4">
        <v>3010</v>
      </c>
      <c r="B42" s="1">
        <v>6000</v>
      </c>
      <c r="C42">
        <v>10</v>
      </c>
    </row>
    <row r="43" spans="1:3" x14ac:dyDescent="0.2">
      <c r="A43" s="4">
        <v>2645</v>
      </c>
      <c r="B43" s="1">
        <v>49500</v>
      </c>
      <c r="C43">
        <v>10</v>
      </c>
    </row>
    <row r="44" spans="1:3" x14ac:dyDescent="0.2">
      <c r="A44" s="4">
        <v>2659</v>
      </c>
      <c r="B44" s="1">
        <v>21000</v>
      </c>
      <c r="C44">
        <v>10</v>
      </c>
    </row>
    <row r="45" spans="1:3" x14ac:dyDescent="0.2">
      <c r="A45" s="4">
        <v>2354</v>
      </c>
      <c r="B45">
        <v>800</v>
      </c>
      <c r="C45">
        <v>9</v>
      </c>
    </row>
    <row r="46" spans="1:3" x14ac:dyDescent="0.2">
      <c r="A46" s="4">
        <v>2327</v>
      </c>
      <c r="B46">
        <v>5350</v>
      </c>
      <c r="C46">
        <v>9</v>
      </c>
    </row>
    <row r="47" spans="1:3" x14ac:dyDescent="0.2">
      <c r="A47" s="4">
        <v>2410</v>
      </c>
      <c r="B47">
        <v>4080</v>
      </c>
      <c r="C47">
        <v>9</v>
      </c>
    </row>
    <row r="48" spans="1:3" x14ac:dyDescent="0.2">
      <c r="A48" s="4">
        <v>3236</v>
      </c>
      <c r="B48">
        <v>405</v>
      </c>
      <c r="C48">
        <v>9</v>
      </c>
    </row>
    <row r="49" spans="1:3" x14ac:dyDescent="0.2">
      <c r="A49" s="4">
        <v>1966</v>
      </c>
      <c r="B49">
        <v>450</v>
      </c>
      <c r="C49">
        <v>9</v>
      </c>
    </row>
    <row r="50" spans="1:3" x14ac:dyDescent="0.2">
      <c r="A50" s="4">
        <v>2394</v>
      </c>
      <c r="B50">
        <v>1400</v>
      </c>
      <c r="C50">
        <v>9</v>
      </c>
    </row>
    <row r="51" spans="1:3" x14ac:dyDescent="0.2">
      <c r="A51" s="4">
        <v>569</v>
      </c>
      <c r="B51">
        <v>685</v>
      </c>
      <c r="C51">
        <v>9</v>
      </c>
    </row>
    <row r="52" spans="1:3" x14ac:dyDescent="0.2">
      <c r="A52" s="4">
        <v>2038</v>
      </c>
      <c r="B52">
        <v>2300</v>
      </c>
      <c r="C52">
        <v>9</v>
      </c>
    </row>
    <row r="53" spans="1:3" x14ac:dyDescent="0.2">
      <c r="A53" s="4">
        <v>3264</v>
      </c>
      <c r="B53">
        <v>1400</v>
      </c>
      <c r="C53">
        <v>9</v>
      </c>
    </row>
    <row r="54" spans="1:3" x14ac:dyDescent="0.2">
      <c r="A54" s="4">
        <v>2768</v>
      </c>
      <c r="B54" s="1">
        <v>4000</v>
      </c>
      <c r="C54">
        <v>9</v>
      </c>
    </row>
    <row r="55" spans="1:3" x14ac:dyDescent="0.2">
      <c r="A55" s="4">
        <v>1585</v>
      </c>
      <c r="B55" s="1">
        <v>5600</v>
      </c>
      <c r="C55">
        <v>9</v>
      </c>
    </row>
    <row r="56" spans="1:3" x14ac:dyDescent="0.2">
      <c r="A56" s="4">
        <v>2516</v>
      </c>
      <c r="B56" s="1">
        <v>4250</v>
      </c>
      <c r="C56">
        <v>9</v>
      </c>
    </row>
    <row r="57" spans="1:3" x14ac:dyDescent="0.2">
      <c r="A57" s="4">
        <v>2658</v>
      </c>
      <c r="B57" s="1">
        <v>4500</v>
      </c>
      <c r="C57">
        <v>9</v>
      </c>
    </row>
    <row r="58" spans="1:3" x14ac:dyDescent="0.2">
      <c r="A58" s="4">
        <v>2928</v>
      </c>
      <c r="B58" s="1">
        <v>2900</v>
      </c>
      <c r="C58">
        <v>9</v>
      </c>
    </row>
    <row r="59" spans="1:3" x14ac:dyDescent="0.2">
      <c r="A59" s="4">
        <v>2538</v>
      </c>
      <c r="B59" s="1">
        <v>5500</v>
      </c>
      <c r="C59">
        <v>9</v>
      </c>
    </row>
    <row r="60" spans="1:3" x14ac:dyDescent="0.2">
      <c r="A60" s="4">
        <v>3223</v>
      </c>
      <c r="B60" s="1">
        <v>3500</v>
      </c>
      <c r="C60">
        <v>9</v>
      </c>
    </row>
    <row r="61" spans="1:3" x14ac:dyDescent="0.2">
      <c r="A61" s="4">
        <v>2532</v>
      </c>
      <c r="B61" s="1">
        <v>6000</v>
      </c>
      <c r="C61">
        <v>9</v>
      </c>
    </row>
    <row r="62" spans="1:3" x14ac:dyDescent="0.2">
      <c r="A62" s="4">
        <v>3089</v>
      </c>
      <c r="B62" s="1">
        <v>3000</v>
      </c>
      <c r="C62">
        <v>9</v>
      </c>
    </row>
    <row r="63" spans="1:3" x14ac:dyDescent="0.2">
      <c r="A63" s="4">
        <v>2547</v>
      </c>
      <c r="B63" s="1">
        <v>3600</v>
      </c>
      <c r="C63">
        <v>9</v>
      </c>
    </row>
    <row r="64" spans="1:3" x14ac:dyDescent="0.2">
      <c r="A64" s="4">
        <v>2326</v>
      </c>
      <c r="B64">
        <v>300</v>
      </c>
      <c r="C64">
        <v>8</v>
      </c>
    </row>
    <row r="65" spans="1:3" x14ac:dyDescent="0.2">
      <c r="A65" s="4">
        <v>2716</v>
      </c>
      <c r="B65">
        <v>360</v>
      </c>
      <c r="C65">
        <v>8</v>
      </c>
    </row>
    <row r="66" spans="1:3" x14ac:dyDescent="0.2">
      <c r="A66" s="4">
        <v>2357</v>
      </c>
      <c r="B66">
        <v>200</v>
      </c>
      <c r="C66">
        <v>8</v>
      </c>
    </row>
    <row r="67" spans="1:3" x14ac:dyDescent="0.2">
      <c r="A67" s="4">
        <v>2641</v>
      </c>
      <c r="B67">
        <v>8935</v>
      </c>
      <c r="C67">
        <v>8</v>
      </c>
    </row>
    <row r="68" spans="1:3" x14ac:dyDescent="0.2">
      <c r="A68" s="4">
        <v>2122</v>
      </c>
      <c r="B68">
        <v>280</v>
      </c>
      <c r="C68">
        <v>8</v>
      </c>
    </row>
    <row r="69" spans="1:3" x14ac:dyDescent="0.2">
      <c r="A69" s="4">
        <v>1638</v>
      </c>
      <c r="B69">
        <v>950</v>
      </c>
      <c r="C69">
        <v>8</v>
      </c>
    </row>
    <row r="70" spans="1:3" x14ac:dyDescent="0.2">
      <c r="A70" s="4">
        <v>5044</v>
      </c>
      <c r="B70">
        <v>5600</v>
      </c>
      <c r="C70">
        <v>8</v>
      </c>
    </row>
    <row r="71" spans="1:3" x14ac:dyDescent="0.2">
      <c r="A71" s="4">
        <v>529</v>
      </c>
      <c r="B71">
        <v>1700</v>
      </c>
      <c r="C71">
        <v>8</v>
      </c>
    </row>
    <row r="72" spans="1:3" x14ac:dyDescent="0.2">
      <c r="A72" s="4">
        <v>2300</v>
      </c>
      <c r="B72">
        <v>5700</v>
      </c>
      <c r="C72">
        <v>8</v>
      </c>
    </row>
    <row r="73" spans="1:3" x14ac:dyDescent="0.2">
      <c r="A73" s="4">
        <v>2323</v>
      </c>
      <c r="B73">
        <v>600</v>
      </c>
      <c r="C73">
        <v>8</v>
      </c>
    </row>
    <row r="74" spans="1:3" x14ac:dyDescent="0.2">
      <c r="A74" s="4">
        <v>3079</v>
      </c>
      <c r="B74">
        <v>1400</v>
      </c>
      <c r="C74">
        <v>8</v>
      </c>
    </row>
    <row r="75" spans="1:3" x14ac:dyDescent="0.2">
      <c r="A75" s="4">
        <v>2727</v>
      </c>
      <c r="B75">
        <v>700</v>
      </c>
      <c r="C75">
        <v>8</v>
      </c>
    </row>
    <row r="76" spans="1:3" x14ac:dyDescent="0.2">
      <c r="A76" s="4">
        <v>2301</v>
      </c>
      <c r="B76">
        <v>1750</v>
      </c>
      <c r="C76">
        <v>8</v>
      </c>
    </row>
    <row r="77" spans="1:3" x14ac:dyDescent="0.2">
      <c r="A77" s="4">
        <v>2986</v>
      </c>
      <c r="B77">
        <v>1850</v>
      </c>
      <c r="C77">
        <v>8</v>
      </c>
    </row>
    <row r="78" spans="1:3" x14ac:dyDescent="0.2">
      <c r="A78" s="4">
        <v>2468</v>
      </c>
      <c r="B78" s="1">
        <v>6700</v>
      </c>
      <c r="C78">
        <v>8</v>
      </c>
    </row>
    <row r="79" spans="1:3" x14ac:dyDescent="0.2">
      <c r="A79" s="4">
        <v>2577</v>
      </c>
      <c r="B79" s="1">
        <v>1200</v>
      </c>
      <c r="C79">
        <v>8</v>
      </c>
    </row>
    <row r="80" spans="1:3" x14ac:dyDescent="0.2">
      <c r="A80" s="4">
        <v>3013</v>
      </c>
      <c r="B80" s="1">
        <v>4700</v>
      </c>
      <c r="C80">
        <v>8</v>
      </c>
    </row>
    <row r="81" spans="1:3" x14ac:dyDescent="0.2">
      <c r="A81" s="4">
        <v>1818</v>
      </c>
      <c r="B81" s="1">
        <v>2100</v>
      </c>
      <c r="C81">
        <v>8</v>
      </c>
    </row>
    <row r="82" spans="1:3" x14ac:dyDescent="0.2">
      <c r="A82" s="4">
        <v>3227</v>
      </c>
      <c r="B82" s="1">
        <v>1620</v>
      </c>
      <c r="C82">
        <v>8</v>
      </c>
    </row>
    <row r="83" spans="1:3" x14ac:dyDescent="0.2">
      <c r="A83" s="4">
        <v>2448</v>
      </c>
      <c r="B83" s="1">
        <v>6050</v>
      </c>
      <c r="C83">
        <v>8</v>
      </c>
    </row>
    <row r="84" spans="1:3" x14ac:dyDescent="0.2">
      <c r="A84" s="4">
        <v>2544</v>
      </c>
      <c r="B84" s="1">
        <v>3000</v>
      </c>
      <c r="C84">
        <v>8</v>
      </c>
    </row>
    <row r="85" spans="1:3" x14ac:dyDescent="0.2">
      <c r="A85" s="4">
        <v>2571</v>
      </c>
      <c r="B85" s="1">
        <v>4500</v>
      </c>
      <c r="C85">
        <v>8</v>
      </c>
    </row>
    <row r="86" spans="1:3" x14ac:dyDescent="0.2">
      <c r="A86" s="4">
        <v>2391</v>
      </c>
      <c r="B86" s="1">
        <v>4160</v>
      </c>
      <c r="C86">
        <v>8</v>
      </c>
    </row>
    <row r="87" spans="1:3" x14ac:dyDescent="0.2">
      <c r="A87" s="4">
        <v>2542</v>
      </c>
      <c r="B87" s="1">
        <v>4300</v>
      </c>
      <c r="C87">
        <v>8</v>
      </c>
    </row>
    <row r="88" spans="1:3" x14ac:dyDescent="0.2">
      <c r="A88" s="4">
        <v>2994</v>
      </c>
      <c r="B88" s="1">
        <v>7000</v>
      </c>
      <c r="C88">
        <v>8</v>
      </c>
    </row>
    <row r="89" spans="1:3" x14ac:dyDescent="0.2">
      <c r="A89" s="4">
        <v>3001</v>
      </c>
      <c r="B89" s="1">
        <v>5500</v>
      </c>
      <c r="C89">
        <v>8</v>
      </c>
    </row>
    <row r="90" spans="1:3" x14ac:dyDescent="0.2">
      <c r="A90" s="4">
        <v>1768</v>
      </c>
      <c r="B90" s="1">
        <v>8350</v>
      </c>
      <c r="C90">
        <v>8</v>
      </c>
    </row>
    <row r="91" spans="1:3" x14ac:dyDescent="0.2">
      <c r="A91" s="4">
        <v>6821</v>
      </c>
      <c r="B91" s="1">
        <v>2800</v>
      </c>
      <c r="C91">
        <v>8</v>
      </c>
    </row>
    <row r="92" spans="1:3" x14ac:dyDescent="0.2">
      <c r="A92" s="4">
        <v>1898</v>
      </c>
      <c r="B92" s="1">
        <v>7400</v>
      </c>
      <c r="C92">
        <v>8</v>
      </c>
    </row>
    <row r="93" spans="1:3" x14ac:dyDescent="0.2">
      <c r="A93" s="4">
        <v>2525</v>
      </c>
      <c r="B93" s="1">
        <v>6000</v>
      </c>
      <c r="C93">
        <v>8</v>
      </c>
    </row>
    <row r="94" spans="1:3" x14ac:dyDescent="0.2">
      <c r="A94" s="4">
        <v>3083</v>
      </c>
      <c r="B94" s="1">
        <v>9200</v>
      </c>
      <c r="C94">
        <v>8</v>
      </c>
    </row>
    <row r="95" spans="1:3" x14ac:dyDescent="0.2">
      <c r="A95" s="4">
        <v>2522</v>
      </c>
      <c r="B95" s="1">
        <v>6200</v>
      </c>
      <c r="C95">
        <v>8</v>
      </c>
    </row>
    <row r="96" spans="1:3" x14ac:dyDescent="0.2">
      <c r="A96" s="4">
        <v>2537</v>
      </c>
      <c r="B96" s="1">
        <v>3600</v>
      </c>
      <c r="C96">
        <v>8</v>
      </c>
    </row>
    <row r="97" spans="1:3" x14ac:dyDescent="0.2">
      <c r="A97" s="4">
        <v>1942</v>
      </c>
      <c r="B97" s="1">
        <v>11840</v>
      </c>
      <c r="C97">
        <v>8</v>
      </c>
    </row>
    <row r="98" spans="1:3" x14ac:dyDescent="0.2">
      <c r="A98" s="4">
        <v>2524</v>
      </c>
      <c r="B98" s="1">
        <v>8600</v>
      </c>
      <c r="C98">
        <v>8</v>
      </c>
    </row>
    <row r="99" spans="1:3" x14ac:dyDescent="0.2">
      <c r="A99" s="4">
        <v>2761</v>
      </c>
      <c r="B99" s="1">
        <v>11260</v>
      </c>
      <c r="C99">
        <v>8</v>
      </c>
    </row>
    <row r="100" spans="1:3" x14ac:dyDescent="0.2">
      <c r="A100" s="4">
        <v>2601</v>
      </c>
      <c r="B100">
        <v>100</v>
      </c>
      <c r="C100">
        <v>7</v>
      </c>
    </row>
    <row r="101" spans="1:3" x14ac:dyDescent="0.2">
      <c r="A101" s="4">
        <v>2332</v>
      </c>
      <c r="B101">
        <v>600</v>
      </c>
      <c r="C101">
        <v>7</v>
      </c>
    </row>
    <row r="102" spans="1:3" x14ac:dyDescent="0.2">
      <c r="A102" s="4">
        <v>2340</v>
      </c>
      <c r="B102">
        <v>450</v>
      </c>
      <c r="C102">
        <v>7</v>
      </c>
    </row>
    <row r="103" spans="1:3" x14ac:dyDescent="0.2">
      <c r="A103" s="4">
        <v>2435</v>
      </c>
      <c r="B103">
        <v>600</v>
      </c>
      <c r="C103">
        <v>7</v>
      </c>
    </row>
    <row r="104" spans="1:3" x14ac:dyDescent="0.2">
      <c r="A104" s="4">
        <v>1406</v>
      </c>
      <c r="B104">
        <v>2300</v>
      </c>
      <c r="C104">
        <v>7</v>
      </c>
    </row>
    <row r="105" spans="1:3" x14ac:dyDescent="0.2">
      <c r="A105" s="4">
        <v>2149</v>
      </c>
      <c r="B105">
        <v>350</v>
      </c>
      <c r="C105">
        <v>7</v>
      </c>
    </row>
    <row r="106" spans="1:3" x14ac:dyDescent="0.2">
      <c r="A106" s="4">
        <v>2688</v>
      </c>
      <c r="B106">
        <v>1090</v>
      </c>
      <c r="C106">
        <v>7</v>
      </c>
    </row>
    <row r="107" spans="1:3" x14ac:dyDescent="0.2">
      <c r="A107" s="4">
        <v>1974</v>
      </c>
      <c r="B107">
        <v>1100</v>
      </c>
      <c r="C107">
        <v>7</v>
      </c>
    </row>
    <row r="108" spans="1:3" x14ac:dyDescent="0.2">
      <c r="A108" s="4">
        <v>1877</v>
      </c>
      <c r="B108">
        <v>1400</v>
      </c>
      <c r="C108">
        <v>7</v>
      </c>
    </row>
    <row r="109" spans="1:3" x14ac:dyDescent="0.2">
      <c r="A109" s="4">
        <v>6461</v>
      </c>
      <c r="B109">
        <v>11200</v>
      </c>
      <c r="C109">
        <v>7</v>
      </c>
    </row>
    <row r="110" spans="1:3" x14ac:dyDescent="0.2">
      <c r="A110" s="4">
        <v>1815</v>
      </c>
      <c r="B110">
        <v>500</v>
      </c>
      <c r="C110">
        <v>7</v>
      </c>
    </row>
    <row r="111" spans="1:3" x14ac:dyDescent="0.2">
      <c r="A111" s="4">
        <v>3296</v>
      </c>
      <c r="B111">
        <v>2500</v>
      </c>
      <c r="C111">
        <v>7</v>
      </c>
    </row>
    <row r="112" spans="1:3" x14ac:dyDescent="0.2">
      <c r="A112" s="4">
        <v>2770</v>
      </c>
      <c r="B112">
        <v>2450</v>
      </c>
      <c r="C112">
        <v>7</v>
      </c>
    </row>
    <row r="113" spans="1:3" x14ac:dyDescent="0.2">
      <c r="A113" s="4">
        <v>2334</v>
      </c>
      <c r="B113">
        <v>600</v>
      </c>
      <c r="C113">
        <v>7</v>
      </c>
    </row>
    <row r="114" spans="1:3" x14ac:dyDescent="0.2">
      <c r="A114" s="4">
        <v>3279</v>
      </c>
      <c r="B114">
        <v>1200</v>
      </c>
      <c r="C114">
        <v>7</v>
      </c>
    </row>
    <row r="115" spans="1:3" x14ac:dyDescent="0.2">
      <c r="A115" s="4">
        <v>6201</v>
      </c>
      <c r="B115">
        <v>4305</v>
      </c>
      <c r="C115">
        <v>7</v>
      </c>
    </row>
    <row r="116" spans="1:3" x14ac:dyDescent="0.2">
      <c r="A116" s="4">
        <v>1781</v>
      </c>
      <c r="B116">
        <v>700</v>
      </c>
      <c r="C116">
        <v>7</v>
      </c>
    </row>
    <row r="117" spans="1:3" x14ac:dyDescent="0.2">
      <c r="A117" s="4">
        <v>6344</v>
      </c>
      <c r="B117">
        <v>4700</v>
      </c>
      <c r="C117">
        <v>7</v>
      </c>
    </row>
    <row r="118" spans="1:3" x14ac:dyDescent="0.2">
      <c r="A118" s="4">
        <v>1418</v>
      </c>
      <c r="B118">
        <v>700</v>
      </c>
      <c r="C118">
        <v>7</v>
      </c>
    </row>
    <row r="119" spans="1:3" x14ac:dyDescent="0.2">
      <c r="A119" s="4">
        <v>1704</v>
      </c>
      <c r="B119">
        <v>1500</v>
      </c>
      <c r="C119">
        <v>7</v>
      </c>
    </row>
    <row r="120" spans="1:3" x14ac:dyDescent="0.2">
      <c r="A120" s="4">
        <v>1991</v>
      </c>
      <c r="B120">
        <v>2400</v>
      </c>
      <c r="C120">
        <v>7</v>
      </c>
    </row>
    <row r="121" spans="1:3" x14ac:dyDescent="0.2">
      <c r="A121" s="4">
        <v>2596</v>
      </c>
      <c r="B121">
        <v>1500</v>
      </c>
      <c r="C121">
        <v>7</v>
      </c>
    </row>
    <row r="122" spans="1:3" x14ac:dyDescent="0.2">
      <c r="A122" s="4">
        <v>3228</v>
      </c>
      <c r="B122">
        <v>750</v>
      </c>
      <c r="C122">
        <v>7</v>
      </c>
    </row>
    <row r="123" spans="1:3" x14ac:dyDescent="0.2">
      <c r="A123" s="4">
        <v>2219</v>
      </c>
      <c r="B123">
        <v>1500</v>
      </c>
      <c r="C123">
        <v>7</v>
      </c>
    </row>
    <row r="124" spans="1:3" x14ac:dyDescent="0.2">
      <c r="A124" s="4">
        <v>759</v>
      </c>
      <c r="B124" s="1">
        <v>1000</v>
      </c>
      <c r="C124">
        <v>7</v>
      </c>
    </row>
    <row r="125" spans="1:3" x14ac:dyDescent="0.2">
      <c r="A125" s="4">
        <v>1783</v>
      </c>
      <c r="B125" s="1">
        <v>2550</v>
      </c>
      <c r="C125">
        <v>7</v>
      </c>
    </row>
    <row r="126" spans="1:3" x14ac:dyDescent="0.2">
      <c r="A126" s="4">
        <v>5032</v>
      </c>
      <c r="B126" s="1">
        <v>1400</v>
      </c>
      <c r="C126">
        <v>7</v>
      </c>
    </row>
    <row r="127" spans="1:3" x14ac:dyDescent="0.2">
      <c r="A127" s="4">
        <v>2314</v>
      </c>
      <c r="B127" s="1">
        <v>3500</v>
      </c>
      <c r="C127">
        <v>7</v>
      </c>
    </row>
    <row r="128" spans="1:3" x14ac:dyDescent="0.2">
      <c r="A128" s="4">
        <v>2392</v>
      </c>
      <c r="B128" s="1">
        <v>2000</v>
      </c>
      <c r="C128">
        <v>7</v>
      </c>
    </row>
    <row r="129" spans="1:3" x14ac:dyDescent="0.2">
      <c r="A129" s="4">
        <v>2521</v>
      </c>
      <c r="B129" s="1">
        <v>2850</v>
      </c>
      <c r="C129">
        <v>7</v>
      </c>
    </row>
    <row r="130" spans="1:3" x14ac:dyDescent="0.2">
      <c r="A130" s="4">
        <v>2863</v>
      </c>
      <c r="B130" s="1">
        <v>3000</v>
      </c>
      <c r="C130">
        <v>7</v>
      </c>
    </row>
    <row r="131" spans="1:3" x14ac:dyDescent="0.2">
      <c r="A131" s="4">
        <v>3161</v>
      </c>
      <c r="B131" s="1">
        <v>3655</v>
      </c>
      <c r="C131">
        <v>7</v>
      </c>
    </row>
    <row r="132" spans="1:3" x14ac:dyDescent="0.2">
      <c r="A132" s="4">
        <v>2987</v>
      </c>
      <c r="B132" s="1">
        <v>9000</v>
      </c>
      <c r="C132">
        <v>7</v>
      </c>
    </row>
    <row r="133" spans="1:3" x14ac:dyDescent="0.2">
      <c r="A133" s="4">
        <v>2804</v>
      </c>
      <c r="B133" s="1">
        <v>3800</v>
      </c>
      <c r="C133">
        <v>7</v>
      </c>
    </row>
    <row r="134" spans="1:3" x14ac:dyDescent="0.2">
      <c r="A134" s="4">
        <v>6741</v>
      </c>
      <c r="B134" s="1">
        <v>2600</v>
      </c>
      <c r="C134">
        <v>7</v>
      </c>
    </row>
    <row r="135" spans="1:3" x14ac:dyDescent="0.2">
      <c r="A135" s="4">
        <v>2233</v>
      </c>
      <c r="B135" s="1">
        <v>2800</v>
      </c>
      <c r="C135">
        <v>7</v>
      </c>
    </row>
    <row r="136" spans="1:3" x14ac:dyDescent="0.2">
      <c r="A136" s="4">
        <v>2533</v>
      </c>
      <c r="B136" s="1">
        <v>2000</v>
      </c>
      <c r="C136">
        <v>7</v>
      </c>
    </row>
    <row r="137" spans="1:3" x14ac:dyDescent="0.2">
      <c r="A137" s="4">
        <v>3259</v>
      </c>
      <c r="B137" s="1">
        <v>2000</v>
      </c>
      <c r="C137">
        <v>7</v>
      </c>
    </row>
    <row r="138" spans="1:3" x14ac:dyDescent="0.2">
      <c r="A138" s="4">
        <v>2426</v>
      </c>
      <c r="B138" s="1">
        <v>4700</v>
      </c>
      <c r="C138">
        <v>7</v>
      </c>
    </row>
    <row r="139" spans="1:3" x14ac:dyDescent="0.2">
      <c r="A139" s="4">
        <v>2650</v>
      </c>
      <c r="B139" s="1">
        <v>9000</v>
      </c>
      <c r="C139">
        <v>7</v>
      </c>
    </row>
    <row r="140" spans="1:3" x14ac:dyDescent="0.2">
      <c r="A140" s="4">
        <v>2180</v>
      </c>
      <c r="B140" s="1">
        <v>6300</v>
      </c>
      <c r="C140">
        <v>7</v>
      </c>
    </row>
    <row r="141" spans="1:3" x14ac:dyDescent="0.2">
      <c r="A141" s="4">
        <v>2156</v>
      </c>
      <c r="B141" s="1">
        <v>13200</v>
      </c>
      <c r="C141">
        <v>7</v>
      </c>
    </row>
    <row r="142" spans="1:3" x14ac:dyDescent="0.2">
      <c r="A142" s="4">
        <v>2512</v>
      </c>
      <c r="B142" s="1">
        <v>6500</v>
      </c>
      <c r="C142">
        <v>7</v>
      </c>
    </row>
    <row r="143" spans="1:3" x14ac:dyDescent="0.2">
      <c r="A143" s="4">
        <v>1852</v>
      </c>
      <c r="B143" s="1">
        <v>7000</v>
      </c>
      <c r="C143">
        <v>7</v>
      </c>
    </row>
    <row r="144" spans="1:3" x14ac:dyDescent="0.2">
      <c r="A144" s="4">
        <v>2562</v>
      </c>
      <c r="B144" s="1">
        <v>8500</v>
      </c>
      <c r="C144">
        <v>7</v>
      </c>
    </row>
    <row r="145" spans="1:3" x14ac:dyDescent="0.2">
      <c r="A145" s="4">
        <v>5601</v>
      </c>
      <c r="B145" s="1">
        <v>3600</v>
      </c>
      <c r="C145">
        <v>7</v>
      </c>
    </row>
    <row r="146" spans="1:3" x14ac:dyDescent="0.2">
      <c r="A146" s="4">
        <v>5921</v>
      </c>
      <c r="B146" s="1">
        <v>7200</v>
      </c>
      <c r="C146">
        <v>7</v>
      </c>
    </row>
    <row r="147" spans="1:3" x14ac:dyDescent="0.2">
      <c r="A147" s="4">
        <v>2405</v>
      </c>
      <c r="B147">
        <v>590</v>
      </c>
      <c r="C147">
        <v>6</v>
      </c>
    </row>
    <row r="148" spans="1:3" x14ac:dyDescent="0.2">
      <c r="A148" s="4">
        <v>2640</v>
      </c>
      <c r="B148">
        <v>600</v>
      </c>
      <c r="C148">
        <v>6</v>
      </c>
    </row>
    <row r="149" spans="1:3" x14ac:dyDescent="0.2">
      <c r="A149" s="4">
        <v>3065</v>
      </c>
      <c r="B149">
        <v>2320</v>
      </c>
      <c r="C149">
        <v>6</v>
      </c>
    </row>
    <row r="150" spans="1:3" x14ac:dyDescent="0.2">
      <c r="A150" s="4">
        <v>2337</v>
      </c>
      <c r="B150">
        <v>2800</v>
      </c>
      <c r="C150">
        <v>6</v>
      </c>
    </row>
    <row r="151" spans="1:3" x14ac:dyDescent="0.2">
      <c r="A151" s="4">
        <v>2698</v>
      </c>
      <c r="B151">
        <v>1392</v>
      </c>
      <c r="C151">
        <v>6</v>
      </c>
    </row>
    <row r="152" spans="1:3" x14ac:dyDescent="0.2">
      <c r="A152" s="4">
        <v>2425</v>
      </c>
      <c r="B152">
        <v>220</v>
      </c>
      <c r="C152">
        <v>6</v>
      </c>
    </row>
    <row r="153" spans="1:3" x14ac:dyDescent="0.2">
      <c r="A153" s="4">
        <v>2624</v>
      </c>
      <c r="B153">
        <v>2150</v>
      </c>
      <c r="C153">
        <v>6</v>
      </c>
    </row>
    <row r="154" spans="1:3" x14ac:dyDescent="0.2">
      <c r="A154" s="4">
        <v>6128</v>
      </c>
      <c r="B154">
        <v>1400</v>
      </c>
      <c r="C154">
        <v>6</v>
      </c>
    </row>
    <row r="155" spans="1:3" x14ac:dyDescent="0.2">
      <c r="A155" s="4">
        <v>1625</v>
      </c>
      <c r="B155">
        <v>1250</v>
      </c>
      <c r="C155">
        <v>6</v>
      </c>
    </row>
    <row r="156" spans="1:3" x14ac:dyDescent="0.2">
      <c r="A156" s="4">
        <v>3070</v>
      </c>
      <c r="B156">
        <v>800</v>
      </c>
      <c r="C156">
        <v>6</v>
      </c>
    </row>
    <row r="157" spans="1:3" x14ac:dyDescent="0.2">
      <c r="A157" s="4">
        <v>2398</v>
      </c>
      <c r="B157">
        <v>1429</v>
      </c>
      <c r="C157">
        <v>6</v>
      </c>
    </row>
    <row r="158" spans="1:3" x14ac:dyDescent="0.2">
      <c r="A158" s="4">
        <v>5150</v>
      </c>
      <c r="B158">
        <v>1900</v>
      </c>
      <c r="C158">
        <v>6</v>
      </c>
    </row>
    <row r="159" spans="1:3" x14ac:dyDescent="0.2">
      <c r="A159" s="4">
        <v>6243</v>
      </c>
      <c r="B159">
        <v>750</v>
      </c>
      <c r="C159">
        <v>6</v>
      </c>
    </row>
    <row r="160" spans="1:3" x14ac:dyDescent="0.2">
      <c r="A160" s="4">
        <v>1785</v>
      </c>
      <c r="B160">
        <v>450</v>
      </c>
      <c r="C160">
        <v>6</v>
      </c>
    </row>
    <row r="161" spans="1:3" x14ac:dyDescent="0.2">
      <c r="A161" s="4">
        <v>1692</v>
      </c>
      <c r="B161">
        <v>4883</v>
      </c>
      <c r="C161">
        <v>6</v>
      </c>
    </row>
    <row r="162" spans="1:3" x14ac:dyDescent="0.2">
      <c r="A162" s="4">
        <v>3007</v>
      </c>
      <c r="B162">
        <v>1400</v>
      </c>
      <c r="C162">
        <v>6</v>
      </c>
    </row>
    <row r="163" spans="1:3" x14ac:dyDescent="0.2">
      <c r="A163" s="4">
        <v>6663</v>
      </c>
      <c r="B163">
        <v>850</v>
      </c>
      <c r="C163">
        <v>6</v>
      </c>
    </row>
    <row r="164" spans="1:3" x14ac:dyDescent="0.2">
      <c r="A164" s="4">
        <v>6961</v>
      </c>
      <c r="B164">
        <v>1550</v>
      </c>
      <c r="C164">
        <v>6</v>
      </c>
    </row>
    <row r="165" spans="1:3" x14ac:dyDescent="0.2">
      <c r="A165" s="4">
        <v>1734</v>
      </c>
      <c r="B165">
        <v>2800</v>
      </c>
      <c r="C165">
        <v>6</v>
      </c>
    </row>
    <row r="166" spans="1:3" x14ac:dyDescent="0.2">
      <c r="A166" s="4">
        <v>2325</v>
      </c>
      <c r="B166">
        <v>750</v>
      </c>
      <c r="C166">
        <v>6</v>
      </c>
    </row>
    <row r="167" spans="1:3" x14ac:dyDescent="0.2">
      <c r="A167" s="4">
        <v>2639</v>
      </c>
      <c r="B167">
        <v>1500</v>
      </c>
      <c r="C167">
        <v>6</v>
      </c>
    </row>
    <row r="168" spans="1:3" x14ac:dyDescent="0.2">
      <c r="A168" s="4">
        <v>1574</v>
      </c>
      <c r="B168">
        <v>4800</v>
      </c>
      <c r="C168">
        <v>6</v>
      </c>
    </row>
    <row r="169" spans="1:3" x14ac:dyDescent="0.2">
      <c r="A169" s="4">
        <v>1685</v>
      </c>
      <c r="B169">
        <v>9891</v>
      </c>
      <c r="C169">
        <v>6</v>
      </c>
    </row>
    <row r="170" spans="1:3" x14ac:dyDescent="0.2">
      <c r="A170" s="4">
        <v>2369</v>
      </c>
      <c r="B170">
        <v>2700</v>
      </c>
      <c r="C170">
        <v>6</v>
      </c>
    </row>
    <row r="171" spans="1:3" x14ac:dyDescent="0.2">
      <c r="A171" s="4">
        <v>2666</v>
      </c>
      <c r="B171">
        <v>9700</v>
      </c>
      <c r="C171">
        <v>6</v>
      </c>
    </row>
    <row r="172" spans="1:3" x14ac:dyDescent="0.2">
      <c r="A172" s="4">
        <v>2611</v>
      </c>
      <c r="B172">
        <v>4780</v>
      </c>
      <c r="C172">
        <v>6</v>
      </c>
    </row>
    <row r="173" spans="1:3" x14ac:dyDescent="0.2">
      <c r="A173" s="4">
        <v>6164</v>
      </c>
      <c r="B173">
        <v>1670</v>
      </c>
      <c r="C173">
        <v>6</v>
      </c>
    </row>
    <row r="174" spans="1:3" x14ac:dyDescent="0.2">
      <c r="A174" s="4">
        <v>2971</v>
      </c>
      <c r="B174">
        <v>1600</v>
      </c>
      <c r="C174">
        <v>6</v>
      </c>
    </row>
    <row r="175" spans="1:3" x14ac:dyDescent="0.2">
      <c r="A175" s="4">
        <v>5021</v>
      </c>
      <c r="B175">
        <v>1160</v>
      </c>
      <c r="C175">
        <v>6</v>
      </c>
    </row>
    <row r="176" spans="1:3" x14ac:dyDescent="0.2">
      <c r="A176" s="4">
        <v>834</v>
      </c>
      <c r="B176">
        <v>2870</v>
      </c>
      <c r="C176">
        <v>6</v>
      </c>
    </row>
    <row r="177" spans="1:3" x14ac:dyDescent="0.2">
      <c r="A177" s="4">
        <v>2509</v>
      </c>
      <c r="B177">
        <v>900</v>
      </c>
      <c r="C177">
        <v>6</v>
      </c>
    </row>
    <row r="178" spans="1:3" x14ac:dyDescent="0.2">
      <c r="A178" s="4">
        <v>3045</v>
      </c>
      <c r="B178">
        <v>900</v>
      </c>
      <c r="C178">
        <v>6</v>
      </c>
    </row>
    <row r="179" spans="1:3" x14ac:dyDescent="0.2">
      <c r="A179" s="4">
        <v>917</v>
      </c>
      <c r="B179" s="1">
        <v>2900</v>
      </c>
      <c r="C179">
        <v>6</v>
      </c>
    </row>
    <row r="180" spans="1:3" x14ac:dyDescent="0.2">
      <c r="A180" s="4">
        <v>1926</v>
      </c>
      <c r="B180" s="1">
        <v>2000</v>
      </c>
      <c r="C180">
        <v>6</v>
      </c>
    </row>
    <row r="181" spans="1:3" x14ac:dyDescent="0.2">
      <c r="A181" s="4">
        <v>2696</v>
      </c>
      <c r="B181" s="1">
        <v>2400</v>
      </c>
      <c r="C181">
        <v>6</v>
      </c>
    </row>
    <row r="182" spans="1:3" x14ac:dyDescent="0.2">
      <c r="A182" s="4">
        <v>6043</v>
      </c>
      <c r="B182" s="1">
        <v>3656</v>
      </c>
      <c r="C182">
        <v>6</v>
      </c>
    </row>
    <row r="183" spans="1:3" x14ac:dyDescent="0.2">
      <c r="A183" s="4">
        <v>1405</v>
      </c>
      <c r="B183" s="1">
        <v>1100</v>
      </c>
      <c r="C183">
        <v>6</v>
      </c>
    </row>
    <row r="184" spans="1:3" x14ac:dyDescent="0.2">
      <c r="A184" s="4">
        <v>544</v>
      </c>
      <c r="B184" s="1">
        <v>1200</v>
      </c>
      <c r="C184">
        <v>6</v>
      </c>
    </row>
    <row r="185" spans="1:3" x14ac:dyDescent="0.2">
      <c r="A185" s="4">
        <v>2135</v>
      </c>
      <c r="B185" s="1">
        <v>1400</v>
      </c>
      <c r="C185">
        <v>6</v>
      </c>
    </row>
    <row r="186" spans="1:3" x14ac:dyDescent="0.2">
      <c r="A186" s="4">
        <v>2923</v>
      </c>
      <c r="B186" s="1">
        <v>3000</v>
      </c>
      <c r="C186">
        <v>6</v>
      </c>
    </row>
    <row r="187" spans="1:3" x14ac:dyDescent="0.2">
      <c r="A187" s="4">
        <v>2148</v>
      </c>
      <c r="B187" s="1">
        <v>1620</v>
      </c>
      <c r="C187">
        <v>6</v>
      </c>
    </row>
    <row r="188" spans="1:3" x14ac:dyDescent="0.2">
      <c r="A188" s="4">
        <v>805</v>
      </c>
      <c r="B188" s="1">
        <v>1800</v>
      </c>
      <c r="C188">
        <v>6</v>
      </c>
    </row>
    <row r="189" spans="1:3" x14ac:dyDescent="0.2">
      <c r="A189" s="4">
        <v>1607</v>
      </c>
      <c r="B189" s="1">
        <v>4877</v>
      </c>
      <c r="C189">
        <v>6</v>
      </c>
    </row>
    <row r="190" spans="1:3" x14ac:dyDescent="0.2">
      <c r="A190" s="4">
        <v>1959</v>
      </c>
      <c r="B190" s="1">
        <v>3300</v>
      </c>
      <c r="C190">
        <v>6</v>
      </c>
    </row>
    <row r="191" spans="1:3" x14ac:dyDescent="0.2">
      <c r="A191" s="4">
        <v>3054</v>
      </c>
      <c r="B191" s="1">
        <v>2820</v>
      </c>
      <c r="C191">
        <v>6</v>
      </c>
    </row>
    <row r="192" spans="1:3" x14ac:dyDescent="0.2">
      <c r="A192" s="4">
        <v>2053</v>
      </c>
      <c r="B192" s="1">
        <v>2000</v>
      </c>
      <c r="C192">
        <v>6</v>
      </c>
    </row>
    <row r="193" spans="1:3" x14ac:dyDescent="0.2">
      <c r="A193" s="4">
        <v>2610</v>
      </c>
      <c r="B193" s="1">
        <v>2000</v>
      </c>
      <c r="C193">
        <v>6</v>
      </c>
    </row>
    <row r="194" spans="1:3" x14ac:dyDescent="0.2">
      <c r="A194" s="4">
        <v>2652</v>
      </c>
      <c r="B194" s="1">
        <v>4400</v>
      </c>
      <c r="C194">
        <v>6</v>
      </c>
    </row>
    <row r="195" spans="1:3" x14ac:dyDescent="0.2">
      <c r="A195" s="4">
        <v>2902</v>
      </c>
      <c r="B195" s="1">
        <v>2000</v>
      </c>
      <c r="C195">
        <v>6</v>
      </c>
    </row>
    <row r="196" spans="1:3" x14ac:dyDescent="0.2">
      <c r="A196" s="4">
        <v>5143</v>
      </c>
      <c r="B196" s="1">
        <v>3400</v>
      </c>
      <c r="C196">
        <v>6</v>
      </c>
    </row>
    <row r="197" spans="1:3" x14ac:dyDescent="0.2">
      <c r="A197" s="4">
        <v>3232</v>
      </c>
      <c r="B197" s="1">
        <v>2200</v>
      </c>
      <c r="C197">
        <v>6</v>
      </c>
    </row>
    <row r="198" spans="1:3" x14ac:dyDescent="0.2">
      <c r="A198" s="4">
        <v>2367</v>
      </c>
      <c r="B198" s="1">
        <v>4500</v>
      </c>
      <c r="C198">
        <v>6</v>
      </c>
    </row>
    <row r="199" spans="1:3" x14ac:dyDescent="0.2">
      <c r="A199" s="4">
        <v>2605</v>
      </c>
      <c r="B199" s="1">
        <v>2500</v>
      </c>
      <c r="C199">
        <v>6</v>
      </c>
    </row>
    <row r="200" spans="1:3" x14ac:dyDescent="0.2">
      <c r="A200" s="4">
        <v>532</v>
      </c>
      <c r="B200" s="1">
        <v>3500</v>
      </c>
      <c r="C200">
        <v>6</v>
      </c>
    </row>
    <row r="201" spans="1:3" x14ac:dyDescent="0.2">
      <c r="A201" s="4">
        <v>3129</v>
      </c>
      <c r="B201" s="1">
        <v>7400</v>
      </c>
      <c r="C201">
        <v>6</v>
      </c>
    </row>
    <row r="202" spans="1:3" x14ac:dyDescent="0.2">
      <c r="A202" s="4">
        <v>2174</v>
      </c>
      <c r="B202" s="1">
        <v>4300</v>
      </c>
      <c r="C202">
        <v>6</v>
      </c>
    </row>
    <row r="203" spans="1:3" x14ac:dyDescent="0.2">
      <c r="A203" s="4">
        <v>1624</v>
      </c>
      <c r="B203" s="1">
        <v>4526</v>
      </c>
      <c r="C203">
        <v>6</v>
      </c>
    </row>
    <row r="204" spans="1:3" x14ac:dyDescent="0.2">
      <c r="A204" s="4">
        <v>2217</v>
      </c>
      <c r="B204" s="1">
        <v>8974</v>
      </c>
      <c r="C204">
        <v>6</v>
      </c>
    </row>
    <row r="205" spans="1:3" x14ac:dyDescent="0.2">
      <c r="A205" s="4">
        <v>2907</v>
      </c>
      <c r="B205" s="1">
        <v>5000</v>
      </c>
      <c r="C205">
        <v>6</v>
      </c>
    </row>
    <row r="206" spans="1:3" x14ac:dyDescent="0.2">
      <c r="A206" s="4">
        <v>3295</v>
      </c>
      <c r="B206" s="1">
        <v>11240</v>
      </c>
      <c r="C206">
        <v>6</v>
      </c>
    </row>
    <row r="207" spans="1:3" x14ac:dyDescent="0.2">
      <c r="A207" s="4">
        <v>83</v>
      </c>
      <c r="B207">
        <v>2650</v>
      </c>
      <c r="C207">
        <v>5</v>
      </c>
    </row>
    <row r="208" spans="1:3" x14ac:dyDescent="0.2">
      <c r="A208" s="4">
        <v>2701</v>
      </c>
      <c r="B208">
        <v>1600</v>
      </c>
      <c r="C208">
        <v>5</v>
      </c>
    </row>
    <row r="209" spans="1:3" x14ac:dyDescent="0.2">
      <c r="A209" s="4">
        <v>1934</v>
      </c>
      <c r="B209">
        <v>850</v>
      </c>
      <c r="C209">
        <v>5</v>
      </c>
    </row>
    <row r="210" spans="1:3" x14ac:dyDescent="0.2">
      <c r="A210" s="4">
        <v>2600</v>
      </c>
      <c r="B210">
        <v>3000</v>
      </c>
      <c r="C210">
        <v>5</v>
      </c>
    </row>
    <row r="211" spans="1:3" x14ac:dyDescent="0.2">
      <c r="A211" s="4">
        <v>2374</v>
      </c>
      <c r="B211">
        <v>800</v>
      </c>
      <c r="C211">
        <v>5</v>
      </c>
    </row>
    <row r="212" spans="1:3" x14ac:dyDescent="0.2">
      <c r="A212" s="4">
        <v>2765</v>
      </c>
      <c r="B212">
        <v>5300</v>
      </c>
      <c r="C212">
        <v>5</v>
      </c>
    </row>
    <row r="213" spans="1:3" x14ac:dyDescent="0.2">
      <c r="A213" s="4">
        <v>1831</v>
      </c>
      <c r="B213">
        <v>980</v>
      </c>
      <c r="C213">
        <v>5</v>
      </c>
    </row>
    <row r="214" spans="1:3" x14ac:dyDescent="0.2">
      <c r="A214" s="4">
        <v>154</v>
      </c>
      <c r="B214">
        <v>400</v>
      </c>
      <c r="C214">
        <v>5</v>
      </c>
    </row>
    <row r="215" spans="1:3" x14ac:dyDescent="0.2">
      <c r="A215" s="4">
        <v>2795</v>
      </c>
      <c r="B215">
        <v>400</v>
      </c>
      <c r="C215">
        <v>5</v>
      </c>
    </row>
    <row r="216" spans="1:3" x14ac:dyDescent="0.2">
      <c r="A216" s="4">
        <v>3258</v>
      </c>
      <c r="B216">
        <v>1600</v>
      </c>
      <c r="C216">
        <v>5</v>
      </c>
    </row>
    <row r="217" spans="1:3" x14ac:dyDescent="0.2">
      <c r="A217" s="4">
        <v>5381</v>
      </c>
      <c r="B217">
        <v>400</v>
      </c>
      <c r="C217">
        <v>5</v>
      </c>
    </row>
    <row r="218" spans="1:3" x14ac:dyDescent="0.2">
      <c r="A218" s="4">
        <v>781</v>
      </c>
      <c r="B218">
        <v>500</v>
      </c>
      <c r="C218">
        <v>5</v>
      </c>
    </row>
    <row r="219" spans="1:3" x14ac:dyDescent="0.2">
      <c r="A219" s="4">
        <v>1502</v>
      </c>
      <c r="B219">
        <v>1100</v>
      </c>
      <c r="C219">
        <v>5</v>
      </c>
    </row>
    <row r="220" spans="1:3" x14ac:dyDescent="0.2">
      <c r="A220" s="4">
        <v>2616</v>
      </c>
      <c r="B220">
        <v>1000</v>
      </c>
      <c r="C220">
        <v>5</v>
      </c>
    </row>
    <row r="221" spans="1:3" x14ac:dyDescent="0.2">
      <c r="A221" s="4">
        <v>2932</v>
      </c>
      <c r="B221">
        <v>1000</v>
      </c>
      <c r="C221">
        <v>5</v>
      </c>
    </row>
    <row r="222" spans="1:3" x14ac:dyDescent="0.2">
      <c r="A222" s="4">
        <v>3063</v>
      </c>
      <c r="B222">
        <v>500</v>
      </c>
      <c r="C222">
        <v>5</v>
      </c>
    </row>
    <row r="223" spans="1:3" x14ac:dyDescent="0.2">
      <c r="A223" s="4">
        <v>6981</v>
      </c>
      <c r="B223">
        <v>3900</v>
      </c>
      <c r="C223">
        <v>5</v>
      </c>
    </row>
    <row r="224" spans="1:3" x14ac:dyDescent="0.2">
      <c r="A224" s="4">
        <v>2515</v>
      </c>
      <c r="B224">
        <v>1080</v>
      </c>
      <c r="C224">
        <v>5</v>
      </c>
    </row>
    <row r="225" spans="1:3" x14ac:dyDescent="0.2">
      <c r="A225" s="4">
        <v>1821</v>
      </c>
      <c r="B225">
        <v>600</v>
      </c>
      <c r="C225">
        <v>5</v>
      </c>
    </row>
    <row r="226" spans="1:3" x14ac:dyDescent="0.2">
      <c r="A226" s="4">
        <v>2018</v>
      </c>
      <c r="B226">
        <v>1200</v>
      </c>
      <c r="C226">
        <v>5</v>
      </c>
    </row>
    <row r="227" spans="1:3" x14ac:dyDescent="0.2">
      <c r="A227" s="4">
        <v>3145</v>
      </c>
      <c r="B227">
        <v>600</v>
      </c>
      <c r="C227">
        <v>5</v>
      </c>
    </row>
    <row r="228" spans="1:3" x14ac:dyDescent="0.2">
      <c r="A228" s="4">
        <v>2393</v>
      </c>
      <c r="B228">
        <v>700</v>
      </c>
      <c r="C228">
        <v>5</v>
      </c>
    </row>
    <row r="229" spans="1:3" x14ac:dyDescent="0.2">
      <c r="A229" s="4">
        <v>2807</v>
      </c>
      <c r="B229">
        <v>1000</v>
      </c>
      <c r="C229">
        <v>5</v>
      </c>
    </row>
    <row r="230" spans="1:3" x14ac:dyDescent="0.2">
      <c r="A230" s="4">
        <v>3186</v>
      </c>
      <c r="B230">
        <v>1400</v>
      </c>
      <c r="C230">
        <v>5</v>
      </c>
    </row>
    <row r="231" spans="1:3" x14ac:dyDescent="0.2">
      <c r="A231" s="4">
        <v>3254</v>
      </c>
      <c r="B231">
        <v>1522</v>
      </c>
      <c r="C231">
        <v>5</v>
      </c>
    </row>
    <row r="232" spans="1:3" x14ac:dyDescent="0.2">
      <c r="A232" s="4">
        <v>2837</v>
      </c>
      <c r="B232">
        <v>1020</v>
      </c>
      <c r="C232">
        <v>5</v>
      </c>
    </row>
    <row r="233" spans="1:3" x14ac:dyDescent="0.2">
      <c r="A233" s="4">
        <v>1866</v>
      </c>
      <c r="B233">
        <v>800</v>
      </c>
      <c r="C233">
        <v>5</v>
      </c>
    </row>
    <row r="234" spans="1:3" x14ac:dyDescent="0.2">
      <c r="A234" s="4">
        <v>2912</v>
      </c>
      <c r="B234">
        <v>1800</v>
      </c>
      <c r="C234">
        <v>5</v>
      </c>
    </row>
    <row r="235" spans="1:3" x14ac:dyDescent="0.2">
      <c r="A235" s="4">
        <v>3166</v>
      </c>
      <c r="B235">
        <v>3200</v>
      </c>
      <c r="C235">
        <v>5</v>
      </c>
    </row>
    <row r="236" spans="1:3" x14ac:dyDescent="0.2">
      <c r="A236" s="4">
        <v>3120</v>
      </c>
      <c r="B236">
        <v>2780</v>
      </c>
      <c r="C236">
        <v>5</v>
      </c>
    </row>
    <row r="237" spans="1:3" x14ac:dyDescent="0.2">
      <c r="A237" s="4">
        <v>2694</v>
      </c>
      <c r="B237">
        <v>2400</v>
      </c>
      <c r="C237">
        <v>5</v>
      </c>
    </row>
    <row r="238" spans="1:3" x14ac:dyDescent="0.2">
      <c r="A238" s="4">
        <v>1819</v>
      </c>
      <c r="B238">
        <v>8150</v>
      </c>
      <c r="C238">
        <v>5</v>
      </c>
    </row>
    <row r="239" spans="1:3" x14ac:dyDescent="0.2">
      <c r="A239" s="4">
        <v>5012</v>
      </c>
      <c r="B239">
        <v>1600</v>
      </c>
      <c r="C239">
        <v>5</v>
      </c>
    </row>
    <row r="240" spans="1:3" x14ac:dyDescent="0.2">
      <c r="A240" s="4">
        <v>6244</v>
      </c>
      <c r="B240">
        <v>4120</v>
      </c>
      <c r="C240">
        <v>5</v>
      </c>
    </row>
    <row r="241" spans="1:3" x14ac:dyDescent="0.2">
      <c r="A241" s="4">
        <v>1535</v>
      </c>
      <c r="B241">
        <v>1550</v>
      </c>
      <c r="C241">
        <v>5</v>
      </c>
    </row>
    <row r="242" spans="1:3" x14ac:dyDescent="0.2">
      <c r="A242" s="4">
        <v>1703</v>
      </c>
      <c r="B242">
        <v>3750</v>
      </c>
      <c r="C242">
        <v>5</v>
      </c>
    </row>
    <row r="243" spans="1:3" x14ac:dyDescent="0.2">
      <c r="A243" s="4">
        <v>6642</v>
      </c>
      <c r="B243" s="1">
        <v>3900</v>
      </c>
      <c r="C243">
        <v>5</v>
      </c>
    </row>
    <row r="244" spans="1:3" x14ac:dyDescent="0.2">
      <c r="A244" s="4">
        <v>1813</v>
      </c>
      <c r="B244" s="1">
        <v>2400</v>
      </c>
      <c r="C244">
        <v>5</v>
      </c>
    </row>
    <row r="245" spans="1:3" x14ac:dyDescent="0.2">
      <c r="A245" s="4">
        <v>1842</v>
      </c>
      <c r="B245" s="1">
        <v>2580</v>
      </c>
      <c r="C245">
        <v>5</v>
      </c>
    </row>
    <row r="246" spans="1:3" x14ac:dyDescent="0.2">
      <c r="A246" s="4">
        <v>2389</v>
      </c>
      <c r="B246" s="1">
        <v>2000</v>
      </c>
      <c r="C246">
        <v>5</v>
      </c>
    </row>
    <row r="247" spans="1:3" x14ac:dyDescent="0.2">
      <c r="A247" s="4">
        <v>3068</v>
      </c>
      <c r="B247" s="1">
        <v>1000</v>
      </c>
      <c r="C247">
        <v>5</v>
      </c>
    </row>
    <row r="248" spans="1:3" x14ac:dyDescent="0.2">
      <c r="A248" s="4">
        <v>5208</v>
      </c>
      <c r="B248" s="1">
        <v>2200</v>
      </c>
      <c r="C248">
        <v>5</v>
      </c>
    </row>
    <row r="249" spans="1:3" x14ac:dyDescent="0.2">
      <c r="A249" s="4">
        <v>5221</v>
      </c>
      <c r="B249" s="1">
        <v>3800</v>
      </c>
      <c r="C249">
        <v>5</v>
      </c>
    </row>
    <row r="250" spans="1:3" x14ac:dyDescent="0.2">
      <c r="A250" s="4">
        <v>6247</v>
      </c>
      <c r="B250" s="1">
        <v>3050</v>
      </c>
      <c r="C250">
        <v>5</v>
      </c>
    </row>
    <row r="251" spans="1:3" x14ac:dyDescent="0.2">
      <c r="A251" s="4">
        <v>6361</v>
      </c>
      <c r="B251" s="1">
        <v>2500</v>
      </c>
      <c r="C251">
        <v>5</v>
      </c>
    </row>
    <row r="252" spans="1:3" x14ac:dyDescent="0.2">
      <c r="A252" s="4">
        <v>2678</v>
      </c>
      <c r="B252" s="1">
        <v>3300</v>
      </c>
      <c r="C252">
        <v>5</v>
      </c>
    </row>
    <row r="253" spans="1:3" x14ac:dyDescent="0.2">
      <c r="A253" s="4">
        <v>5002</v>
      </c>
      <c r="B253" s="1">
        <v>1300</v>
      </c>
      <c r="C253">
        <v>5</v>
      </c>
    </row>
    <row r="254" spans="1:3" x14ac:dyDescent="0.2">
      <c r="A254" s="4">
        <v>2009</v>
      </c>
      <c r="B254" s="1">
        <v>2800</v>
      </c>
      <c r="C254">
        <v>5</v>
      </c>
    </row>
    <row r="255" spans="1:3" x14ac:dyDescent="0.2">
      <c r="A255" s="4">
        <v>2197</v>
      </c>
      <c r="B255" s="1">
        <v>1500</v>
      </c>
      <c r="C255">
        <v>5</v>
      </c>
    </row>
    <row r="256" spans="1:3" x14ac:dyDescent="0.2">
      <c r="A256" s="4">
        <v>1247</v>
      </c>
      <c r="B256" s="1">
        <v>1500</v>
      </c>
      <c r="C256">
        <v>5</v>
      </c>
    </row>
    <row r="257" spans="1:3" x14ac:dyDescent="0.2">
      <c r="A257" s="4">
        <v>1948</v>
      </c>
      <c r="B257" s="1">
        <v>2500</v>
      </c>
      <c r="C257">
        <v>5</v>
      </c>
    </row>
    <row r="258" spans="1:3" x14ac:dyDescent="0.2">
      <c r="A258" s="4">
        <v>2581</v>
      </c>
      <c r="B258" s="1">
        <v>3000</v>
      </c>
      <c r="C258">
        <v>5</v>
      </c>
    </row>
    <row r="259" spans="1:3" x14ac:dyDescent="0.2">
      <c r="A259" s="4">
        <v>2649</v>
      </c>
      <c r="B259" s="1">
        <v>3000</v>
      </c>
      <c r="C259">
        <v>5</v>
      </c>
    </row>
    <row r="260" spans="1:3" x14ac:dyDescent="0.2">
      <c r="A260" s="4">
        <v>2913</v>
      </c>
      <c r="B260" s="1">
        <v>1500</v>
      </c>
      <c r="C260">
        <v>5</v>
      </c>
    </row>
    <row r="261" spans="1:3" x14ac:dyDescent="0.2">
      <c r="A261" s="4">
        <v>3049</v>
      </c>
      <c r="B261" s="1">
        <v>6000</v>
      </c>
      <c r="C261">
        <v>5</v>
      </c>
    </row>
    <row r="262" spans="1:3" x14ac:dyDescent="0.2">
      <c r="A262" s="4">
        <v>3229</v>
      </c>
      <c r="B262" s="1">
        <v>2700</v>
      </c>
      <c r="C262">
        <v>5</v>
      </c>
    </row>
    <row r="263" spans="1:3" x14ac:dyDescent="0.2">
      <c r="A263" s="4">
        <v>1397</v>
      </c>
      <c r="B263" s="1">
        <v>2000</v>
      </c>
      <c r="C263">
        <v>5</v>
      </c>
    </row>
    <row r="264" spans="1:3" x14ac:dyDescent="0.2">
      <c r="A264" s="4">
        <v>1967</v>
      </c>
      <c r="B264" s="1">
        <v>3500</v>
      </c>
      <c r="C264">
        <v>5</v>
      </c>
    </row>
    <row r="265" spans="1:3" x14ac:dyDescent="0.2">
      <c r="A265" s="4">
        <v>2558</v>
      </c>
      <c r="B265" s="1">
        <v>2000</v>
      </c>
      <c r="C265">
        <v>5</v>
      </c>
    </row>
    <row r="266" spans="1:3" x14ac:dyDescent="0.2">
      <c r="A266" s="4">
        <v>2646</v>
      </c>
      <c r="B266" s="1">
        <v>2000</v>
      </c>
      <c r="C266">
        <v>5</v>
      </c>
    </row>
    <row r="267" spans="1:3" x14ac:dyDescent="0.2">
      <c r="A267" s="4">
        <v>2755</v>
      </c>
      <c r="B267" s="1">
        <v>8000</v>
      </c>
      <c r="C267">
        <v>5</v>
      </c>
    </row>
    <row r="268" spans="1:3" x14ac:dyDescent="0.2">
      <c r="A268" s="4">
        <v>1980</v>
      </c>
      <c r="B268" s="1">
        <v>5000</v>
      </c>
      <c r="C268">
        <v>5</v>
      </c>
    </row>
    <row r="269" spans="1:3" x14ac:dyDescent="0.2">
      <c r="A269" s="4">
        <v>2653</v>
      </c>
      <c r="B269" s="1">
        <v>35000</v>
      </c>
      <c r="C269">
        <v>5</v>
      </c>
    </row>
    <row r="270" spans="1:3" x14ac:dyDescent="0.2">
      <c r="A270" s="4">
        <v>2108</v>
      </c>
      <c r="B270" s="1">
        <v>7500</v>
      </c>
      <c r="C270">
        <v>5</v>
      </c>
    </row>
    <row r="271" spans="1:3" x14ac:dyDescent="0.2">
      <c r="A271" s="4">
        <v>2473</v>
      </c>
      <c r="B271" s="1">
        <v>3000</v>
      </c>
      <c r="C271">
        <v>5</v>
      </c>
    </row>
    <row r="272" spans="1:3" x14ac:dyDescent="0.2">
      <c r="A272" s="4">
        <v>1954</v>
      </c>
      <c r="B272" s="1">
        <v>7000</v>
      </c>
      <c r="C272">
        <v>5</v>
      </c>
    </row>
    <row r="273" spans="1:3" x14ac:dyDescent="0.2">
      <c r="A273" s="4">
        <v>2211</v>
      </c>
      <c r="B273" s="1">
        <v>8000</v>
      </c>
      <c r="C273">
        <v>5</v>
      </c>
    </row>
    <row r="274" spans="1:3" x14ac:dyDescent="0.2">
      <c r="A274" s="4">
        <v>2882</v>
      </c>
      <c r="B274" s="1">
        <v>4500</v>
      </c>
      <c r="C274">
        <v>5</v>
      </c>
    </row>
    <row r="275" spans="1:3" x14ac:dyDescent="0.2">
      <c r="A275" s="4">
        <v>1836</v>
      </c>
      <c r="B275" s="1">
        <v>4500</v>
      </c>
      <c r="C275">
        <v>5</v>
      </c>
    </row>
    <row r="276" spans="1:3" x14ac:dyDescent="0.2">
      <c r="A276" s="4">
        <v>2776</v>
      </c>
      <c r="B276" s="1">
        <v>9000</v>
      </c>
      <c r="C276">
        <v>5</v>
      </c>
    </row>
    <row r="277" spans="1:3" x14ac:dyDescent="0.2">
      <c r="A277" s="4">
        <v>1805</v>
      </c>
      <c r="B277" s="1">
        <v>19755</v>
      </c>
      <c r="C277">
        <v>5</v>
      </c>
    </row>
    <row r="278" spans="1:3" x14ac:dyDescent="0.2">
      <c r="A278" s="4">
        <v>3097</v>
      </c>
      <c r="B278">
        <v>1010</v>
      </c>
      <c r="C278">
        <v>4</v>
      </c>
    </row>
    <row r="279" spans="1:3" x14ac:dyDescent="0.2">
      <c r="A279" s="4">
        <v>2927</v>
      </c>
      <c r="B279">
        <v>80</v>
      </c>
      <c r="C279">
        <v>4</v>
      </c>
    </row>
    <row r="280" spans="1:3" x14ac:dyDescent="0.2">
      <c r="A280" s="4">
        <v>2338</v>
      </c>
      <c r="B280">
        <v>600</v>
      </c>
      <c r="C280">
        <v>4</v>
      </c>
    </row>
    <row r="281" spans="1:3" x14ac:dyDescent="0.2">
      <c r="A281" s="4">
        <v>1901</v>
      </c>
      <c r="B281">
        <v>3315</v>
      </c>
      <c r="C281">
        <v>4</v>
      </c>
    </row>
    <row r="282" spans="1:3" x14ac:dyDescent="0.2">
      <c r="A282" s="4">
        <v>2711</v>
      </c>
      <c r="B282">
        <v>120</v>
      </c>
      <c r="C282">
        <v>4</v>
      </c>
    </row>
    <row r="283" spans="1:3" x14ac:dyDescent="0.2">
      <c r="A283" s="4">
        <v>2378</v>
      </c>
      <c r="B283">
        <v>2200</v>
      </c>
      <c r="C283">
        <v>4</v>
      </c>
    </row>
    <row r="284" spans="1:3" x14ac:dyDescent="0.2">
      <c r="A284" s="4">
        <v>2434</v>
      </c>
      <c r="B284">
        <v>600</v>
      </c>
      <c r="C284">
        <v>4</v>
      </c>
    </row>
    <row r="285" spans="1:3" x14ac:dyDescent="0.2">
      <c r="A285" s="4">
        <v>1665</v>
      </c>
      <c r="B285">
        <v>250</v>
      </c>
      <c r="C285">
        <v>4</v>
      </c>
    </row>
    <row r="286" spans="1:3" x14ac:dyDescent="0.2">
      <c r="A286" s="4">
        <v>2185</v>
      </c>
      <c r="B286">
        <v>250</v>
      </c>
      <c r="C286">
        <v>4</v>
      </c>
    </row>
    <row r="287" spans="1:3" x14ac:dyDescent="0.2">
      <c r="A287" s="4">
        <v>2633</v>
      </c>
      <c r="B287">
        <v>861</v>
      </c>
      <c r="C287">
        <v>4</v>
      </c>
    </row>
    <row r="288" spans="1:3" x14ac:dyDescent="0.2">
      <c r="A288" s="4">
        <v>3282</v>
      </c>
      <c r="B288">
        <v>997</v>
      </c>
      <c r="C288">
        <v>4</v>
      </c>
    </row>
    <row r="289" spans="1:3" x14ac:dyDescent="0.2">
      <c r="A289" s="4">
        <v>2263</v>
      </c>
      <c r="B289">
        <v>300</v>
      </c>
      <c r="C289">
        <v>4</v>
      </c>
    </row>
    <row r="290" spans="1:3" x14ac:dyDescent="0.2">
      <c r="A290" s="4">
        <v>1567</v>
      </c>
      <c r="B290">
        <v>1300</v>
      </c>
      <c r="C290">
        <v>4</v>
      </c>
    </row>
    <row r="291" spans="1:3" x14ac:dyDescent="0.2">
      <c r="A291" s="4">
        <v>1983</v>
      </c>
      <c r="B291">
        <v>1000</v>
      </c>
      <c r="C291">
        <v>4</v>
      </c>
    </row>
    <row r="292" spans="1:3" x14ac:dyDescent="0.2">
      <c r="A292" s="4">
        <v>2288</v>
      </c>
      <c r="B292">
        <v>900</v>
      </c>
      <c r="C292">
        <v>4</v>
      </c>
    </row>
    <row r="293" spans="1:3" x14ac:dyDescent="0.2">
      <c r="A293" s="4">
        <v>5124</v>
      </c>
      <c r="B293">
        <v>800</v>
      </c>
      <c r="C293">
        <v>4</v>
      </c>
    </row>
    <row r="294" spans="1:3" x14ac:dyDescent="0.2">
      <c r="A294" s="4">
        <v>6163</v>
      </c>
      <c r="B294">
        <v>1500</v>
      </c>
      <c r="C294">
        <v>4</v>
      </c>
    </row>
    <row r="295" spans="1:3" x14ac:dyDescent="0.2">
      <c r="A295" s="4">
        <v>2609</v>
      </c>
      <c r="B295">
        <v>1820</v>
      </c>
      <c r="C295">
        <v>4</v>
      </c>
    </row>
    <row r="296" spans="1:3" x14ac:dyDescent="0.2">
      <c r="A296" s="4">
        <v>2157</v>
      </c>
      <c r="B296">
        <v>350</v>
      </c>
      <c r="C296">
        <v>4</v>
      </c>
    </row>
    <row r="297" spans="1:3" x14ac:dyDescent="0.2">
      <c r="A297" s="4">
        <v>2623</v>
      </c>
      <c r="B297">
        <v>1861</v>
      </c>
      <c r="C297">
        <v>4</v>
      </c>
    </row>
    <row r="298" spans="1:3" x14ac:dyDescent="0.2">
      <c r="A298" s="4">
        <v>3101</v>
      </c>
      <c r="B298">
        <v>350</v>
      </c>
      <c r="C298">
        <v>4</v>
      </c>
    </row>
    <row r="299" spans="1:3" x14ac:dyDescent="0.2">
      <c r="A299" s="4">
        <v>2032</v>
      </c>
      <c r="B299">
        <v>353</v>
      </c>
      <c r="C299">
        <v>4</v>
      </c>
    </row>
    <row r="300" spans="1:3" x14ac:dyDescent="0.2">
      <c r="A300" s="4">
        <v>3244</v>
      </c>
      <c r="B300">
        <v>710</v>
      </c>
      <c r="C300">
        <v>4</v>
      </c>
    </row>
    <row r="301" spans="1:3" x14ac:dyDescent="0.2">
      <c r="A301" s="4">
        <v>1292</v>
      </c>
      <c r="B301">
        <v>1200</v>
      </c>
      <c r="C301">
        <v>4</v>
      </c>
    </row>
    <row r="302" spans="1:3" x14ac:dyDescent="0.2">
      <c r="A302" s="4">
        <v>1560</v>
      </c>
      <c r="B302">
        <v>1300</v>
      </c>
      <c r="C302">
        <v>4</v>
      </c>
    </row>
    <row r="303" spans="1:3" x14ac:dyDescent="0.2">
      <c r="A303" s="4">
        <v>1573</v>
      </c>
      <c r="B303">
        <v>3600</v>
      </c>
      <c r="C303">
        <v>4</v>
      </c>
    </row>
    <row r="304" spans="1:3" x14ac:dyDescent="0.2">
      <c r="A304" s="4">
        <v>1709</v>
      </c>
      <c r="B304">
        <v>400</v>
      </c>
      <c r="C304">
        <v>4</v>
      </c>
    </row>
    <row r="305" spans="1:3" x14ac:dyDescent="0.2">
      <c r="A305" s="4">
        <v>1965</v>
      </c>
      <c r="B305">
        <v>2200</v>
      </c>
      <c r="C305">
        <v>4</v>
      </c>
    </row>
    <row r="306" spans="1:3" x14ac:dyDescent="0.2">
      <c r="A306" s="4">
        <v>2348</v>
      </c>
      <c r="B306">
        <v>400</v>
      </c>
      <c r="C306">
        <v>4</v>
      </c>
    </row>
    <row r="307" spans="1:3" x14ac:dyDescent="0.2">
      <c r="A307" s="4">
        <v>2458</v>
      </c>
      <c r="B307">
        <v>400</v>
      </c>
      <c r="C307">
        <v>4</v>
      </c>
    </row>
    <row r="308" spans="1:3" x14ac:dyDescent="0.2">
      <c r="A308" s="4">
        <v>2535</v>
      </c>
      <c r="B308">
        <v>5248</v>
      </c>
      <c r="C308">
        <v>4</v>
      </c>
    </row>
    <row r="309" spans="1:3" x14ac:dyDescent="0.2">
      <c r="A309" s="4">
        <v>2588</v>
      </c>
      <c r="B309">
        <v>2400</v>
      </c>
      <c r="C309">
        <v>4</v>
      </c>
    </row>
    <row r="310" spans="1:3" x14ac:dyDescent="0.2">
      <c r="A310" s="4">
        <v>2972</v>
      </c>
      <c r="B310">
        <v>417</v>
      </c>
      <c r="C310">
        <v>4</v>
      </c>
    </row>
    <row r="311" spans="1:3" x14ac:dyDescent="0.2">
      <c r="A311" s="4">
        <v>1956</v>
      </c>
      <c r="B311">
        <v>1020</v>
      </c>
      <c r="C311">
        <v>4</v>
      </c>
    </row>
    <row r="312" spans="1:3" x14ac:dyDescent="0.2">
      <c r="A312" s="4">
        <v>2873</v>
      </c>
      <c r="B312">
        <v>440</v>
      </c>
      <c r="C312">
        <v>4</v>
      </c>
    </row>
    <row r="313" spans="1:3" x14ac:dyDescent="0.2">
      <c r="A313" s="4">
        <v>5822</v>
      </c>
      <c r="B313">
        <v>800</v>
      </c>
      <c r="C313">
        <v>4</v>
      </c>
    </row>
    <row r="314" spans="1:3" x14ac:dyDescent="0.2">
      <c r="A314" s="4">
        <v>1736</v>
      </c>
      <c r="B314">
        <v>10500</v>
      </c>
      <c r="C314">
        <v>4</v>
      </c>
    </row>
    <row r="315" spans="1:3" x14ac:dyDescent="0.2">
      <c r="A315" s="4">
        <v>1576</v>
      </c>
      <c r="B315">
        <v>500</v>
      </c>
      <c r="C315">
        <v>4</v>
      </c>
    </row>
    <row r="316" spans="1:3" x14ac:dyDescent="0.2">
      <c r="A316" s="4">
        <v>1654</v>
      </c>
      <c r="B316">
        <v>15600</v>
      </c>
      <c r="C316">
        <v>4</v>
      </c>
    </row>
    <row r="317" spans="1:3" x14ac:dyDescent="0.2">
      <c r="A317" s="4">
        <v>2132</v>
      </c>
      <c r="B317">
        <v>500</v>
      </c>
      <c r="C317">
        <v>4</v>
      </c>
    </row>
    <row r="318" spans="1:3" x14ac:dyDescent="0.2">
      <c r="A318" s="4">
        <v>2291</v>
      </c>
      <c r="B318">
        <v>500</v>
      </c>
      <c r="C318">
        <v>4</v>
      </c>
    </row>
    <row r="319" spans="1:3" x14ac:dyDescent="0.2">
      <c r="A319" s="4">
        <v>2305</v>
      </c>
      <c r="B319">
        <v>1400</v>
      </c>
      <c r="C319">
        <v>4</v>
      </c>
    </row>
    <row r="320" spans="1:3" x14ac:dyDescent="0.2">
      <c r="A320" s="4">
        <v>2306</v>
      </c>
      <c r="B320">
        <v>1500</v>
      </c>
      <c r="C320">
        <v>4</v>
      </c>
    </row>
    <row r="321" spans="1:3" x14ac:dyDescent="0.2">
      <c r="A321" s="4">
        <v>2350</v>
      </c>
      <c r="B321">
        <v>1000</v>
      </c>
      <c r="C321">
        <v>4</v>
      </c>
    </row>
    <row r="322" spans="1:3" x14ac:dyDescent="0.2">
      <c r="A322" s="4">
        <v>2480</v>
      </c>
      <c r="B322">
        <v>2500</v>
      </c>
      <c r="C322">
        <v>4</v>
      </c>
    </row>
    <row r="323" spans="1:3" x14ac:dyDescent="0.2">
      <c r="A323" s="4">
        <v>2743</v>
      </c>
      <c r="B323">
        <v>1900</v>
      </c>
      <c r="C323">
        <v>4</v>
      </c>
    </row>
    <row r="324" spans="1:3" x14ac:dyDescent="0.2">
      <c r="A324" s="4">
        <v>3275</v>
      </c>
      <c r="B324">
        <v>500</v>
      </c>
      <c r="C324">
        <v>4</v>
      </c>
    </row>
    <row r="325" spans="1:3" x14ac:dyDescent="0.2">
      <c r="A325" s="4">
        <v>1978</v>
      </c>
      <c r="B325">
        <v>620</v>
      </c>
      <c r="C325">
        <v>4</v>
      </c>
    </row>
    <row r="326" spans="1:3" x14ac:dyDescent="0.2">
      <c r="A326" s="4">
        <v>1720</v>
      </c>
      <c r="B326">
        <v>600</v>
      </c>
      <c r="C326">
        <v>4</v>
      </c>
    </row>
    <row r="327" spans="1:3" x14ac:dyDescent="0.2">
      <c r="A327" s="4">
        <v>1739</v>
      </c>
      <c r="B327">
        <v>600</v>
      </c>
      <c r="C327">
        <v>4</v>
      </c>
    </row>
    <row r="328" spans="1:3" x14ac:dyDescent="0.2">
      <c r="A328" s="4">
        <v>1738</v>
      </c>
      <c r="B328">
        <v>600</v>
      </c>
      <c r="C328">
        <v>4</v>
      </c>
    </row>
    <row r="329" spans="1:3" x14ac:dyDescent="0.2">
      <c r="A329" s="4">
        <v>1260</v>
      </c>
      <c r="B329">
        <v>600</v>
      </c>
      <c r="C329">
        <v>4</v>
      </c>
    </row>
    <row r="330" spans="1:3" x14ac:dyDescent="0.2">
      <c r="A330" s="4">
        <v>2692</v>
      </c>
      <c r="B330">
        <v>600</v>
      </c>
      <c r="C330">
        <v>4</v>
      </c>
    </row>
    <row r="331" spans="1:3" x14ac:dyDescent="0.2">
      <c r="A331" s="4">
        <v>2811</v>
      </c>
      <c r="B331">
        <v>5100</v>
      </c>
      <c r="C331">
        <v>4</v>
      </c>
    </row>
    <row r="332" spans="1:3" x14ac:dyDescent="0.2">
      <c r="A332" s="4">
        <v>3118</v>
      </c>
      <c r="B332">
        <v>2000</v>
      </c>
      <c r="C332">
        <v>4</v>
      </c>
    </row>
    <row r="333" spans="1:3" x14ac:dyDescent="0.2">
      <c r="A333" s="4">
        <v>3226</v>
      </c>
      <c r="B333">
        <v>4500</v>
      </c>
      <c r="C333">
        <v>4</v>
      </c>
    </row>
    <row r="334" spans="1:3" x14ac:dyDescent="0.2">
      <c r="A334" s="4">
        <v>2065</v>
      </c>
      <c r="B334">
        <v>620</v>
      </c>
      <c r="C334">
        <v>4</v>
      </c>
    </row>
    <row r="335" spans="1:3" x14ac:dyDescent="0.2">
      <c r="A335" s="4">
        <v>2080</v>
      </c>
      <c r="B335">
        <v>1750</v>
      </c>
      <c r="C335">
        <v>4</v>
      </c>
    </row>
    <row r="336" spans="1:3" x14ac:dyDescent="0.2">
      <c r="A336" s="4">
        <v>6667</v>
      </c>
      <c r="B336">
        <v>1750</v>
      </c>
      <c r="C336">
        <v>4</v>
      </c>
    </row>
    <row r="337" spans="1:3" x14ac:dyDescent="0.2">
      <c r="A337" s="4">
        <v>2134</v>
      </c>
      <c r="B337">
        <v>1000</v>
      </c>
      <c r="C337">
        <v>4</v>
      </c>
    </row>
    <row r="338" spans="1:3" x14ac:dyDescent="0.2">
      <c r="A338" s="4">
        <v>3081</v>
      </c>
      <c r="B338">
        <v>700</v>
      </c>
      <c r="C338">
        <v>4</v>
      </c>
    </row>
    <row r="339" spans="1:3" x14ac:dyDescent="0.2">
      <c r="A339" s="4">
        <v>5162</v>
      </c>
      <c r="B339">
        <v>1060</v>
      </c>
      <c r="C339">
        <v>4</v>
      </c>
    </row>
    <row r="340" spans="1:3" x14ac:dyDescent="0.2">
      <c r="A340" s="4">
        <v>1835</v>
      </c>
      <c r="B340">
        <v>2220</v>
      </c>
      <c r="C340">
        <v>4</v>
      </c>
    </row>
    <row r="341" spans="1:3" x14ac:dyDescent="0.2">
      <c r="A341" s="4">
        <v>2732</v>
      </c>
      <c r="B341">
        <v>800</v>
      </c>
      <c r="C341">
        <v>4</v>
      </c>
    </row>
    <row r="342" spans="1:3" x14ac:dyDescent="0.2">
      <c r="A342" s="4">
        <v>2802</v>
      </c>
      <c r="B342">
        <v>1950</v>
      </c>
      <c r="C342">
        <v>4</v>
      </c>
    </row>
    <row r="343" spans="1:3" x14ac:dyDescent="0.2">
      <c r="A343" s="4">
        <v>2004</v>
      </c>
      <c r="B343">
        <v>1900</v>
      </c>
      <c r="C343">
        <v>4</v>
      </c>
    </row>
    <row r="344" spans="1:3" x14ac:dyDescent="0.2">
      <c r="A344" s="4">
        <v>5102</v>
      </c>
      <c r="B344">
        <v>900</v>
      </c>
      <c r="C344">
        <v>4</v>
      </c>
    </row>
    <row r="345" spans="1:3" x14ac:dyDescent="0.2">
      <c r="A345" s="4">
        <v>769</v>
      </c>
      <c r="B345">
        <v>903</v>
      </c>
      <c r="C345">
        <v>4</v>
      </c>
    </row>
    <row r="346" spans="1:3" x14ac:dyDescent="0.2">
      <c r="A346" s="4">
        <v>2630</v>
      </c>
      <c r="B346" s="1">
        <v>2400</v>
      </c>
      <c r="C346">
        <v>4</v>
      </c>
    </row>
    <row r="347" spans="1:3" x14ac:dyDescent="0.2">
      <c r="A347" s="4">
        <v>530</v>
      </c>
      <c r="B347" s="1">
        <v>1000</v>
      </c>
      <c r="C347">
        <v>4</v>
      </c>
    </row>
    <row r="348" spans="1:3" x14ac:dyDescent="0.2">
      <c r="A348" s="4">
        <v>1534</v>
      </c>
      <c r="B348" s="1">
        <v>3450</v>
      </c>
      <c r="C348">
        <v>4</v>
      </c>
    </row>
    <row r="349" spans="1:3" x14ac:dyDescent="0.2">
      <c r="A349" s="4">
        <v>1995</v>
      </c>
      <c r="B349" s="1">
        <v>1000</v>
      </c>
      <c r="C349">
        <v>4</v>
      </c>
    </row>
    <row r="350" spans="1:3" x14ac:dyDescent="0.2">
      <c r="A350" s="4">
        <v>2033</v>
      </c>
      <c r="B350" s="1">
        <v>2000</v>
      </c>
      <c r="C350">
        <v>4</v>
      </c>
    </row>
    <row r="351" spans="1:3" x14ac:dyDescent="0.2">
      <c r="A351" s="4">
        <v>2680</v>
      </c>
      <c r="B351" s="1">
        <v>1450</v>
      </c>
      <c r="C351">
        <v>4</v>
      </c>
    </row>
    <row r="352" spans="1:3" x14ac:dyDescent="0.2">
      <c r="A352" s="4">
        <v>2872</v>
      </c>
      <c r="B352" s="1">
        <v>3960</v>
      </c>
      <c r="C352">
        <v>4</v>
      </c>
    </row>
    <row r="353" spans="1:3" x14ac:dyDescent="0.2">
      <c r="A353" s="4">
        <v>2985</v>
      </c>
      <c r="B353" s="1">
        <v>4130</v>
      </c>
      <c r="C353">
        <v>4</v>
      </c>
    </row>
    <row r="354" spans="1:3" x14ac:dyDescent="0.2">
      <c r="A354" s="4">
        <v>3249</v>
      </c>
      <c r="B354" s="1">
        <v>2500</v>
      </c>
      <c r="C354">
        <v>4</v>
      </c>
    </row>
    <row r="355" spans="1:3" x14ac:dyDescent="0.2">
      <c r="A355" s="4">
        <v>1712</v>
      </c>
      <c r="B355" s="1">
        <v>1083</v>
      </c>
      <c r="C355">
        <v>4</v>
      </c>
    </row>
    <row r="356" spans="1:3" x14ac:dyDescent="0.2">
      <c r="A356" s="4">
        <v>1555</v>
      </c>
      <c r="B356" s="1">
        <v>2900</v>
      </c>
      <c r="C356">
        <v>4</v>
      </c>
    </row>
    <row r="357" spans="1:3" x14ac:dyDescent="0.2">
      <c r="A357" s="4">
        <v>1824</v>
      </c>
      <c r="B357" s="1">
        <v>4450</v>
      </c>
      <c r="C357">
        <v>4</v>
      </c>
    </row>
    <row r="358" spans="1:3" x14ac:dyDescent="0.2">
      <c r="A358" s="4">
        <v>3057</v>
      </c>
      <c r="B358" s="1">
        <v>1700</v>
      </c>
      <c r="C358">
        <v>4</v>
      </c>
    </row>
    <row r="359" spans="1:3" x14ac:dyDescent="0.2">
      <c r="A359" s="4">
        <v>3074</v>
      </c>
      <c r="B359" s="1">
        <v>2400</v>
      </c>
      <c r="C359">
        <v>4</v>
      </c>
    </row>
    <row r="360" spans="1:3" x14ac:dyDescent="0.2">
      <c r="A360" s="4">
        <v>3174</v>
      </c>
      <c r="B360" s="1">
        <v>2700</v>
      </c>
      <c r="C360">
        <v>4</v>
      </c>
    </row>
    <row r="361" spans="1:3" x14ac:dyDescent="0.2">
      <c r="A361" s="4">
        <v>1937</v>
      </c>
      <c r="B361" s="1">
        <v>1400</v>
      </c>
      <c r="C361">
        <v>4</v>
      </c>
    </row>
    <row r="362" spans="1:3" x14ac:dyDescent="0.2">
      <c r="A362" s="4">
        <v>2236</v>
      </c>
      <c r="B362" s="1">
        <v>1400</v>
      </c>
      <c r="C362">
        <v>4</v>
      </c>
    </row>
    <row r="363" spans="1:3" x14ac:dyDescent="0.2">
      <c r="A363" s="4">
        <v>2281</v>
      </c>
      <c r="B363" s="1">
        <v>4400</v>
      </c>
      <c r="C363">
        <v>4</v>
      </c>
    </row>
    <row r="364" spans="1:3" x14ac:dyDescent="0.2">
      <c r="A364" s="4">
        <v>2672</v>
      </c>
      <c r="B364" s="1">
        <v>3320</v>
      </c>
      <c r="C364">
        <v>4</v>
      </c>
    </row>
    <row r="365" spans="1:3" x14ac:dyDescent="0.2">
      <c r="A365" s="4">
        <v>2760</v>
      </c>
      <c r="B365" s="1">
        <v>4000</v>
      </c>
      <c r="C365">
        <v>4</v>
      </c>
    </row>
    <row r="366" spans="1:3" x14ac:dyDescent="0.2">
      <c r="A366" s="4">
        <v>2763</v>
      </c>
      <c r="B366" s="1">
        <v>1500</v>
      </c>
      <c r="C366">
        <v>4</v>
      </c>
    </row>
    <row r="367" spans="1:3" x14ac:dyDescent="0.2">
      <c r="A367" s="4">
        <v>2294</v>
      </c>
      <c r="B367" s="1">
        <v>1500</v>
      </c>
      <c r="C367">
        <v>4</v>
      </c>
    </row>
    <row r="368" spans="1:3" x14ac:dyDescent="0.2">
      <c r="A368" s="4">
        <v>2047</v>
      </c>
      <c r="B368" s="1">
        <v>1500</v>
      </c>
      <c r="C368">
        <v>4</v>
      </c>
    </row>
    <row r="369" spans="1:3" x14ac:dyDescent="0.2">
      <c r="A369" s="4">
        <v>2051</v>
      </c>
      <c r="B369" s="1">
        <v>1800</v>
      </c>
      <c r="C369">
        <v>4</v>
      </c>
    </row>
    <row r="370" spans="1:3" x14ac:dyDescent="0.2">
      <c r="A370" s="4">
        <v>2216</v>
      </c>
      <c r="B370" s="1">
        <v>1500</v>
      </c>
      <c r="C370">
        <v>4</v>
      </c>
    </row>
    <row r="371" spans="1:3" x14ac:dyDescent="0.2">
      <c r="A371" s="4">
        <v>1705</v>
      </c>
      <c r="B371" s="1">
        <v>1500</v>
      </c>
      <c r="C371">
        <v>4</v>
      </c>
    </row>
    <row r="372" spans="1:3" x14ac:dyDescent="0.2">
      <c r="A372" s="4">
        <v>1950</v>
      </c>
      <c r="B372" s="1">
        <v>2700</v>
      </c>
      <c r="C372">
        <v>4</v>
      </c>
    </row>
    <row r="373" spans="1:3" x14ac:dyDescent="0.2">
      <c r="A373" s="4">
        <v>2813</v>
      </c>
      <c r="B373" s="1">
        <v>2100</v>
      </c>
      <c r="C373">
        <v>4</v>
      </c>
    </row>
    <row r="374" spans="1:3" x14ac:dyDescent="0.2">
      <c r="A374" s="4">
        <v>5262</v>
      </c>
      <c r="B374" s="1">
        <v>3900</v>
      </c>
      <c r="C374">
        <v>4</v>
      </c>
    </row>
    <row r="375" spans="1:3" x14ac:dyDescent="0.2">
      <c r="A375" s="4">
        <v>2027</v>
      </c>
      <c r="B375" s="1">
        <v>2460</v>
      </c>
      <c r="C375">
        <v>4</v>
      </c>
    </row>
    <row r="376" spans="1:3" x14ac:dyDescent="0.2">
      <c r="A376" s="4">
        <v>2684</v>
      </c>
      <c r="B376" s="1">
        <v>1800</v>
      </c>
      <c r="C376">
        <v>4</v>
      </c>
    </row>
    <row r="377" spans="1:3" x14ac:dyDescent="0.2">
      <c r="A377" s="4">
        <v>2151</v>
      </c>
      <c r="B377" s="1">
        <v>4200</v>
      </c>
      <c r="C377">
        <v>4</v>
      </c>
    </row>
    <row r="378" spans="1:3" x14ac:dyDescent="0.2">
      <c r="A378" s="4">
        <v>3235</v>
      </c>
      <c r="B378" s="1">
        <v>4732</v>
      </c>
      <c r="C378">
        <v>4</v>
      </c>
    </row>
    <row r="379" spans="1:3" x14ac:dyDescent="0.2">
      <c r="A379" s="4">
        <v>1621</v>
      </c>
      <c r="B379" s="1">
        <v>2000</v>
      </c>
      <c r="C379">
        <v>4</v>
      </c>
    </row>
    <row r="380" spans="1:3" x14ac:dyDescent="0.2">
      <c r="A380" s="4">
        <v>2671</v>
      </c>
      <c r="B380" s="1">
        <v>3200</v>
      </c>
      <c r="C380">
        <v>4</v>
      </c>
    </row>
    <row r="381" spans="1:3" x14ac:dyDescent="0.2">
      <c r="A381" s="4">
        <v>2677</v>
      </c>
      <c r="B381" s="1">
        <v>4275</v>
      </c>
      <c r="C381">
        <v>4</v>
      </c>
    </row>
    <row r="382" spans="1:3" x14ac:dyDescent="0.2">
      <c r="A382" s="4">
        <v>6580</v>
      </c>
      <c r="B382" s="1">
        <v>3500</v>
      </c>
      <c r="C382">
        <v>4</v>
      </c>
    </row>
    <row r="383" spans="1:3" x14ac:dyDescent="0.2">
      <c r="A383" s="4">
        <v>2190</v>
      </c>
      <c r="B383" s="1">
        <v>2300</v>
      </c>
      <c r="C383">
        <v>4</v>
      </c>
    </row>
    <row r="384" spans="1:3" x14ac:dyDescent="0.2">
      <c r="A384" s="4">
        <v>6746</v>
      </c>
      <c r="B384" s="1">
        <v>2850</v>
      </c>
      <c r="C384">
        <v>4</v>
      </c>
    </row>
    <row r="385" spans="1:3" x14ac:dyDescent="0.2">
      <c r="A385" s="4">
        <v>3104</v>
      </c>
      <c r="B385" s="1">
        <v>2400</v>
      </c>
      <c r="C385">
        <v>4</v>
      </c>
    </row>
    <row r="386" spans="1:3" x14ac:dyDescent="0.2">
      <c r="A386" s="4">
        <v>3043</v>
      </c>
      <c r="B386" s="1">
        <v>6500</v>
      </c>
      <c r="C386">
        <v>4</v>
      </c>
    </row>
    <row r="387" spans="1:3" x14ac:dyDescent="0.2">
      <c r="A387" s="4">
        <v>2965</v>
      </c>
      <c r="B387" s="1">
        <v>3300</v>
      </c>
      <c r="C387">
        <v>4</v>
      </c>
    </row>
    <row r="388" spans="1:3" x14ac:dyDescent="0.2">
      <c r="A388" s="4">
        <v>3099</v>
      </c>
      <c r="B388" s="1">
        <v>7500</v>
      </c>
      <c r="C388">
        <v>4</v>
      </c>
    </row>
    <row r="389" spans="1:3" x14ac:dyDescent="0.2">
      <c r="A389" s="4">
        <v>2285</v>
      </c>
      <c r="B389" s="1">
        <v>3350</v>
      </c>
      <c r="C389">
        <v>4</v>
      </c>
    </row>
    <row r="390" spans="1:3" x14ac:dyDescent="0.2">
      <c r="A390" s="4">
        <v>1719</v>
      </c>
      <c r="B390" s="1">
        <v>3740</v>
      </c>
      <c r="C390">
        <v>4</v>
      </c>
    </row>
    <row r="391" spans="1:3" x14ac:dyDescent="0.2">
      <c r="A391" s="4">
        <v>2251</v>
      </c>
      <c r="B391" s="1">
        <v>8000</v>
      </c>
      <c r="C391">
        <v>4</v>
      </c>
    </row>
    <row r="392" spans="1:3" x14ac:dyDescent="0.2">
      <c r="A392" s="4">
        <v>2253</v>
      </c>
      <c r="B392" s="1">
        <v>6000</v>
      </c>
      <c r="C392">
        <v>4</v>
      </c>
    </row>
    <row r="393" spans="1:3" x14ac:dyDescent="0.2">
      <c r="A393" s="4">
        <v>3192</v>
      </c>
      <c r="B393" s="1">
        <v>3700</v>
      </c>
      <c r="C393">
        <v>4</v>
      </c>
    </row>
    <row r="394" spans="1:3" x14ac:dyDescent="0.2">
      <c r="A394" s="4">
        <v>5241</v>
      </c>
      <c r="B394" s="1">
        <v>4280</v>
      </c>
      <c r="C394">
        <v>4</v>
      </c>
    </row>
    <row r="395" spans="1:3" x14ac:dyDescent="0.2">
      <c r="A395" s="4">
        <v>1529</v>
      </c>
      <c r="B395" s="1">
        <v>8500</v>
      </c>
      <c r="C395">
        <v>4</v>
      </c>
    </row>
    <row r="396" spans="1:3" x14ac:dyDescent="0.2">
      <c r="A396" s="4">
        <v>2179</v>
      </c>
      <c r="B396" s="1">
        <v>8000</v>
      </c>
      <c r="C396">
        <v>4</v>
      </c>
    </row>
    <row r="397" spans="1:3" x14ac:dyDescent="0.2">
      <c r="A397" s="4">
        <v>2513</v>
      </c>
      <c r="B397" s="1">
        <v>3500</v>
      </c>
      <c r="C397">
        <v>4</v>
      </c>
    </row>
    <row r="398" spans="1:3" x14ac:dyDescent="0.2">
      <c r="A398" s="4">
        <v>2234</v>
      </c>
      <c r="B398" s="1">
        <v>6390</v>
      </c>
      <c r="C398">
        <v>4</v>
      </c>
    </row>
    <row r="399" spans="1:3" x14ac:dyDescent="0.2">
      <c r="A399" s="4">
        <v>5621</v>
      </c>
      <c r="B399" s="1">
        <v>3700</v>
      </c>
      <c r="C399">
        <v>4</v>
      </c>
    </row>
    <row r="400" spans="1:3" x14ac:dyDescent="0.2">
      <c r="A400" s="4">
        <v>2098</v>
      </c>
      <c r="B400" s="1">
        <v>8500</v>
      </c>
      <c r="C400">
        <v>4</v>
      </c>
    </row>
    <row r="401" spans="1:3" x14ac:dyDescent="0.2">
      <c r="A401" s="4">
        <v>1571</v>
      </c>
      <c r="B401" s="1">
        <v>6300</v>
      </c>
      <c r="C401">
        <v>4</v>
      </c>
    </row>
    <row r="402" spans="1:3" x14ac:dyDescent="0.2">
      <c r="A402" s="4">
        <v>2101</v>
      </c>
      <c r="B402" s="1">
        <v>5000</v>
      </c>
      <c r="C402">
        <v>4</v>
      </c>
    </row>
    <row r="403" spans="1:3" x14ac:dyDescent="0.2">
      <c r="A403" s="4">
        <v>1669</v>
      </c>
      <c r="B403" s="1">
        <v>14406</v>
      </c>
      <c r="C403">
        <v>4</v>
      </c>
    </row>
    <row r="404" spans="1:3" x14ac:dyDescent="0.2">
      <c r="A404" s="4">
        <v>2769</v>
      </c>
      <c r="B404" s="1">
        <v>15000</v>
      </c>
      <c r="C404">
        <v>4</v>
      </c>
    </row>
    <row r="405" spans="1:3" x14ac:dyDescent="0.2">
      <c r="A405" s="4">
        <v>5189</v>
      </c>
      <c r="B405" s="1">
        <v>18000</v>
      </c>
      <c r="C405">
        <v>4</v>
      </c>
    </row>
    <row r="406" spans="1:3" x14ac:dyDescent="0.2">
      <c r="A406" s="4">
        <v>2744</v>
      </c>
      <c r="B406">
        <v>75</v>
      </c>
      <c r="C406">
        <v>3</v>
      </c>
    </row>
    <row r="407" spans="1:3" x14ac:dyDescent="0.2">
      <c r="A407" s="4">
        <v>2189</v>
      </c>
      <c r="B407">
        <v>630</v>
      </c>
      <c r="C407">
        <v>3</v>
      </c>
    </row>
    <row r="408" spans="1:3" x14ac:dyDescent="0.2">
      <c r="A408" s="4">
        <v>2990</v>
      </c>
      <c r="B408">
        <v>185</v>
      </c>
      <c r="C408">
        <v>3</v>
      </c>
    </row>
    <row r="409" spans="1:3" x14ac:dyDescent="0.2">
      <c r="A409" s="4">
        <v>1777</v>
      </c>
      <c r="B409">
        <v>100</v>
      </c>
      <c r="C409">
        <v>3</v>
      </c>
    </row>
    <row r="410" spans="1:3" x14ac:dyDescent="0.2">
      <c r="A410" s="4">
        <v>1932</v>
      </c>
      <c r="B410">
        <v>100</v>
      </c>
      <c r="C410">
        <v>3</v>
      </c>
    </row>
    <row r="411" spans="1:3" x14ac:dyDescent="0.2">
      <c r="A411" s="4">
        <v>2422</v>
      </c>
      <c r="B411">
        <v>100</v>
      </c>
      <c r="C411">
        <v>3</v>
      </c>
    </row>
    <row r="412" spans="1:3" x14ac:dyDescent="0.2">
      <c r="A412" s="4">
        <v>2438</v>
      </c>
      <c r="B412">
        <v>370</v>
      </c>
      <c r="C412">
        <v>3</v>
      </c>
    </row>
    <row r="413" spans="1:3" x14ac:dyDescent="0.2">
      <c r="A413" s="4">
        <v>2505</v>
      </c>
      <c r="B413">
        <v>2120</v>
      </c>
      <c r="C413">
        <v>3</v>
      </c>
    </row>
    <row r="414" spans="1:3" x14ac:dyDescent="0.2">
      <c r="A414" s="4">
        <v>1969</v>
      </c>
      <c r="B414">
        <v>150</v>
      </c>
      <c r="C414">
        <v>3</v>
      </c>
    </row>
    <row r="415" spans="1:3" x14ac:dyDescent="0.2">
      <c r="A415" s="4">
        <v>1919</v>
      </c>
      <c r="B415">
        <v>150</v>
      </c>
      <c r="C415">
        <v>3</v>
      </c>
    </row>
    <row r="416" spans="1:3" x14ac:dyDescent="0.2">
      <c r="A416" s="4">
        <v>2570</v>
      </c>
      <c r="B416">
        <v>150</v>
      </c>
      <c r="C416">
        <v>3</v>
      </c>
    </row>
    <row r="417" spans="1:3" x14ac:dyDescent="0.2">
      <c r="A417" s="4">
        <v>2423</v>
      </c>
      <c r="B417">
        <v>380</v>
      </c>
      <c r="C417">
        <v>3</v>
      </c>
    </row>
    <row r="418" spans="1:3" x14ac:dyDescent="0.2">
      <c r="A418" s="4">
        <v>1943</v>
      </c>
      <c r="B418">
        <v>570</v>
      </c>
      <c r="C418">
        <v>3</v>
      </c>
    </row>
    <row r="419" spans="1:3" x14ac:dyDescent="0.2">
      <c r="A419" s="4">
        <v>2343</v>
      </c>
      <c r="B419">
        <v>200</v>
      </c>
      <c r="C419">
        <v>3</v>
      </c>
    </row>
    <row r="420" spans="1:3" x14ac:dyDescent="0.2">
      <c r="A420" s="4">
        <v>2356</v>
      </c>
      <c r="B420">
        <v>200</v>
      </c>
      <c r="C420">
        <v>3</v>
      </c>
    </row>
    <row r="421" spans="1:3" x14ac:dyDescent="0.2">
      <c r="A421" s="4">
        <v>2402</v>
      </c>
      <c r="B421">
        <v>200</v>
      </c>
      <c r="C421">
        <v>3</v>
      </c>
    </row>
    <row r="422" spans="1:3" x14ac:dyDescent="0.2">
      <c r="A422" s="4">
        <v>2488</v>
      </c>
      <c r="B422">
        <v>200</v>
      </c>
      <c r="C422">
        <v>3</v>
      </c>
    </row>
    <row r="423" spans="1:3" x14ac:dyDescent="0.2">
      <c r="A423" s="4">
        <v>2967</v>
      </c>
      <c r="B423">
        <v>700</v>
      </c>
      <c r="C423">
        <v>3</v>
      </c>
    </row>
    <row r="424" spans="1:3" x14ac:dyDescent="0.2">
      <c r="A424" s="4">
        <v>3283</v>
      </c>
      <c r="B424">
        <v>400</v>
      </c>
      <c r="C424">
        <v>3</v>
      </c>
    </row>
    <row r="425" spans="1:3" x14ac:dyDescent="0.2">
      <c r="A425" s="4">
        <v>2687</v>
      </c>
      <c r="B425">
        <v>1440</v>
      </c>
      <c r="C425">
        <v>3</v>
      </c>
    </row>
    <row r="426" spans="1:3" x14ac:dyDescent="0.2">
      <c r="A426" s="4">
        <v>1786</v>
      </c>
      <c r="B426">
        <v>250</v>
      </c>
      <c r="C426">
        <v>3</v>
      </c>
    </row>
    <row r="427" spans="1:3" x14ac:dyDescent="0.2">
      <c r="A427" s="4">
        <v>6562</v>
      </c>
      <c r="B427">
        <v>3250</v>
      </c>
      <c r="C427">
        <v>3</v>
      </c>
    </row>
    <row r="428" spans="1:3" x14ac:dyDescent="0.2">
      <c r="A428" s="4">
        <v>2621</v>
      </c>
      <c r="B428">
        <v>900</v>
      </c>
      <c r="C428">
        <v>3</v>
      </c>
    </row>
    <row r="429" spans="1:3" x14ac:dyDescent="0.2">
      <c r="A429" s="4">
        <v>1931</v>
      </c>
      <c r="B429">
        <v>300</v>
      </c>
      <c r="C429">
        <v>3</v>
      </c>
    </row>
    <row r="430" spans="1:3" x14ac:dyDescent="0.2">
      <c r="A430" s="4">
        <v>2034</v>
      </c>
      <c r="B430">
        <v>2800</v>
      </c>
      <c r="C430">
        <v>3</v>
      </c>
    </row>
    <row r="431" spans="1:3" x14ac:dyDescent="0.2">
      <c r="A431" s="4">
        <v>2589</v>
      </c>
      <c r="B431">
        <v>1220</v>
      </c>
      <c r="C431">
        <v>3</v>
      </c>
    </row>
    <row r="432" spans="1:3" x14ac:dyDescent="0.2">
      <c r="A432" s="4">
        <v>2664</v>
      </c>
      <c r="B432">
        <v>300</v>
      </c>
      <c r="C432">
        <v>3</v>
      </c>
    </row>
    <row r="433" spans="1:3" x14ac:dyDescent="0.2">
      <c r="A433" s="4">
        <v>2665</v>
      </c>
      <c r="B433">
        <v>800</v>
      </c>
      <c r="C433">
        <v>3</v>
      </c>
    </row>
    <row r="434" spans="1:3" x14ac:dyDescent="0.2">
      <c r="A434" s="4">
        <v>2766</v>
      </c>
      <c r="B434">
        <v>300</v>
      </c>
      <c r="C434">
        <v>3</v>
      </c>
    </row>
    <row r="435" spans="1:3" x14ac:dyDescent="0.2">
      <c r="A435" s="4">
        <v>2774</v>
      </c>
      <c r="B435">
        <v>300</v>
      </c>
      <c r="C435">
        <v>3</v>
      </c>
    </row>
    <row r="436" spans="1:3" x14ac:dyDescent="0.2">
      <c r="A436" s="4">
        <v>6242</v>
      </c>
      <c r="B436">
        <v>3355</v>
      </c>
      <c r="C436">
        <v>3</v>
      </c>
    </row>
    <row r="437" spans="1:3" x14ac:dyDescent="0.2">
      <c r="A437" s="4">
        <v>6743</v>
      </c>
      <c r="B437">
        <v>500</v>
      </c>
      <c r="C437">
        <v>3</v>
      </c>
    </row>
    <row r="438" spans="1:3" x14ac:dyDescent="0.2">
      <c r="A438" s="4">
        <v>1911</v>
      </c>
      <c r="B438">
        <v>510</v>
      </c>
      <c r="C438">
        <v>3</v>
      </c>
    </row>
    <row r="439" spans="1:3" x14ac:dyDescent="0.2">
      <c r="A439" s="4">
        <v>2182</v>
      </c>
      <c r="B439">
        <v>350</v>
      </c>
      <c r="C439">
        <v>3</v>
      </c>
    </row>
    <row r="440" spans="1:3" x14ac:dyDescent="0.2">
      <c r="A440" s="4">
        <v>910</v>
      </c>
      <c r="B440">
        <v>350</v>
      </c>
      <c r="C440">
        <v>3</v>
      </c>
    </row>
    <row r="441" spans="1:3" x14ac:dyDescent="0.2">
      <c r="A441" s="4">
        <v>2115</v>
      </c>
      <c r="B441">
        <v>350</v>
      </c>
      <c r="C441">
        <v>3</v>
      </c>
    </row>
    <row r="442" spans="1:3" x14ac:dyDescent="0.2">
      <c r="A442" s="4">
        <v>2576</v>
      </c>
      <c r="B442">
        <v>350</v>
      </c>
      <c r="C442">
        <v>3</v>
      </c>
    </row>
    <row r="443" spans="1:3" x14ac:dyDescent="0.2">
      <c r="A443" s="4">
        <v>2591</v>
      </c>
      <c r="B443">
        <v>700</v>
      </c>
      <c r="C443">
        <v>3</v>
      </c>
    </row>
    <row r="444" spans="1:3" x14ac:dyDescent="0.2">
      <c r="A444" s="4">
        <v>548</v>
      </c>
      <c r="B444">
        <v>390</v>
      </c>
      <c r="C444">
        <v>3</v>
      </c>
    </row>
    <row r="445" spans="1:3" x14ac:dyDescent="0.2">
      <c r="A445" s="4">
        <v>5222</v>
      </c>
      <c r="B445">
        <v>400</v>
      </c>
      <c r="C445">
        <v>3</v>
      </c>
    </row>
    <row r="446" spans="1:3" x14ac:dyDescent="0.2">
      <c r="A446" s="4">
        <v>1953</v>
      </c>
      <c r="B446">
        <v>400</v>
      </c>
      <c r="C446">
        <v>3</v>
      </c>
    </row>
    <row r="447" spans="1:3" x14ac:dyDescent="0.2">
      <c r="A447" s="4">
        <v>523</v>
      </c>
      <c r="B447">
        <v>1750</v>
      </c>
      <c r="C447">
        <v>3</v>
      </c>
    </row>
    <row r="448" spans="1:3" x14ac:dyDescent="0.2">
      <c r="A448" s="4">
        <v>1961</v>
      </c>
      <c r="B448">
        <v>1400</v>
      </c>
      <c r="C448">
        <v>3</v>
      </c>
    </row>
    <row r="449" spans="1:3" x14ac:dyDescent="0.2">
      <c r="A449" s="4">
        <v>2820</v>
      </c>
      <c r="B449">
        <v>900</v>
      </c>
      <c r="C449">
        <v>3</v>
      </c>
    </row>
    <row r="450" spans="1:3" x14ac:dyDescent="0.2">
      <c r="A450" s="4">
        <v>6231</v>
      </c>
      <c r="B450">
        <v>400</v>
      </c>
      <c r="C450">
        <v>3</v>
      </c>
    </row>
    <row r="451" spans="1:3" x14ac:dyDescent="0.2">
      <c r="A451" s="4">
        <v>6666</v>
      </c>
      <c r="B451">
        <v>900</v>
      </c>
      <c r="C451">
        <v>3</v>
      </c>
    </row>
    <row r="452" spans="1:3" x14ac:dyDescent="0.2">
      <c r="A452" s="4">
        <v>3262</v>
      </c>
      <c r="B452">
        <v>412</v>
      </c>
      <c r="C452">
        <v>3</v>
      </c>
    </row>
    <row r="453" spans="1:3" x14ac:dyDescent="0.2">
      <c r="A453" s="4">
        <v>5981</v>
      </c>
      <c r="B453">
        <v>420</v>
      </c>
      <c r="C453">
        <v>3</v>
      </c>
    </row>
    <row r="454" spans="1:3" x14ac:dyDescent="0.2">
      <c r="A454" s="4">
        <v>541</v>
      </c>
      <c r="B454">
        <v>430</v>
      </c>
      <c r="C454">
        <v>3</v>
      </c>
    </row>
    <row r="455" spans="1:3" x14ac:dyDescent="0.2">
      <c r="A455" s="4">
        <v>2183</v>
      </c>
      <c r="B455">
        <v>900</v>
      </c>
      <c r="C455">
        <v>3</v>
      </c>
    </row>
    <row r="456" spans="1:3" x14ac:dyDescent="0.2">
      <c r="A456" s="4">
        <v>2613</v>
      </c>
      <c r="B456">
        <v>450</v>
      </c>
      <c r="C456">
        <v>3</v>
      </c>
    </row>
    <row r="457" spans="1:3" x14ac:dyDescent="0.2">
      <c r="A457" s="4">
        <v>2152</v>
      </c>
      <c r="B457">
        <v>460</v>
      </c>
      <c r="C457">
        <v>3</v>
      </c>
    </row>
    <row r="458" spans="1:3" x14ac:dyDescent="0.2">
      <c r="A458" s="4">
        <v>1803</v>
      </c>
      <c r="B458">
        <v>700</v>
      </c>
      <c r="C458">
        <v>3</v>
      </c>
    </row>
    <row r="459" spans="1:3" x14ac:dyDescent="0.2">
      <c r="A459" s="4">
        <v>2839</v>
      </c>
      <c r="B459">
        <v>1100</v>
      </c>
      <c r="C459">
        <v>3</v>
      </c>
    </row>
    <row r="460" spans="1:3" x14ac:dyDescent="0.2">
      <c r="A460" s="4">
        <v>1627</v>
      </c>
      <c r="B460">
        <v>500</v>
      </c>
      <c r="C460">
        <v>3</v>
      </c>
    </row>
    <row r="461" spans="1:3" x14ac:dyDescent="0.2">
      <c r="A461" s="4">
        <v>1681</v>
      </c>
      <c r="B461">
        <v>1200</v>
      </c>
      <c r="C461">
        <v>3</v>
      </c>
    </row>
    <row r="462" spans="1:3" x14ac:dyDescent="0.2">
      <c r="A462" s="4">
        <v>2012</v>
      </c>
      <c r="B462">
        <v>500</v>
      </c>
      <c r="C462">
        <v>3</v>
      </c>
    </row>
    <row r="463" spans="1:3" x14ac:dyDescent="0.2">
      <c r="A463" s="4">
        <v>2161</v>
      </c>
      <c r="B463">
        <v>1255</v>
      </c>
      <c r="C463">
        <v>3</v>
      </c>
    </row>
    <row r="464" spans="1:3" x14ac:dyDescent="0.2">
      <c r="A464" s="4">
        <v>2390</v>
      </c>
      <c r="B464">
        <v>500</v>
      </c>
      <c r="C464">
        <v>3</v>
      </c>
    </row>
    <row r="465" spans="1:3" x14ac:dyDescent="0.2">
      <c r="A465" s="4">
        <v>2710</v>
      </c>
      <c r="B465">
        <v>500</v>
      </c>
      <c r="C465">
        <v>3</v>
      </c>
    </row>
    <row r="466" spans="1:3" x14ac:dyDescent="0.2">
      <c r="A466" s="4">
        <v>2753</v>
      </c>
      <c r="B466">
        <v>500</v>
      </c>
      <c r="C466">
        <v>3</v>
      </c>
    </row>
    <row r="467" spans="1:3" x14ac:dyDescent="0.2">
      <c r="A467" s="4">
        <v>2790</v>
      </c>
      <c r="B467">
        <v>500</v>
      </c>
      <c r="C467">
        <v>3</v>
      </c>
    </row>
    <row r="468" spans="1:3" x14ac:dyDescent="0.2">
      <c r="A468" s="4">
        <v>2870</v>
      </c>
      <c r="B468">
        <v>500</v>
      </c>
      <c r="C468">
        <v>3</v>
      </c>
    </row>
    <row r="469" spans="1:3" x14ac:dyDescent="0.2">
      <c r="A469" s="4">
        <v>3102</v>
      </c>
      <c r="B469">
        <v>1500</v>
      </c>
      <c r="C469">
        <v>3</v>
      </c>
    </row>
    <row r="470" spans="1:3" x14ac:dyDescent="0.2">
      <c r="A470" s="4">
        <v>3269</v>
      </c>
      <c r="B470">
        <v>500</v>
      </c>
      <c r="C470">
        <v>3</v>
      </c>
    </row>
    <row r="471" spans="1:3" x14ac:dyDescent="0.2">
      <c r="A471" s="4">
        <v>5024</v>
      </c>
      <c r="B471">
        <v>500</v>
      </c>
      <c r="C471">
        <v>3</v>
      </c>
    </row>
    <row r="472" spans="1:3" x14ac:dyDescent="0.2">
      <c r="A472" s="4">
        <v>2077</v>
      </c>
      <c r="B472">
        <v>550</v>
      </c>
      <c r="C472">
        <v>3</v>
      </c>
    </row>
    <row r="473" spans="1:3" x14ac:dyDescent="0.2">
      <c r="A473" s="4">
        <v>2321</v>
      </c>
      <c r="B473">
        <v>2150</v>
      </c>
      <c r="C473">
        <v>3</v>
      </c>
    </row>
    <row r="474" spans="1:3" x14ac:dyDescent="0.2">
      <c r="A474" s="4">
        <v>5105</v>
      </c>
      <c r="B474">
        <v>560</v>
      </c>
      <c r="C474">
        <v>3</v>
      </c>
    </row>
    <row r="475" spans="1:3" x14ac:dyDescent="0.2">
      <c r="A475" s="4">
        <v>6161</v>
      </c>
      <c r="B475">
        <v>2192</v>
      </c>
      <c r="C475">
        <v>3</v>
      </c>
    </row>
    <row r="476" spans="1:3" x14ac:dyDescent="0.2">
      <c r="A476" s="4">
        <v>2631</v>
      </c>
      <c r="B476">
        <v>570</v>
      </c>
      <c r="C476">
        <v>3</v>
      </c>
    </row>
    <row r="477" spans="1:3" x14ac:dyDescent="0.2">
      <c r="A477" s="4">
        <v>1825</v>
      </c>
      <c r="B477">
        <v>1200</v>
      </c>
      <c r="C477">
        <v>3</v>
      </c>
    </row>
    <row r="478" spans="1:3" x14ac:dyDescent="0.2">
      <c r="A478" s="4">
        <v>1960</v>
      </c>
      <c r="B478">
        <v>600</v>
      </c>
      <c r="C478">
        <v>3</v>
      </c>
    </row>
    <row r="479" spans="1:3" x14ac:dyDescent="0.2">
      <c r="A479" s="4">
        <v>3140</v>
      </c>
      <c r="B479">
        <v>2600</v>
      </c>
      <c r="C479">
        <v>3</v>
      </c>
    </row>
    <row r="480" spans="1:3" x14ac:dyDescent="0.2">
      <c r="A480" s="4">
        <v>2715</v>
      </c>
      <c r="B480">
        <v>1300</v>
      </c>
      <c r="C480">
        <v>3</v>
      </c>
    </row>
    <row r="481" spans="1:3" x14ac:dyDescent="0.2">
      <c r="A481" s="4">
        <v>2000</v>
      </c>
      <c r="B481">
        <v>600</v>
      </c>
      <c r="C481">
        <v>3</v>
      </c>
    </row>
    <row r="482" spans="1:3" x14ac:dyDescent="0.2">
      <c r="A482" s="4">
        <v>2019</v>
      </c>
      <c r="B482">
        <v>800</v>
      </c>
      <c r="C482">
        <v>3</v>
      </c>
    </row>
    <row r="483" spans="1:3" x14ac:dyDescent="0.2">
      <c r="A483" s="4">
        <v>2484</v>
      </c>
      <c r="B483">
        <v>1500</v>
      </c>
      <c r="C483">
        <v>3</v>
      </c>
    </row>
    <row r="484" spans="1:3" x14ac:dyDescent="0.2">
      <c r="A484" s="4">
        <v>2697</v>
      </c>
      <c r="B484">
        <v>600</v>
      </c>
      <c r="C484">
        <v>3</v>
      </c>
    </row>
    <row r="485" spans="1:3" x14ac:dyDescent="0.2">
      <c r="A485" s="4">
        <v>2810</v>
      </c>
      <c r="B485">
        <v>1400</v>
      </c>
      <c r="C485">
        <v>3</v>
      </c>
    </row>
    <row r="486" spans="1:3" x14ac:dyDescent="0.2">
      <c r="A486" s="4">
        <v>2898</v>
      </c>
      <c r="B486">
        <v>2100</v>
      </c>
      <c r="C486">
        <v>3</v>
      </c>
    </row>
    <row r="487" spans="1:3" x14ac:dyDescent="0.2">
      <c r="A487" s="4">
        <v>3124</v>
      </c>
      <c r="B487">
        <v>700</v>
      </c>
      <c r="C487">
        <v>3</v>
      </c>
    </row>
    <row r="488" spans="1:3" x14ac:dyDescent="0.2">
      <c r="A488" s="4">
        <v>3245</v>
      </c>
      <c r="B488">
        <v>600</v>
      </c>
      <c r="C488">
        <v>3</v>
      </c>
    </row>
    <row r="489" spans="1:3" x14ac:dyDescent="0.2">
      <c r="A489" s="4">
        <v>5562</v>
      </c>
      <c r="B489">
        <v>600</v>
      </c>
      <c r="C489">
        <v>3</v>
      </c>
    </row>
    <row r="490" spans="1:3" x14ac:dyDescent="0.2">
      <c r="A490" s="4">
        <v>6342</v>
      </c>
      <c r="B490">
        <v>600</v>
      </c>
      <c r="C490">
        <v>3</v>
      </c>
    </row>
    <row r="491" spans="1:3" x14ac:dyDescent="0.2">
      <c r="A491" s="4">
        <v>3300</v>
      </c>
      <c r="B491">
        <v>650</v>
      </c>
      <c r="C491">
        <v>3</v>
      </c>
    </row>
    <row r="492" spans="1:3" x14ac:dyDescent="0.2">
      <c r="A492" s="4">
        <v>2399</v>
      </c>
      <c r="B492">
        <v>700</v>
      </c>
      <c r="C492">
        <v>3</v>
      </c>
    </row>
    <row r="493" spans="1:3" x14ac:dyDescent="0.2">
      <c r="A493" s="4">
        <v>2213</v>
      </c>
      <c r="B493">
        <v>700</v>
      </c>
      <c r="C493">
        <v>3</v>
      </c>
    </row>
    <row r="494" spans="1:3" x14ac:dyDescent="0.2">
      <c r="A494" s="4">
        <v>1552</v>
      </c>
      <c r="B494">
        <v>700</v>
      </c>
      <c r="C494">
        <v>3</v>
      </c>
    </row>
    <row r="495" spans="1:3" x14ac:dyDescent="0.2">
      <c r="A495" s="4">
        <v>1687</v>
      </c>
      <c r="B495">
        <v>700</v>
      </c>
      <c r="C495">
        <v>3</v>
      </c>
    </row>
    <row r="496" spans="1:3" x14ac:dyDescent="0.2">
      <c r="A496" s="4">
        <v>1744</v>
      </c>
      <c r="B496">
        <v>2600</v>
      </c>
      <c r="C496">
        <v>3</v>
      </c>
    </row>
    <row r="497" spans="1:3" x14ac:dyDescent="0.2">
      <c r="A497" s="4">
        <v>2416</v>
      </c>
      <c r="B497">
        <v>2200</v>
      </c>
      <c r="C497">
        <v>3</v>
      </c>
    </row>
    <row r="498" spans="1:3" x14ac:dyDescent="0.2">
      <c r="A498" s="4">
        <v>5125</v>
      </c>
      <c r="B498">
        <v>1100</v>
      </c>
      <c r="C498">
        <v>3</v>
      </c>
    </row>
    <row r="499" spans="1:3" x14ac:dyDescent="0.2">
      <c r="A499" s="4">
        <v>5127</v>
      </c>
      <c r="B499">
        <v>2700</v>
      </c>
      <c r="C499">
        <v>3</v>
      </c>
    </row>
    <row r="500" spans="1:3" x14ac:dyDescent="0.2">
      <c r="A500" s="4">
        <v>2545</v>
      </c>
      <c r="B500">
        <v>750</v>
      </c>
      <c r="C500">
        <v>3</v>
      </c>
    </row>
    <row r="501" spans="1:3" x14ac:dyDescent="0.2">
      <c r="A501" s="4">
        <v>2072</v>
      </c>
      <c r="B501">
        <v>750</v>
      </c>
      <c r="C501">
        <v>3</v>
      </c>
    </row>
    <row r="502" spans="1:3" x14ac:dyDescent="0.2">
      <c r="A502" s="4">
        <v>2110</v>
      </c>
      <c r="B502">
        <v>1650</v>
      </c>
      <c r="C502">
        <v>3</v>
      </c>
    </row>
    <row r="503" spans="1:3" x14ac:dyDescent="0.2">
      <c r="A503" s="4">
        <v>2780</v>
      </c>
      <c r="B503">
        <v>3050</v>
      </c>
      <c r="C503">
        <v>3</v>
      </c>
    </row>
    <row r="504" spans="1:3" x14ac:dyDescent="0.2">
      <c r="A504" s="4">
        <v>2933</v>
      </c>
      <c r="B504">
        <v>750</v>
      </c>
      <c r="C504">
        <v>3</v>
      </c>
    </row>
    <row r="505" spans="1:3" x14ac:dyDescent="0.2">
      <c r="A505" s="4">
        <v>6248</v>
      </c>
      <c r="B505">
        <v>750</v>
      </c>
      <c r="C505">
        <v>3</v>
      </c>
    </row>
    <row r="506" spans="1:3" x14ac:dyDescent="0.2">
      <c r="A506" s="4">
        <v>1124</v>
      </c>
      <c r="B506">
        <v>1960</v>
      </c>
      <c r="C506">
        <v>3</v>
      </c>
    </row>
    <row r="507" spans="1:3" x14ac:dyDescent="0.2">
      <c r="A507" s="4">
        <v>1751</v>
      </c>
      <c r="B507">
        <v>3760</v>
      </c>
      <c r="C507">
        <v>3</v>
      </c>
    </row>
    <row r="508" spans="1:3" x14ac:dyDescent="0.2">
      <c r="A508" s="4">
        <v>1735</v>
      </c>
      <c r="B508">
        <v>2100</v>
      </c>
      <c r="C508">
        <v>3</v>
      </c>
    </row>
    <row r="509" spans="1:3" x14ac:dyDescent="0.2">
      <c r="A509" s="4">
        <v>1927</v>
      </c>
      <c r="B509">
        <v>800</v>
      </c>
      <c r="C509">
        <v>3</v>
      </c>
    </row>
    <row r="510" spans="1:3" x14ac:dyDescent="0.2">
      <c r="A510" s="4">
        <v>2186</v>
      </c>
      <c r="B510">
        <v>800</v>
      </c>
      <c r="C510">
        <v>3</v>
      </c>
    </row>
    <row r="511" spans="1:3" x14ac:dyDescent="0.2">
      <c r="A511" s="4">
        <v>2195</v>
      </c>
      <c r="B511">
        <v>1800</v>
      </c>
      <c r="C511">
        <v>3</v>
      </c>
    </row>
    <row r="512" spans="1:3" x14ac:dyDescent="0.2">
      <c r="A512" s="4">
        <v>2404</v>
      </c>
      <c r="B512">
        <v>5800</v>
      </c>
      <c r="C512">
        <v>3</v>
      </c>
    </row>
    <row r="513" spans="1:3" x14ac:dyDescent="0.2">
      <c r="A513" s="4">
        <v>2803</v>
      </c>
      <c r="B513">
        <v>800</v>
      </c>
      <c r="C513">
        <v>3</v>
      </c>
    </row>
    <row r="514" spans="1:3" x14ac:dyDescent="0.2">
      <c r="A514" s="4">
        <v>2964</v>
      </c>
      <c r="B514">
        <v>800</v>
      </c>
      <c r="C514">
        <v>3</v>
      </c>
    </row>
    <row r="515" spans="1:3" x14ac:dyDescent="0.2">
      <c r="A515" s="4">
        <v>2981</v>
      </c>
      <c r="B515">
        <v>3800</v>
      </c>
      <c r="C515">
        <v>3</v>
      </c>
    </row>
    <row r="516" spans="1:3" x14ac:dyDescent="0.2">
      <c r="A516" s="4">
        <v>2992</v>
      </c>
      <c r="B516">
        <v>800</v>
      </c>
      <c r="C516">
        <v>3</v>
      </c>
    </row>
    <row r="517" spans="1:3" x14ac:dyDescent="0.2">
      <c r="A517" s="4">
        <v>5561</v>
      </c>
      <c r="B517">
        <v>4300</v>
      </c>
      <c r="C517">
        <v>3</v>
      </c>
    </row>
    <row r="518" spans="1:3" x14ac:dyDescent="0.2">
      <c r="A518" s="4">
        <v>1814</v>
      </c>
      <c r="B518">
        <v>1020</v>
      </c>
      <c r="C518">
        <v>3</v>
      </c>
    </row>
    <row r="519" spans="1:3" x14ac:dyDescent="0.2">
      <c r="A519" s="4">
        <v>1933</v>
      </c>
      <c r="B519">
        <v>840</v>
      </c>
      <c r="C519">
        <v>3</v>
      </c>
    </row>
    <row r="520" spans="1:3" x14ac:dyDescent="0.2">
      <c r="A520" s="4">
        <v>1732</v>
      </c>
      <c r="B520">
        <v>850</v>
      </c>
      <c r="C520">
        <v>3</v>
      </c>
    </row>
    <row r="521" spans="1:3" x14ac:dyDescent="0.2">
      <c r="A521" s="4">
        <v>1753</v>
      </c>
      <c r="B521">
        <v>2630</v>
      </c>
      <c r="C521">
        <v>3</v>
      </c>
    </row>
    <row r="522" spans="1:3" x14ac:dyDescent="0.2">
      <c r="A522" s="4">
        <v>6086</v>
      </c>
      <c r="B522">
        <v>1900</v>
      </c>
      <c r="C522">
        <v>3</v>
      </c>
    </row>
    <row r="523" spans="1:3" x14ac:dyDescent="0.2">
      <c r="A523" s="4">
        <v>1982</v>
      </c>
      <c r="B523" s="1">
        <v>1000</v>
      </c>
      <c r="C523">
        <v>3</v>
      </c>
    </row>
    <row r="524" spans="1:3" x14ac:dyDescent="0.2">
      <c r="A524" s="4">
        <v>1929</v>
      </c>
      <c r="B524" s="1">
        <v>1700</v>
      </c>
      <c r="C524">
        <v>3</v>
      </c>
    </row>
    <row r="525" spans="1:3" x14ac:dyDescent="0.2">
      <c r="A525" s="4">
        <v>713</v>
      </c>
      <c r="B525" s="1">
        <v>1000</v>
      </c>
      <c r="C525">
        <v>3</v>
      </c>
    </row>
    <row r="526" spans="1:3" x14ac:dyDescent="0.2">
      <c r="A526" s="4">
        <v>1004</v>
      </c>
      <c r="B526" s="1">
        <v>1200</v>
      </c>
      <c r="C526">
        <v>3</v>
      </c>
    </row>
    <row r="527" spans="1:3" x14ac:dyDescent="0.2">
      <c r="A527" s="4">
        <v>1556</v>
      </c>
      <c r="B527" s="1">
        <v>2300</v>
      </c>
      <c r="C527">
        <v>3</v>
      </c>
    </row>
    <row r="528" spans="1:3" x14ac:dyDescent="0.2">
      <c r="A528" s="4">
        <v>1683</v>
      </c>
      <c r="B528" s="1">
        <v>1400</v>
      </c>
      <c r="C528">
        <v>3</v>
      </c>
    </row>
    <row r="529" spans="1:3" x14ac:dyDescent="0.2">
      <c r="A529" s="4">
        <v>1752</v>
      </c>
      <c r="B529" s="1">
        <v>1000</v>
      </c>
      <c r="C529">
        <v>3</v>
      </c>
    </row>
    <row r="530" spans="1:3" x14ac:dyDescent="0.2">
      <c r="A530" s="4">
        <v>1924</v>
      </c>
      <c r="B530" s="1">
        <v>1000</v>
      </c>
      <c r="C530">
        <v>3</v>
      </c>
    </row>
    <row r="531" spans="1:3" x14ac:dyDescent="0.2">
      <c r="A531" s="4">
        <v>1993</v>
      </c>
      <c r="B531" s="1">
        <v>1000</v>
      </c>
      <c r="C531">
        <v>3</v>
      </c>
    </row>
    <row r="532" spans="1:3" x14ac:dyDescent="0.2">
      <c r="A532" s="4">
        <v>2172</v>
      </c>
      <c r="B532" s="1">
        <v>5172</v>
      </c>
      <c r="C532">
        <v>3</v>
      </c>
    </row>
    <row r="533" spans="1:3" x14ac:dyDescent="0.2">
      <c r="A533" s="4">
        <v>2220</v>
      </c>
      <c r="B533" s="1">
        <v>2000</v>
      </c>
      <c r="C533">
        <v>3</v>
      </c>
    </row>
    <row r="534" spans="1:3" x14ac:dyDescent="0.2">
      <c r="A534" s="4">
        <v>2322</v>
      </c>
      <c r="B534" s="1">
        <v>1000</v>
      </c>
      <c r="C534">
        <v>3</v>
      </c>
    </row>
    <row r="535" spans="1:3" x14ac:dyDescent="0.2">
      <c r="A535" s="4">
        <v>2676</v>
      </c>
      <c r="B535" s="1">
        <v>2000</v>
      </c>
      <c r="C535">
        <v>3</v>
      </c>
    </row>
    <row r="536" spans="1:3" x14ac:dyDescent="0.2">
      <c r="A536" s="4">
        <v>2861</v>
      </c>
      <c r="B536" s="1">
        <v>1000</v>
      </c>
      <c r="C536">
        <v>3</v>
      </c>
    </row>
    <row r="537" spans="1:3" x14ac:dyDescent="0.2">
      <c r="A537" s="4">
        <v>2875</v>
      </c>
      <c r="B537" s="1">
        <v>3500</v>
      </c>
      <c r="C537">
        <v>3</v>
      </c>
    </row>
    <row r="538" spans="1:3" x14ac:dyDescent="0.2">
      <c r="A538" s="4">
        <v>2896</v>
      </c>
      <c r="B538" s="1">
        <v>1300</v>
      </c>
      <c r="C538">
        <v>3</v>
      </c>
    </row>
    <row r="539" spans="1:3" x14ac:dyDescent="0.2">
      <c r="A539" s="4">
        <v>2914</v>
      </c>
      <c r="B539" s="1">
        <v>1050</v>
      </c>
      <c r="C539">
        <v>3</v>
      </c>
    </row>
    <row r="540" spans="1:3" x14ac:dyDescent="0.2">
      <c r="A540" s="4">
        <v>5008</v>
      </c>
      <c r="B540" s="1">
        <v>1060</v>
      </c>
      <c r="C540">
        <v>3</v>
      </c>
    </row>
    <row r="541" spans="1:3" x14ac:dyDescent="0.2">
      <c r="A541" s="4">
        <v>2171</v>
      </c>
      <c r="B541" s="1">
        <v>2000</v>
      </c>
      <c r="C541">
        <v>3</v>
      </c>
    </row>
    <row r="542" spans="1:3" x14ac:dyDescent="0.2">
      <c r="A542" s="4">
        <v>3105</v>
      </c>
      <c r="B542" s="1">
        <v>1100</v>
      </c>
      <c r="C542">
        <v>3</v>
      </c>
    </row>
    <row r="543" spans="1:3" x14ac:dyDescent="0.2">
      <c r="A543" s="4">
        <v>2900</v>
      </c>
      <c r="B543" s="1">
        <v>1170</v>
      </c>
      <c r="C543">
        <v>3</v>
      </c>
    </row>
    <row r="544" spans="1:3" x14ac:dyDescent="0.2">
      <c r="A544" s="4">
        <v>1531</v>
      </c>
      <c r="B544" s="1">
        <v>4898</v>
      </c>
      <c r="C544">
        <v>3</v>
      </c>
    </row>
    <row r="545" spans="1:3" x14ac:dyDescent="0.2">
      <c r="A545" s="4">
        <v>1635</v>
      </c>
      <c r="B545" s="1">
        <v>1200</v>
      </c>
      <c r="C545">
        <v>3</v>
      </c>
    </row>
    <row r="546" spans="1:3" x14ac:dyDescent="0.2">
      <c r="A546" s="4">
        <v>1829</v>
      </c>
      <c r="B546" s="1">
        <v>1200</v>
      </c>
      <c r="C546">
        <v>3</v>
      </c>
    </row>
    <row r="547" spans="1:3" x14ac:dyDescent="0.2">
      <c r="A547" s="4">
        <v>2008</v>
      </c>
      <c r="B547" s="1">
        <v>1200</v>
      </c>
      <c r="C547">
        <v>3</v>
      </c>
    </row>
    <row r="548" spans="1:3" x14ac:dyDescent="0.2">
      <c r="A548" s="4">
        <v>2295</v>
      </c>
      <c r="B548" s="1">
        <v>2400</v>
      </c>
      <c r="C548">
        <v>3</v>
      </c>
    </row>
    <row r="549" spans="1:3" x14ac:dyDescent="0.2">
      <c r="A549" s="4">
        <v>2996</v>
      </c>
      <c r="B549" s="1">
        <v>1200</v>
      </c>
      <c r="C549">
        <v>3</v>
      </c>
    </row>
    <row r="550" spans="1:3" x14ac:dyDescent="0.2">
      <c r="A550" s="4">
        <v>3024</v>
      </c>
      <c r="B550" s="1">
        <v>1200</v>
      </c>
      <c r="C550">
        <v>3</v>
      </c>
    </row>
    <row r="551" spans="1:3" x14ac:dyDescent="0.2">
      <c r="A551" s="4">
        <v>3230</v>
      </c>
      <c r="B551" s="1">
        <v>2000</v>
      </c>
      <c r="C551">
        <v>3</v>
      </c>
    </row>
    <row r="552" spans="1:3" x14ac:dyDescent="0.2">
      <c r="A552" s="4">
        <v>5181</v>
      </c>
      <c r="B552" s="1">
        <v>1200</v>
      </c>
      <c r="C552">
        <v>3</v>
      </c>
    </row>
    <row r="553" spans="1:3" x14ac:dyDescent="0.2">
      <c r="A553" s="4">
        <v>2988</v>
      </c>
      <c r="B553" s="1">
        <v>1600</v>
      </c>
      <c r="C553">
        <v>3</v>
      </c>
    </row>
    <row r="554" spans="1:3" x14ac:dyDescent="0.2">
      <c r="A554" s="4">
        <v>5661</v>
      </c>
      <c r="B554" s="1">
        <v>1300</v>
      </c>
      <c r="C554">
        <v>3</v>
      </c>
    </row>
    <row r="555" spans="1:3" x14ac:dyDescent="0.2">
      <c r="A555" s="4">
        <v>2066</v>
      </c>
      <c r="B555" s="1">
        <v>1730</v>
      </c>
      <c r="C555">
        <v>3</v>
      </c>
    </row>
    <row r="556" spans="1:3" x14ac:dyDescent="0.2">
      <c r="A556" s="4">
        <v>3088</v>
      </c>
      <c r="B556" s="1">
        <v>1350</v>
      </c>
      <c r="C556">
        <v>3</v>
      </c>
    </row>
    <row r="557" spans="1:3" x14ac:dyDescent="0.2">
      <c r="A557" s="4">
        <v>5982</v>
      </c>
      <c r="B557" s="1">
        <v>5440</v>
      </c>
      <c r="C557">
        <v>3</v>
      </c>
    </row>
    <row r="558" spans="1:3" x14ac:dyDescent="0.2">
      <c r="A558" s="4">
        <v>1912</v>
      </c>
      <c r="B558" s="1">
        <v>2320</v>
      </c>
      <c r="C558">
        <v>3</v>
      </c>
    </row>
    <row r="559" spans="1:3" x14ac:dyDescent="0.2">
      <c r="A559" s="4">
        <v>6609</v>
      </c>
      <c r="B559" s="1">
        <v>18200</v>
      </c>
      <c r="C559">
        <v>3</v>
      </c>
    </row>
    <row r="560" spans="1:3" x14ac:dyDescent="0.2">
      <c r="A560" s="4">
        <v>1710</v>
      </c>
      <c r="B560" s="1">
        <v>1490</v>
      </c>
      <c r="C560">
        <v>3</v>
      </c>
    </row>
    <row r="561" spans="1:3" x14ac:dyDescent="0.2">
      <c r="A561" s="4">
        <v>2918</v>
      </c>
      <c r="B561" s="1">
        <v>1500</v>
      </c>
      <c r="C561">
        <v>3</v>
      </c>
    </row>
    <row r="562" spans="1:3" x14ac:dyDescent="0.2">
      <c r="A562" s="4">
        <v>1794</v>
      </c>
      <c r="B562" s="1">
        <v>1500</v>
      </c>
      <c r="C562">
        <v>3</v>
      </c>
    </row>
    <row r="563" spans="1:3" x14ac:dyDescent="0.2">
      <c r="A563" s="4">
        <v>1640</v>
      </c>
      <c r="B563" s="1">
        <v>1500</v>
      </c>
      <c r="C563">
        <v>3</v>
      </c>
    </row>
    <row r="564" spans="1:3" x14ac:dyDescent="0.2">
      <c r="A564" s="4">
        <v>1123</v>
      </c>
      <c r="B564" s="1">
        <v>2154</v>
      </c>
      <c r="C564">
        <v>3</v>
      </c>
    </row>
    <row r="565" spans="1:3" x14ac:dyDescent="0.2">
      <c r="A565" s="4">
        <v>1415</v>
      </c>
      <c r="B565" s="1">
        <v>3000</v>
      </c>
      <c r="C565">
        <v>3</v>
      </c>
    </row>
    <row r="566" spans="1:3" x14ac:dyDescent="0.2">
      <c r="A566" s="4">
        <v>1722</v>
      </c>
      <c r="B566" s="1">
        <v>1500</v>
      </c>
      <c r="C566">
        <v>3</v>
      </c>
    </row>
    <row r="567" spans="1:3" x14ac:dyDescent="0.2">
      <c r="A567" s="4">
        <v>1872</v>
      </c>
      <c r="B567" s="1">
        <v>2000</v>
      </c>
      <c r="C567">
        <v>3</v>
      </c>
    </row>
    <row r="568" spans="1:3" x14ac:dyDescent="0.2">
      <c r="A568" s="4">
        <v>2010</v>
      </c>
      <c r="B568" s="1">
        <v>1500</v>
      </c>
      <c r="C568">
        <v>3</v>
      </c>
    </row>
    <row r="569" spans="1:3" x14ac:dyDescent="0.2">
      <c r="A569" s="4">
        <v>2056</v>
      </c>
      <c r="B569" s="1">
        <v>2100</v>
      </c>
      <c r="C569">
        <v>3</v>
      </c>
    </row>
    <row r="570" spans="1:3" x14ac:dyDescent="0.2">
      <c r="A570" s="4">
        <v>2293</v>
      </c>
      <c r="B570" s="1">
        <v>3500</v>
      </c>
      <c r="C570">
        <v>3</v>
      </c>
    </row>
    <row r="571" spans="1:3" x14ac:dyDescent="0.2">
      <c r="A571" s="4">
        <v>2299</v>
      </c>
      <c r="B571" s="1">
        <v>2500</v>
      </c>
      <c r="C571">
        <v>3</v>
      </c>
    </row>
    <row r="572" spans="1:3" x14ac:dyDescent="0.2">
      <c r="A572" s="4">
        <v>2312</v>
      </c>
      <c r="B572" s="1">
        <v>2000</v>
      </c>
      <c r="C572">
        <v>3</v>
      </c>
    </row>
    <row r="573" spans="1:3" x14ac:dyDescent="0.2">
      <c r="A573" s="4">
        <v>2313</v>
      </c>
      <c r="B573" s="1">
        <v>1500</v>
      </c>
      <c r="C573">
        <v>3</v>
      </c>
    </row>
    <row r="574" spans="1:3" x14ac:dyDescent="0.2">
      <c r="A574" s="4">
        <v>2456</v>
      </c>
      <c r="B574" s="1">
        <v>1500</v>
      </c>
      <c r="C574">
        <v>3</v>
      </c>
    </row>
    <row r="575" spans="1:3" x14ac:dyDescent="0.2">
      <c r="A575" s="4">
        <v>2478</v>
      </c>
      <c r="B575" s="1">
        <v>4500</v>
      </c>
      <c r="C575">
        <v>3</v>
      </c>
    </row>
    <row r="576" spans="1:3" x14ac:dyDescent="0.2">
      <c r="A576" s="4">
        <v>2565</v>
      </c>
      <c r="B576" s="1">
        <v>3000</v>
      </c>
      <c r="C576">
        <v>3</v>
      </c>
    </row>
    <row r="577" spans="1:3" x14ac:dyDescent="0.2">
      <c r="A577" s="4">
        <v>2773</v>
      </c>
      <c r="B577" s="1">
        <v>2000</v>
      </c>
      <c r="C577">
        <v>3</v>
      </c>
    </row>
    <row r="578" spans="1:3" x14ac:dyDescent="0.2">
      <c r="A578" s="4">
        <v>2901</v>
      </c>
      <c r="B578" s="1">
        <v>1500</v>
      </c>
      <c r="C578">
        <v>3</v>
      </c>
    </row>
    <row r="579" spans="1:3" x14ac:dyDescent="0.2">
      <c r="A579" s="4">
        <v>3100</v>
      </c>
      <c r="B579" s="1">
        <v>3500</v>
      </c>
      <c r="C579">
        <v>3</v>
      </c>
    </row>
    <row r="580" spans="1:3" x14ac:dyDescent="0.2">
      <c r="A580" s="4">
        <v>3107</v>
      </c>
      <c r="B580" s="1">
        <v>1500</v>
      </c>
      <c r="C580">
        <v>3</v>
      </c>
    </row>
    <row r="581" spans="1:3" x14ac:dyDescent="0.2">
      <c r="A581" s="4">
        <v>2874</v>
      </c>
      <c r="B581" s="1">
        <v>3500</v>
      </c>
      <c r="C581">
        <v>3</v>
      </c>
    </row>
    <row r="582" spans="1:3" x14ac:dyDescent="0.2">
      <c r="A582" s="4">
        <v>5204</v>
      </c>
      <c r="B582" s="1">
        <v>1700</v>
      </c>
      <c r="C582">
        <v>3</v>
      </c>
    </row>
    <row r="583" spans="1:3" x14ac:dyDescent="0.2">
      <c r="A583" s="4">
        <v>2492</v>
      </c>
      <c r="B583" s="1">
        <v>4000</v>
      </c>
      <c r="C583">
        <v>3</v>
      </c>
    </row>
    <row r="584" spans="1:3" x14ac:dyDescent="0.2">
      <c r="A584" s="4">
        <v>2170</v>
      </c>
      <c r="B584" s="1">
        <v>1800</v>
      </c>
      <c r="C584">
        <v>3</v>
      </c>
    </row>
    <row r="585" spans="1:3" x14ac:dyDescent="0.2">
      <c r="A585" s="4">
        <v>1827</v>
      </c>
      <c r="B585" s="1">
        <v>2800</v>
      </c>
      <c r="C585">
        <v>3</v>
      </c>
    </row>
    <row r="586" spans="1:3" x14ac:dyDescent="0.2">
      <c r="A586" s="4">
        <v>2020</v>
      </c>
      <c r="B586" s="1">
        <v>5800</v>
      </c>
      <c r="C586">
        <v>3</v>
      </c>
    </row>
    <row r="587" spans="1:3" x14ac:dyDescent="0.2">
      <c r="A587" s="4">
        <v>2759</v>
      </c>
      <c r="B587" s="1">
        <v>1800</v>
      </c>
      <c r="C587">
        <v>3</v>
      </c>
    </row>
    <row r="588" spans="1:3" x14ac:dyDescent="0.2">
      <c r="A588" s="4">
        <v>2750</v>
      </c>
      <c r="B588" s="1">
        <v>2000</v>
      </c>
      <c r="C588">
        <v>3</v>
      </c>
    </row>
    <row r="589" spans="1:3" x14ac:dyDescent="0.2">
      <c r="A589" s="4">
        <v>1880</v>
      </c>
      <c r="B589" s="1">
        <v>2000</v>
      </c>
      <c r="C589">
        <v>3</v>
      </c>
    </row>
    <row r="590" spans="1:3" x14ac:dyDescent="0.2">
      <c r="A590" s="4">
        <v>1870</v>
      </c>
      <c r="B590" s="1">
        <v>2000</v>
      </c>
      <c r="C590">
        <v>3</v>
      </c>
    </row>
    <row r="591" spans="1:3" x14ac:dyDescent="0.2">
      <c r="A591" s="4">
        <v>1702</v>
      </c>
      <c r="B591" s="1">
        <v>6000</v>
      </c>
      <c r="C591">
        <v>3</v>
      </c>
    </row>
    <row r="592" spans="1:3" x14ac:dyDescent="0.2">
      <c r="A592" s="4">
        <v>1861</v>
      </c>
      <c r="B592" s="1">
        <v>2000</v>
      </c>
      <c r="C592">
        <v>3</v>
      </c>
    </row>
    <row r="593" spans="1:3" x14ac:dyDescent="0.2">
      <c r="A593" s="4">
        <v>1900</v>
      </c>
      <c r="B593" s="1">
        <v>2000</v>
      </c>
      <c r="C593">
        <v>3</v>
      </c>
    </row>
    <row r="594" spans="1:3" x14ac:dyDescent="0.2">
      <c r="A594" s="4">
        <v>1922</v>
      </c>
      <c r="B594" s="1">
        <v>2000</v>
      </c>
      <c r="C594">
        <v>3</v>
      </c>
    </row>
    <row r="595" spans="1:3" x14ac:dyDescent="0.2">
      <c r="A595" s="4">
        <v>2283</v>
      </c>
      <c r="B595" s="1">
        <v>4570</v>
      </c>
      <c r="C595">
        <v>3</v>
      </c>
    </row>
    <row r="596" spans="1:3" x14ac:dyDescent="0.2">
      <c r="A596" s="4">
        <v>2308</v>
      </c>
      <c r="B596" s="1">
        <v>2000</v>
      </c>
      <c r="C596">
        <v>3</v>
      </c>
    </row>
    <row r="597" spans="1:3" x14ac:dyDescent="0.2">
      <c r="A597" s="4">
        <v>2579</v>
      </c>
      <c r="B597" s="1">
        <v>5000</v>
      </c>
      <c r="C597">
        <v>3</v>
      </c>
    </row>
    <row r="598" spans="1:3" x14ac:dyDescent="0.2">
      <c r="A598" s="4">
        <v>2618</v>
      </c>
      <c r="B598" s="1">
        <v>3200</v>
      </c>
      <c r="C598">
        <v>3</v>
      </c>
    </row>
    <row r="599" spans="1:3" x14ac:dyDescent="0.2">
      <c r="A599" s="4">
        <v>2775</v>
      </c>
      <c r="B599" s="1">
        <v>2000</v>
      </c>
      <c r="C599">
        <v>3</v>
      </c>
    </row>
    <row r="600" spans="1:3" x14ac:dyDescent="0.2">
      <c r="A600" s="4">
        <v>3125</v>
      </c>
      <c r="B600" s="1">
        <v>3000</v>
      </c>
      <c r="C600">
        <v>3</v>
      </c>
    </row>
    <row r="601" spans="1:3" x14ac:dyDescent="0.2">
      <c r="A601" s="4">
        <v>5945</v>
      </c>
      <c r="B601" s="1">
        <v>3400</v>
      </c>
      <c r="C601">
        <v>3</v>
      </c>
    </row>
    <row r="602" spans="1:3" x14ac:dyDescent="0.2">
      <c r="A602" s="4">
        <v>6801</v>
      </c>
      <c r="B602" s="1">
        <v>3400</v>
      </c>
      <c r="C602">
        <v>3</v>
      </c>
    </row>
    <row r="603" spans="1:3" x14ac:dyDescent="0.2">
      <c r="A603" s="4">
        <v>2540</v>
      </c>
      <c r="B603" s="1">
        <v>2200</v>
      </c>
      <c r="C603">
        <v>3</v>
      </c>
    </row>
    <row r="604" spans="1:3" x14ac:dyDescent="0.2">
      <c r="A604" s="4">
        <v>2043</v>
      </c>
      <c r="B604" s="1">
        <v>2500</v>
      </c>
      <c r="C604">
        <v>3</v>
      </c>
    </row>
    <row r="605" spans="1:3" x14ac:dyDescent="0.2">
      <c r="A605" s="4">
        <v>2330</v>
      </c>
      <c r="B605" s="1">
        <v>2500</v>
      </c>
      <c r="C605">
        <v>3</v>
      </c>
    </row>
    <row r="606" spans="1:3" x14ac:dyDescent="0.2">
      <c r="A606" s="4">
        <v>1939</v>
      </c>
      <c r="B606" s="1">
        <v>2940</v>
      </c>
      <c r="C606">
        <v>3</v>
      </c>
    </row>
    <row r="607" spans="1:3" x14ac:dyDescent="0.2">
      <c r="A607" s="4">
        <v>1958</v>
      </c>
      <c r="B607" s="1">
        <v>4000</v>
      </c>
      <c r="C607">
        <v>3</v>
      </c>
    </row>
    <row r="608" spans="1:3" x14ac:dyDescent="0.2">
      <c r="A608" s="4">
        <v>1984</v>
      </c>
      <c r="B608" s="1">
        <v>4130</v>
      </c>
      <c r="C608">
        <v>3</v>
      </c>
    </row>
    <row r="609" spans="1:3" x14ac:dyDescent="0.2">
      <c r="A609" s="4">
        <v>2214</v>
      </c>
      <c r="B609" s="1">
        <v>3200</v>
      </c>
      <c r="C609">
        <v>3</v>
      </c>
    </row>
    <row r="610" spans="1:3" x14ac:dyDescent="0.2">
      <c r="A610" s="4">
        <v>2298</v>
      </c>
      <c r="B610" s="1">
        <v>3300</v>
      </c>
      <c r="C610">
        <v>3</v>
      </c>
    </row>
    <row r="611" spans="1:3" x14ac:dyDescent="0.2">
      <c r="A611" s="4">
        <v>2303</v>
      </c>
      <c r="B611" s="1">
        <v>2880</v>
      </c>
      <c r="C611">
        <v>3</v>
      </c>
    </row>
    <row r="612" spans="1:3" x14ac:dyDescent="0.2">
      <c r="A612" s="4">
        <v>2526</v>
      </c>
      <c r="B612" s="1">
        <v>3300</v>
      </c>
      <c r="C612">
        <v>3</v>
      </c>
    </row>
    <row r="613" spans="1:3" x14ac:dyDescent="0.2">
      <c r="A613" s="4">
        <v>2742</v>
      </c>
      <c r="B613" s="1">
        <v>2600</v>
      </c>
      <c r="C613">
        <v>3</v>
      </c>
    </row>
    <row r="614" spans="1:3" x14ac:dyDescent="0.2">
      <c r="A614" s="4">
        <v>2166</v>
      </c>
      <c r="B614" s="1">
        <v>2800</v>
      </c>
      <c r="C614">
        <v>3</v>
      </c>
    </row>
    <row r="615" spans="1:3" x14ac:dyDescent="0.2">
      <c r="A615" s="4">
        <v>2164</v>
      </c>
      <c r="B615" s="1">
        <v>2800</v>
      </c>
      <c r="C615">
        <v>3</v>
      </c>
    </row>
    <row r="616" spans="1:3" x14ac:dyDescent="0.2">
      <c r="A616" s="4">
        <v>2176</v>
      </c>
      <c r="B616" s="1">
        <v>2800</v>
      </c>
      <c r="C616">
        <v>3</v>
      </c>
    </row>
    <row r="617" spans="1:3" x14ac:dyDescent="0.2">
      <c r="A617" s="4">
        <v>2905</v>
      </c>
      <c r="B617" s="1">
        <v>2940</v>
      </c>
      <c r="C617">
        <v>3</v>
      </c>
    </row>
    <row r="618" spans="1:3" x14ac:dyDescent="0.2">
      <c r="A618" s="4">
        <v>2258</v>
      </c>
      <c r="B618" s="1">
        <v>3000</v>
      </c>
      <c r="C618">
        <v>3</v>
      </c>
    </row>
    <row r="619" spans="1:3" x14ac:dyDescent="0.2">
      <c r="A619" s="4">
        <v>1800</v>
      </c>
      <c r="B619" s="1">
        <v>3000</v>
      </c>
      <c r="C619">
        <v>3</v>
      </c>
    </row>
    <row r="620" spans="1:3" x14ac:dyDescent="0.2">
      <c r="A620" s="4">
        <v>6802</v>
      </c>
      <c r="B620" s="1">
        <v>3000</v>
      </c>
      <c r="C620">
        <v>3</v>
      </c>
    </row>
    <row r="621" spans="1:3" x14ac:dyDescent="0.2">
      <c r="A621" s="4">
        <v>842</v>
      </c>
      <c r="B621" s="1">
        <v>8000</v>
      </c>
      <c r="C621">
        <v>3</v>
      </c>
    </row>
    <row r="622" spans="1:3" x14ac:dyDescent="0.2">
      <c r="A622" s="4">
        <v>1608</v>
      </c>
      <c r="B622" s="1">
        <v>3000</v>
      </c>
      <c r="C622">
        <v>3</v>
      </c>
    </row>
    <row r="623" spans="1:3" x14ac:dyDescent="0.2">
      <c r="A623" s="4">
        <v>2232</v>
      </c>
      <c r="B623" s="1">
        <v>3000</v>
      </c>
      <c r="C623">
        <v>3</v>
      </c>
    </row>
    <row r="624" spans="1:3" x14ac:dyDescent="0.2">
      <c r="A624" s="4">
        <v>2241</v>
      </c>
      <c r="B624" s="1">
        <v>6000</v>
      </c>
      <c r="C624">
        <v>3</v>
      </c>
    </row>
    <row r="625" spans="1:3" x14ac:dyDescent="0.2">
      <c r="A625" s="4">
        <v>2254</v>
      </c>
      <c r="B625" s="1">
        <v>6000</v>
      </c>
      <c r="C625">
        <v>3</v>
      </c>
    </row>
    <row r="626" spans="1:3" x14ac:dyDescent="0.2">
      <c r="A626" s="4">
        <v>2452</v>
      </c>
      <c r="B626" s="1">
        <v>3000</v>
      </c>
      <c r="C626">
        <v>3</v>
      </c>
    </row>
    <row r="627" spans="1:3" x14ac:dyDescent="0.2">
      <c r="A627" s="4">
        <v>2511</v>
      </c>
      <c r="B627" s="1">
        <v>3000</v>
      </c>
      <c r="C627">
        <v>3</v>
      </c>
    </row>
    <row r="628" spans="1:3" x14ac:dyDescent="0.2">
      <c r="A628" s="4">
        <v>2527</v>
      </c>
      <c r="B628" s="1">
        <v>3000</v>
      </c>
      <c r="C628">
        <v>3</v>
      </c>
    </row>
    <row r="629" spans="1:3" x14ac:dyDescent="0.2">
      <c r="A629" s="4">
        <v>2546</v>
      </c>
      <c r="B629" s="1">
        <v>6500</v>
      </c>
      <c r="C629">
        <v>3</v>
      </c>
    </row>
    <row r="630" spans="1:3" x14ac:dyDescent="0.2">
      <c r="A630" s="4">
        <v>2865</v>
      </c>
      <c r="B630" s="1">
        <v>5900</v>
      </c>
      <c r="C630">
        <v>3</v>
      </c>
    </row>
    <row r="631" spans="1:3" x14ac:dyDescent="0.2">
      <c r="A631" s="4">
        <v>3092</v>
      </c>
      <c r="B631" s="1">
        <v>7000</v>
      </c>
      <c r="C631">
        <v>3</v>
      </c>
    </row>
    <row r="632" spans="1:3" x14ac:dyDescent="0.2">
      <c r="A632" s="4">
        <v>5946</v>
      </c>
      <c r="B632" s="1">
        <v>3800</v>
      </c>
      <c r="C632">
        <v>3</v>
      </c>
    </row>
    <row r="633" spans="1:3" x14ac:dyDescent="0.2">
      <c r="A633" s="4">
        <v>6061</v>
      </c>
      <c r="B633" s="1">
        <v>3500</v>
      </c>
      <c r="C633">
        <v>3</v>
      </c>
    </row>
    <row r="634" spans="1:3" x14ac:dyDescent="0.2">
      <c r="A634" s="4">
        <v>2002</v>
      </c>
      <c r="B634" s="1">
        <v>6700</v>
      </c>
      <c r="C634">
        <v>3</v>
      </c>
    </row>
    <row r="635" spans="1:3" x14ac:dyDescent="0.2">
      <c r="A635" s="4">
        <v>2178</v>
      </c>
      <c r="B635" s="1">
        <v>3200</v>
      </c>
      <c r="C635">
        <v>3</v>
      </c>
    </row>
    <row r="636" spans="1:3" x14ac:dyDescent="0.2">
      <c r="A636" s="4">
        <v>1947</v>
      </c>
      <c r="B636" s="1">
        <v>3735</v>
      </c>
      <c r="C636">
        <v>3</v>
      </c>
    </row>
    <row r="637" spans="1:3" x14ac:dyDescent="0.2">
      <c r="A637" s="4">
        <v>2055</v>
      </c>
      <c r="B637" s="1">
        <v>3500</v>
      </c>
      <c r="C637">
        <v>3</v>
      </c>
    </row>
    <row r="638" spans="1:3" x14ac:dyDescent="0.2">
      <c r="A638" s="4">
        <v>2503</v>
      </c>
      <c r="B638" s="1">
        <v>3500</v>
      </c>
      <c r="C638">
        <v>3</v>
      </c>
    </row>
    <row r="639" spans="1:3" x14ac:dyDescent="0.2">
      <c r="A639" s="4">
        <v>2504</v>
      </c>
      <c r="B639" s="1">
        <v>6500</v>
      </c>
      <c r="C639">
        <v>3</v>
      </c>
    </row>
    <row r="640" spans="1:3" x14ac:dyDescent="0.2">
      <c r="A640" s="4">
        <v>2519</v>
      </c>
      <c r="B640" s="1">
        <v>3500</v>
      </c>
      <c r="C640">
        <v>3</v>
      </c>
    </row>
    <row r="641" spans="1:3" x14ac:dyDescent="0.2">
      <c r="A641" s="4">
        <v>2620</v>
      </c>
      <c r="B641" s="1">
        <v>3500</v>
      </c>
      <c r="C641">
        <v>3</v>
      </c>
    </row>
    <row r="642" spans="1:3" x14ac:dyDescent="0.2">
      <c r="A642" s="4">
        <v>2642</v>
      </c>
      <c r="B642" s="1">
        <v>4027</v>
      </c>
      <c r="C642">
        <v>3</v>
      </c>
    </row>
    <row r="643" spans="1:3" x14ac:dyDescent="0.2">
      <c r="A643" s="4">
        <v>2231</v>
      </c>
      <c r="B643" s="1">
        <v>3550</v>
      </c>
      <c r="C643">
        <v>3</v>
      </c>
    </row>
    <row r="644" spans="1:3" x14ac:dyDescent="0.2">
      <c r="A644" s="4">
        <v>2059</v>
      </c>
      <c r="B644" s="1">
        <v>3625</v>
      </c>
      <c r="C644">
        <v>3</v>
      </c>
    </row>
    <row r="645" spans="1:3" x14ac:dyDescent="0.2">
      <c r="A645" s="4">
        <v>6421</v>
      </c>
      <c r="B645" s="1">
        <v>4095</v>
      </c>
      <c r="C645">
        <v>3</v>
      </c>
    </row>
    <row r="646" spans="1:3" x14ac:dyDescent="0.2">
      <c r="A646" s="4">
        <v>2648</v>
      </c>
      <c r="B646" s="1">
        <v>3750</v>
      </c>
      <c r="C646">
        <v>3</v>
      </c>
    </row>
    <row r="647" spans="1:3" x14ac:dyDescent="0.2">
      <c r="A647" s="4">
        <v>2045</v>
      </c>
      <c r="B647" s="1">
        <v>4000</v>
      </c>
      <c r="C647">
        <v>3</v>
      </c>
    </row>
    <row r="648" spans="1:3" x14ac:dyDescent="0.2">
      <c r="A648" s="4">
        <v>2210</v>
      </c>
      <c r="B648" s="1">
        <v>4400</v>
      </c>
      <c r="C648">
        <v>3</v>
      </c>
    </row>
    <row r="649" spans="1:3" x14ac:dyDescent="0.2">
      <c r="A649" s="4">
        <v>2169</v>
      </c>
      <c r="B649" s="1">
        <v>4000</v>
      </c>
      <c r="C649">
        <v>3</v>
      </c>
    </row>
    <row r="650" spans="1:3" x14ac:dyDescent="0.2">
      <c r="A650" s="4">
        <v>3126</v>
      </c>
      <c r="B650" s="1">
        <v>4400</v>
      </c>
      <c r="C650">
        <v>3</v>
      </c>
    </row>
    <row r="651" spans="1:3" x14ac:dyDescent="0.2">
      <c r="A651" s="4">
        <v>1649</v>
      </c>
      <c r="B651" s="1">
        <v>4080</v>
      </c>
      <c r="C651">
        <v>3</v>
      </c>
    </row>
    <row r="652" spans="1:3" x14ac:dyDescent="0.2">
      <c r="A652" s="4">
        <v>1690</v>
      </c>
      <c r="B652" s="1">
        <v>4400</v>
      </c>
      <c r="C652">
        <v>3</v>
      </c>
    </row>
    <row r="653" spans="1:3" x14ac:dyDescent="0.2">
      <c r="A653" s="4">
        <v>2123</v>
      </c>
      <c r="B653" s="1">
        <v>4500</v>
      </c>
      <c r="C653">
        <v>3</v>
      </c>
    </row>
    <row r="654" spans="1:3" x14ac:dyDescent="0.2">
      <c r="A654" s="4">
        <v>3130</v>
      </c>
      <c r="B654" s="1">
        <v>5700</v>
      </c>
      <c r="C654">
        <v>3</v>
      </c>
    </row>
    <row r="655" spans="1:3" x14ac:dyDescent="0.2">
      <c r="A655" s="4">
        <v>2159</v>
      </c>
      <c r="B655" s="1">
        <v>5150</v>
      </c>
      <c r="C655">
        <v>3</v>
      </c>
    </row>
    <row r="656" spans="1:3" x14ac:dyDescent="0.2">
      <c r="A656" s="4">
        <v>2146</v>
      </c>
      <c r="B656" s="1">
        <v>5480</v>
      </c>
      <c r="C656">
        <v>3</v>
      </c>
    </row>
    <row r="657" spans="1:3" x14ac:dyDescent="0.2">
      <c r="A657" s="4">
        <v>2352</v>
      </c>
      <c r="B657" s="1">
        <v>6000</v>
      </c>
      <c r="C657">
        <v>3</v>
      </c>
    </row>
    <row r="658" spans="1:3" x14ac:dyDescent="0.2">
      <c r="A658" s="4">
        <v>2725</v>
      </c>
      <c r="B658" s="1">
        <v>6000</v>
      </c>
      <c r="C658">
        <v>3</v>
      </c>
    </row>
    <row r="659" spans="1:3" x14ac:dyDescent="0.2">
      <c r="A659" s="4">
        <v>6241</v>
      </c>
      <c r="B659" s="1">
        <v>6000</v>
      </c>
      <c r="C659">
        <v>3</v>
      </c>
    </row>
    <row r="660" spans="1:3" x14ac:dyDescent="0.2">
      <c r="A660" s="4">
        <v>2074</v>
      </c>
      <c r="B660" s="1">
        <v>11250</v>
      </c>
      <c r="C660">
        <v>3</v>
      </c>
    </row>
    <row r="661" spans="1:3" x14ac:dyDescent="0.2">
      <c r="A661" s="4">
        <v>5322</v>
      </c>
      <c r="B661" s="1">
        <v>8400</v>
      </c>
      <c r="C661">
        <v>3</v>
      </c>
    </row>
    <row r="662" spans="1:3" x14ac:dyDescent="0.2">
      <c r="A662" s="4">
        <v>1904</v>
      </c>
      <c r="B662" s="1">
        <v>10000</v>
      </c>
      <c r="C662">
        <v>3</v>
      </c>
    </row>
    <row r="663" spans="1:3" x14ac:dyDescent="0.2">
      <c r="A663" s="4">
        <v>2939</v>
      </c>
      <c r="B663">
        <v>40</v>
      </c>
      <c r="C663">
        <v>2</v>
      </c>
    </row>
    <row r="664" spans="1:3" x14ac:dyDescent="0.2">
      <c r="A664" s="4">
        <v>2714</v>
      </c>
      <c r="B664">
        <v>648</v>
      </c>
      <c r="C664">
        <v>2</v>
      </c>
    </row>
    <row r="665" spans="1:3" x14ac:dyDescent="0.2">
      <c r="A665" s="4">
        <v>1808</v>
      </c>
      <c r="B665">
        <v>50</v>
      </c>
      <c r="C665">
        <v>2</v>
      </c>
    </row>
    <row r="666" spans="1:3" x14ac:dyDescent="0.2">
      <c r="A666" s="4">
        <v>797</v>
      </c>
      <c r="B666">
        <v>1050</v>
      </c>
      <c r="C666">
        <v>2</v>
      </c>
    </row>
    <row r="667" spans="1:3" x14ac:dyDescent="0.2">
      <c r="A667" s="4">
        <v>2534</v>
      </c>
      <c r="B667">
        <v>890</v>
      </c>
      <c r="C667">
        <v>2</v>
      </c>
    </row>
    <row r="668" spans="1:3" x14ac:dyDescent="0.2">
      <c r="A668" s="4">
        <v>1834</v>
      </c>
      <c r="B668">
        <v>94</v>
      </c>
      <c r="C668">
        <v>2</v>
      </c>
    </row>
    <row r="669" spans="1:3" x14ac:dyDescent="0.2">
      <c r="A669" s="4">
        <v>1893</v>
      </c>
      <c r="B669">
        <v>100</v>
      </c>
      <c r="C669">
        <v>2</v>
      </c>
    </row>
    <row r="670" spans="1:3" x14ac:dyDescent="0.2">
      <c r="A670" s="4">
        <v>1952</v>
      </c>
      <c r="B670">
        <v>100</v>
      </c>
      <c r="C670">
        <v>2</v>
      </c>
    </row>
    <row r="671" spans="1:3" x14ac:dyDescent="0.2">
      <c r="A671" s="4">
        <v>2627</v>
      </c>
      <c r="B671">
        <v>1100</v>
      </c>
      <c r="C671">
        <v>2</v>
      </c>
    </row>
    <row r="672" spans="1:3" x14ac:dyDescent="0.2">
      <c r="A672" s="4">
        <v>1602</v>
      </c>
      <c r="B672">
        <v>150</v>
      </c>
      <c r="C672">
        <v>2</v>
      </c>
    </row>
    <row r="673" spans="1:3" x14ac:dyDescent="0.2">
      <c r="A673" s="4">
        <v>2064</v>
      </c>
      <c r="B673">
        <v>150</v>
      </c>
      <c r="C673">
        <v>2</v>
      </c>
    </row>
    <row r="674" spans="1:3" x14ac:dyDescent="0.2">
      <c r="A674" s="4">
        <v>2120</v>
      </c>
      <c r="B674">
        <v>150</v>
      </c>
      <c r="C674">
        <v>2</v>
      </c>
    </row>
    <row r="675" spans="1:3" x14ac:dyDescent="0.2">
      <c r="A675" s="4">
        <v>2333</v>
      </c>
      <c r="B675">
        <v>150</v>
      </c>
      <c r="C675">
        <v>2</v>
      </c>
    </row>
    <row r="676" spans="1:3" x14ac:dyDescent="0.2">
      <c r="A676" s="4">
        <v>2417</v>
      </c>
      <c r="B676">
        <v>350</v>
      </c>
      <c r="C676">
        <v>2</v>
      </c>
    </row>
    <row r="677" spans="1:3" x14ac:dyDescent="0.2">
      <c r="A677" s="4">
        <v>2617</v>
      </c>
      <c r="B677">
        <v>150</v>
      </c>
      <c r="C677">
        <v>2</v>
      </c>
    </row>
    <row r="678" spans="1:3" x14ac:dyDescent="0.2">
      <c r="A678" s="4">
        <v>3141</v>
      </c>
      <c r="B678">
        <v>524</v>
      </c>
      <c r="C678">
        <v>2</v>
      </c>
    </row>
    <row r="679" spans="1:3" x14ac:dyDescent="0.2">
      <c r="A679" s="4">
        <v>2227</v>
      </c>
      <c r="B679">
        <v>180</v>
      </c>
      <c r="C679">
        <v>2</v>
      </c>
    </row>
    <row r="680" spans="1:3" x14ac:dyDescent="0.2">
      <c r="A680" s="4">
        <v>6544</v>
      </c>
      <c r="B680">
        <v>187</v>
      </c>
      <c r="C680">
        <v>2</v>
      </c>
    </row>
    <row r="681" spans="1:3" x14ac:dyDescent="0.2">
      <c r="A681" s="4">
        <v>2779</v>
      </c>
      <c r="B681">
        <v>200</v>
      </c>
      <c r="C681">
        <v>2</v>
      </c>
    </row>
    <row r="682" spans="1:3" x14ac:dyDescent="0.2">
      <c r="A682" s="4">
        <v>957</v>
      </c>
      <c r="B682">
        <v>200</v>
      </c>
      <c r="C682">
        <v>2</v>
      </c>
    </row>
    <row r="683" spans="1:3" x14ac:dyDescent="0.2">
      <c r="A683" s="4">
        <v>2319</v>
      </c>
      <c r="B683">
        <v>200</v>
      </c>
      <c r="C683">
        <v>2</v>
      </c>
    </row>
    <row r="684" spans="1:3" x14ac:dyDescent="0.2">
      <c r="A684" s="4">
        <v>2553</v>
      </c>
      <c r="B684">
        <v>200</v>
      </c>
      <c r="C684">
        <v>2</v>
      </c>
    </row>
    <row r="685" spans="1:3" x14ac:dyDescent="0.2">
      <c r="A685" s="4">
        <v>2756</v>
      </c>
      <c r="B685">
        <v>200</v>
      </c>
      <c r="C685">
        <v>2</v>
      </c>
    </row>
    <row r="686" spans="1:3" x14ac:dyDescent="0.2">
      <c r="A686" s="4">
        <v>3085</v>
      </c>
      <c r="B686">
        <v>600</v>
      </c>
      <c r="C686">
        <v>2</v>
      </c>
    </row>
    <row r="687" spans="1:3" x14ac:dyDescent="0.2">
      <c r="A687" s="4">
        <v>6286</v>
      </c>
      <c r="B687">
        <v>208</v>
      </c>
      <c r="C687">
        <v>2</v>
      </c>
    </row>
    <row r="688" spans="1:3" x14ac:dyDescent="0.2">
      <c r="A688" s="4">
        <v>2984</v>
      </c>
      <c r="B688">
        <v>730</v>
      </c>
      <c r="C688">
        <v>2</v>
      </c>
    </row>
    <row r="689" spans="1:3" x14ac:dyDescent="0.2">
      <c r="A689" s="4">
        <v>3213</v>
      </c>
      <c r="B689">
        <v>1250</v>
      </c>
      <c r="C689">
        <v>2</v>
      </c>
    </row>
    <row r="690" spans="1:3" x14ac:dyDescent="0.2">
      <c r="A690" s="4">
        <v>1945</v>
      </c>
      <c r="B690">
        <v>300</v>
      </c>
      <c r="C690">
        <v>2</v>
      </c>
    </row>
    <row r="691" spans="1:3" x14ac:dyDescent="0.2">
      <c r="A691" s="4">
        <v>908</v>
      </c>
      <c r="B691">
        <v>300</v>
      </c>
      <c r="C691">
        <v>2</v>
      </c>
    </row>
    <row r="692" spans="1:3" x14ac:dyDescent="0.2">
      <c r="A692" s="4">
        <v>2007</v>
      </c>
      <c r="B692">
        <v>600</v>
      </c>
      <c r="C692">
        <v>2</v>
      </c>
    </row>
    <row r="693" spans="1:3" x14ac:dyDescent="0.2">
      <c r="A693" s="4">
        <v>2568</v>
      </c>
      <c r="B693">
        <v>300</v>
      </c>
      <c r="C693">
        <v>2</v>
      </c>
    </row>
    <row r="694" spans="1:3" x14ac:dyDescent="0.2">
      <c r="A694" s="4">
        <v>2603</v>
      </c>
      <c r="B694">
        <v>300</v>
      </c>
      <c r="C694">
        <v>2</v>
      </c>
    </row>
    <row r="695" spans="1:3" x14ac:dyDescent="0.2">
      <c r="A695" s="4">
        <v>2805</v>
      </c>
      <c r="B695">
        <v>1300</v>
      </c>
      <c r="C695">
        <v>2</v>
      </c>
    </row>
    <row r="696" spans="1:3" x14ac:dyDescent="0.2">
      <c r="A696" s="4">
        <v>3190</v>
      </c>
      <c r="B696">
        <v>900</v>
      </c>
      <c r="C696">
        <v>2</v>
      </c>
    </row>
    <row r="697" spans="1:3" x14ac:dyDescent="0.2">
      <c r="A697" s="4">
        <v>3187</v>
      </c>
      <c r="B697">
        <v>315</v>
      </c>
      <c r="C697">
        <v>2</v>
      </c>
    </row>
    <row r="698" spans="1:3" x14ac:dyDescent="0.2">
      <c r="A698" s="4">
        <v>543</v>
      </c>
      <c r="B698">
        <v>680</v>
      </c>
      <c r="C698">
        <v>2</v>
      </c>
    </row>
    <row r="699" spans="1:3" x14ac:dyDescent="0.2">
      <c r="A699" s="4">
        <v>6221</v>
      </c>
      <c r="B699">
        <v>320</v>
      </c>
      <c r="C699">
        <v>2</v>
      </c>
    </row>
    <row r="700" spans="1:3" x14ac:dyDescent="0.2">
      <c r="A700" s="4">
        <v>6264</v>
      </c>
      <c r="B700">
        <v>345</v>
      </c>
      <c r="C700">
        <v>2</v>
      </c>
    </row>
    <row r="701" spans="1:3" x14ac:dyDescent="0.2">
      <c r="A701" s="4">
        <v>2536</v>
      </c>
      <c r="B701">
        <v>350</v>
      </c>
      <c r="C701">
        <v>2</v>
      </c>
    </row>
    <row r="702" spans="1:3" x14ac:dyDescent="0.2">
      <c r="A702" s="4">
        <v>3266</v>
      </c>
      <c r="B702">
        <v>600</v>
      </c>
      <c r="C702">
        <v>2</v>
      </c>
    </row>
    <row r="703" spans="1:3" x14ac:dyDescent="0.2">
      <c r="A703" s="4">
        <v>1741</v>
      </c>
      <c r="B703">
        <v>1450</v>
      </c>
      <c r="C703">
        <v>2</v>
      </c>
    </row>
    <row r="704" spans="1:3" x14ac:dyDescent="0.2">
      <c r="A704" s="4">
        <v>2625</v>
      </c>
      <c r="B704">
        <v>810</v>
      </c>
      <c r="C704">
        <v>2</v>
      </c>
    </row>
    <row r="705" spans="1:3" x14ac:dyDescent="0.2">
      <c r="A705" s="4">
        <v>6665</v>
      </c>
      <c r="B705">
        <v>1190</v>
      </c>
      <c r="C705">
        <v>2</v>
      </c>
    </row>
    <row r="706" spans="1:3" x14ac:dyDescent="0.2">
      <c r="A706" s="4">
        <v>1970</v>
      </c>
      <c r="B706">
        <v>860</v>
      </c>
      <c r="C706">
        <v>2</v>
      </c>
    </row>
    <row r="707" spans="1:3" x14ac:dyDescent="0.2">
      <c r="A707" s="4">
        <v>1633</v>
      </c>
      <c r="B707">
        <v>370</v>
      </c>
      <c r="C707">
        <v>2</v>
      </c>
    </row>
    <row r="708" spans="1:3" x14ac:dyDescent="0.2">
      <c r="A708" s="4">
        <v>1642</v>
      </c>
      <c r="B708">
        <v>768</v>
      </c>
      <c r="C708">
        <v>2</v>
      </c>
    </row>
    <row r="709" spans="1:3" x14ac:dyDescent="0.2">
      <c r="A709" s="4">
        <v>2268</v>
      </c>
      <c r="B709">
        <v>700</v>
      </c>
      <c r="C709">
        <v>2</v>
      </c>
    </row>
    <row r="710" spans="1:3" x14ac:dyDescent="0.2">
      <c r="A710" s="4">
        <v>2030</v>
      </c>
      <c r="B710">
        <v>400</v>
      </c>
      <c r="C710">
        <v>2</v>
      </c>
    </row>
    <row r="711" spans="1:3" x14ac:dyDescent="0.2">
      <c r="A711" s="4">
        <v>2762</v>
      </c>
      <c r="B711">
        <v>400</v>
      </c>
      <c r="C711">
        <v>2</v>
      </c>
    </row>
    <row r="712" spans="1:3" x14ac:dyDescent="0.2">
      <c r="A712" s="4">
        <v>1775</v>
      </c>
      <c r="B712">
        <v>400</v>
      </c>
      <c r="C712">
        <v>2</v>
      </c>
    </row>
    <row r="713" spans="1:3" x14ac:dyDescent="0.2">
      <c r="A713" s="4">
        <v>1774</v>
      </c>
      <c r="B713">
        <v>800</v>
      </c>
      <c r="C713">
        <v>2</v>
      </c>
    </row>
    <row r="714" spans="1:3" x14ac:dyDescent="0.2">
      <c r="A714" s="4">
        <v>1629</v>
      </c>
      <c r="B714">
        <v>400</v>
      </c>
      <c r="C714">
        <v>2</v>
      </c>
    </row>
    <row r="715" spans="1:3" x14ac:dyDescent="0.2">
      <c r="A715" s="4">
        <v>1673</v>
      </c>
      <c r="B715">
        <v>400</v>
      </c>
      <c r="C715">
        <v>2</v>
      </c>
    </row>
    <row r="716" spans="1:3" x14ac:dyDescent="0.2">
      <c r="A716" s="4">
        <v>1899</v>
      </c>
      <c r="B716">
        <v>1400</v>
      </c>
      <c r="C716">
        <v>2</v>
      </c>
    </row>
    <row r="717" spans="1:3" x14ac:dyDescent="0.2">
      <c r="A717" s="4">
        <v>2084</v>
      </c>
      <c r="B717">
        <v>400</v>
      </c>
      <c r="C717">
        <v>2</v>
      </c>
    </row>
    <row r="718" spans="1:3" x14ac:dyDescent="0.2">
      <c r="A718" s="4">
        <v>2310</v>
      </c>
      <c r="B718">
        <v>400</v>
      </c>
      <c r="C718">
        <v>2</v>
      </c>
    </row>
    <row r="719" spans="1:3" x14ac:dyDescent="0.2">
      <c r="A719" s="4">
        <v>2316</v>
      </c>
      <c r="B719">
        <v>400</v>
      </c>
      <c r="C719">
        <v>2</v>
      </c>
    </row>
    <row r="720" spans="1:3" x14ac:dyDescent="0.2">
      <c r="A720" s="4">
        <v>2409</v>
      </c>
      <c r="B720">
        <v>1100</v>
      </c>
      <c r="C720">
        <v>2</v>
      </c>
    </row>
    <row r="721" spans="1:3" x14ac:dyDescent="0.2">
      <c r="A721" s="4">
        <v>2429</v>
      </c>
      <c r="B721">
        <v>2400</v>
      </c>
      <c r="C721">
        <v>2</v>
      </c>
    </row>
    <row r="722" spans="1:3" x14ac:dyDescent="0.2">
      <c r="A722" s="4">
        <v>2493</v>
      </c>
      <c r="B722">
        <v>415</v>
      </c>
      <c r="C722">
        <v>2</v>
      </c>
    </row>
    <row r="723" spans="1:3" x14ac:dyDescent="0.2">
      <c r="A723" s="4">
        <v>2655</v>
      </c>
      <c r="B723">
        <v>1030</v>
      </c>
      <c r="C723">
        <v>2</v>
      </c>
    </row>
    <row r="724" spans="1:3" x14ac:dyDescent="0.2">
      <c r="A724" s="4">
        <v>5027</v>
      </c>
      <c r="B724">
        <v>436</v>
      </c>
      <c r="C724">
        <v>2</v>
      </c>
    </row>
    <row r="725" spans="1:3" x14ac:dyDescent="0.2">
      <c r="A725" s="4">
        <v>2085</v>
      </c>
      <c r="B725">
        <v>1124</v>
      </c>
      <c r="C725">
        <v>2</v>
      </c>
    </row>
    <row r="726" spans="1:3" x14ac:dyDescent="0.2">
      <c r="A726" s="4">
        <v>3055</v>
      </c>
      <c r="B726">
        <v>450</v>
      </c>
      <c r="C726">
        <v>2</v>
      </c>
    </row>
    <row r="727" spans="1:3" x14ac:dyDescent="0.2">
      <c r="A727" s="4">
        <v>2005</v>
      </c>
      <c r="B727">
        <v>450</v>
      </c>
      <c r="C727">
        <v>2</v>
      </c>
    </row>
    <row r="728" spans="1:3" x14ac:dyDescent="0.2">
      <c r="A728" s="4">
        <v>5146</v>
      </c>
      <c r="B728">
        <v>1650</v>
      </c>
      <c r="C728">
        <v>2</v>
      </c>
    </row>
    <row r="729" spans="1:3" x14ac:dyDescent="0.2">
      <c r="A729" s="4">
        <v>6281</v>
      </c>
      <c r="B729">
        <v>1160</v>
      </c>
      <c r="C729">
        <v>2</v>
      </c>
    </row>
    <row r="730" spans="1:3" x14ac:dyDescent="0.2">
      <c r="A730" s="4">
        <v>1451</v>
      </c>
      <c r="B730">
        <v>460</v>
      </c>
      <c r="C730">
        <v>2</v>
      </c>
    </row>
    <row r="731" spans="1:3" x14ac:dyDescent="0.2">
      <c r="A731" s="4">
        <v>1600</v>
      </c>
      <c r="B731">
        <v>960</v>
      </c>
      <c r="C731">
        <v>2</v>
      </c>
    </row>
    <row r="732" spans="1:3" x14ac:dyDescent="0.2">
      <c r="A732" s="4">
        <v>6442</v>
      </c>
      <c r="B732">
        <v>477</v>
      </c>
      <c r="C732">
        <v>2</v>
      </c>
    </row>
    <row r="733" spans="1:3" x14ac:dyDescent="0.2">
      <c r="A733" s="4">
        <v>2067</v>
      </c>
      <c r="B733">
        <v>480</v>
      </c>
      <c r="C733">
        <v>2</v>
      </c>
    </row>
    <row r="734" spans="1:3" x14ac:dyDescent="0.2">
      <c r="A734" s="4">
        <v>3077</v>
      </c>
      <c r="B734">
        <v>500</v>
      </c>
      <c r="C734">
        <v>2</v>
      </c>
    </row>
    <row r="735" spans="1:3" x14ac:dyDescent="0.2">
      <c r="A735" s="4">
        <v>1572</v>
      </c>
      <c r="B735">
        <v>500</v>
      </c>
      <c r="C735">
        <v>2</v>
      </c>
    </row>
    <row r="736" spans="1:3" x14ac:dyDescent="0.2">
      <c r="A736" s="4">
        <v>1599</v>
      </c>
      <c r="B736">
        <v>500</v>
      </c>
      <c r="C736">
        <v>2</v>
      </c>
    </row>
    <row r="737" spans="1:3" x14ac:dyDescent="0.2">
      <c r="A737" s="4">
        <v>1605</v>
      </c>
      <c r="B737">
        <v>500</v>
      </c>
      <c r="C737">
        <v>2</v>
      </c>
    </row>
    <row r="738" spans="1:3" x14ac:dyDescent="0.2">
      <c r="A738" s="4">
        <v>1889</v>
      </c>
      <c r="B738">
        <v>500</v>
      </c>
      <c r="C738">
        <v>2</v>
      </c>
    </row>
    <row r="739" spans="1:3" x14ac:dyDescent="0.2">
      <c r="A739" s="4">
        <v>2121</v>
      </c>
      <c r="B739">
        <v>580</v>
      </c>
      <c r="C739">
        <v>2</v>
      </c>
    </row>
    <row r="740" spans="1:3" x14ac:dyDescent="0.2">
      <c r="A740" s="4">
        <v>2143</v>
      </c>
      <c r="B740">
        <v>500</v>
      </c>
      <c r="C740">
        <v>2</v>
      </c>
    </row>
    <row r="741" spans="1:3" x14ac:dyDescent="0.2">
      <c r="A741" s="4">
        <v>2290</v>
      </c>
      <c r="B741">
        <v>500</v>
      </c>
      <c r="C741">
        <v>2</v>
      </c>
    </row>
    <row r="742" spans="1:3" x14ac:dyDescent="0.2">
      <c r="A742" s="4">
        <v>2339</v>
      </c>
      <c r="B742">
        <v>500</v>
      </c>
      <c r="C742">
        <v>2</v>
      </c>
    </row>
    <row r="743" spans="1:3" x14ac:dyDescent="0.2">
      <c r="A743" s="4">
        <v>2712</v>
      </c>
      <c r="B743">
        <v>500</v>
      </c>
      <c r="C743">
        <v>2</v>
      </c>
    </row>
    <row r="744" spans="1:3" x14ac:dyDescent="0.2">
      <c r="A744" s="4">
        <v>2833</v>
      </c>
      <c r="B744">
        <v>500</v>
      </c>
      <c r="C744">
        <v>2</v>
      </c>
    </row>
    <row r="745" spans="1:3" x14ac:dyDescent="0.2">
      <c r="A745" s="4">
        <v>3052</v>
      </c>
      <c r="B745">
        <v>800</v>
      </c>
      <c r="C745">
        <v>2</v>
      </c>
    </row>
    <row r="746" spans="1:3" x14ac:dyDescent="0.2">
      <c r="A746" s="4">
        <v>3182</v>
      </c>
      <c r="B746">
        <v>1700</v>
      </c>
      <c r="C746">
        <v>2</v>
      </c>
    </row>
    <row r="747" spans="1:3" x14ac:dyDescent="0.2">
      <c r="A747" s="4">
        <v>5122</v>
      </c>
      <c r="B747">
        <v>1250</v>
      </c>
      <c r="C747">
        <v>2</v>
      </c>
    </row>
    <row r="748" spans="1:3" x14ac:dyDescent="0.2">
      <c r="A748" s="4">
        <v>5826</v>
      </c>
      <c r="B748">
        <v>500</v>
      </c>
      <c r="C748">
        <v>2</v>
      </c>
    </row>
    <row r="749" spans="1:3" x14ac:dyDescent="0.2">
      <c r="A749" s="4">
        <v>6042</v>
      </c>
      <c r="B749">
        <v>2000</v>
      </c>
      <c r="C749">
        <v>2</v>
      </c>
    </row>
    <row r="750" spans="1:3" x14ac:dyDescent="0.2">
      <c r="A750" s="4">
        <v>2669</v>
      </c>
      <c r="B750">
        <v>840</v>
      </c>
      <c r="C750">
        <v>2</v>
      </c>
    </row>
    <row r="751" spans="1:3" x14ac:dyDescent="0.2">
      <c r="A751" s="4">
        <v>3053</v>
      </c>
      <c r="B751">
        <v>2520</v>
      </c>
      <c r="C751">
        <v>2</v>
      </c>
    </row>
    <row r="752" spans="1:3" x14ac:dyDescent="0.2">
      <c r="A752" s="4">
        <v>3122</v>
      </c>
      <c r="B752">
        <v>520</v>
      </c>
      <c r="C752">
        <v>2</v>
      </c>
    </row>
    <row r="753" spans="1:3" x14ac:dyDescent="0.2">
      <c r="A753" s="4">
        <v>2482</v>
      </c>
      <c r="B753">
        <v>2535</v>
      </c>
      <c r="C753">
        <v>2</v>
      </c>
    </row>
    <row r="754" spans="1:3" x14ac:dyDescent="0.2">
      <c r="A754" s="4">
        <v>870</v>
      </c>
      <c r="B754">
        <v>1053</v>
      </c>
      <c r="C754">
        <v>2</v>
      </c>
    </row>
    <row r="755" spans="1:3" x14ac:dyDescent="0.2">
      <c r="A755" s="4">
        <v>6781</v>
      </c>
      <c r="B755">
        <v>3340</v>
      </c>
      <c r="C755">
        <v>2</v>
      </c>
    </row>
    <row r="756" spans="1:3" x14ac:dyDescent="0.2">
      <c r="A756" s="4">
        <v>2693</v>
      </c>
      <c r="B756">
        <v>550</v>
      </c>
      <c r="C756">
        <v>2</v>
      </c>
    </row>
    <row r="757" spans="1:3" x14ac:dyDescent="0.2">
      <c r="A757" s="4">
        <v>1907</v>
      </c>
      <c r="B757">
        <v>1975</v>
      </c>
      <c r="C757">
        <v>2</v>
      </c>
    </row>
    <row r="758" spans="1:3" x14ac:dyDescent="0.2">
      <c r="A758" s="4">
        <v>2690</v>
      </c>
      <c r="B758">
        <v>1060</v>
      </c>
      <c r="C758">
        <v>2</v>
      </c>
    </row>
    <row r="759" spans="1:3" x14ac:dyDescent="0.2">
      <c r="A759" s="4">
        <v>2086</v>
      </c>
      <c r="B759">
        <v>570</v>
      </c>
      <c r="C759">
        <v>2</v>
      </c>
    </row>
    <row r="760" spans="1:3" x14ac:dyDescent="0.2">
      <c r="A760" s="4">
        <v>1776</v>
      </c>
      <c r="B760">
        <v>3600</v>
      </c>
      <c r="C760">
        <v>2</v>
      </c>
    </row>
    <row r="761" spans="1:3" x14ac:dyDescent="0.2">
      <c r="A761" s="4">
        <v>6641</v>
      </c>
      <c r="B761">
        <v>2600</v>
      </c>
      <c r="C761">
        <v>2</v>
      </c>
    </row>
    <row r="762" spans="1:3" x14ac:dyDescent="0.2">
      <c r="A762" s="4">
        <v>536</v>
      </c>
      <c r="B762">
        <v>1600</v>
      </c>
      <c r="C762">
        <v>2</v>
      </c>
    </row>
    <row r="763" spans="1:3" x14ac:dyDescent="0.2">
      <c r="A763" s="4">
        <v>1262</v>
      </c>
      <c r="B763">
        <v>5600</v>
      </c>
      <c r="C763">
        <v>2</v>
      </c>
    </row>
    <row r="764" spans="1:3" x14ac:dyDescent="0.2">
      <c r="A764" s="4">
        <v>1637</v>
      </c>
      <c r="B764">
        <v>600</v>
      </c>
      <c r="C764">
        <v>2</v>
      </c>
    </row>
    <row r="765" spans="1:3" x14ac:dyDescent="0.2">
      <c r="A765" s="4">
        <v>2311</v>
      </c>
      <c r="B765">
        <v>1150</v>
      </c>
      <c r="C765">
        <v>2</v>
      </c>
    </row>
    <row r="766" spans="1:3" x14ac:dyDescent="0.2">
      <c r="A766" s="4">
        <v>2387</v>
      </c>
      <c r="B766">
        <v>600</v>
      </c>
      <c r="C766">
        <v>2</v>
      </c>
    </row>
    <row r="767" spans="1:3" x14ac:dyDescent="0.2">
      <c r="A767" s="4">
        <v>2476</v>
      </c>
      <c r="B767">
        <v>600</v>
      </c>
      <c r="C767">
        <v>2</v>
      </c>
    </row>
    <row r="768" spans="1:3" x14ac:dyDescent="0.2">
      <c r="A768" s="4">
        <v>2495</v>
      </c>
      <c r="B768">
        <v>600</v>
      </c>
      <c r="C768">
        <v>2</v>
      </c>
    </row>
    <row r="769" spans="1:3" x14ac:dyDescent="0.2">
      <c r="A769" s="4">
        <v>3170</v>
      </c>
      <c r="B769">
        <v>750</v>
      </c>
      <c r="C769">
        <v>2</v>
      </c>
    </row>
    <row r="770" spans="1:3" x14ac:dyDescent="0.2">
      <c r="A770" s="4">
        <v>3276</v>
      </c>
      <c r="B770">
        <v>600</v>
      </c>
      <c r="C770">
        <v>2</v>
      </c>
    </row>
    <row r="771" spans="1:3" x14ac:dyDescent="0.2">
      <c r="A771" s="4">
        <v>5046</v>
      </c>
      <c r="B771">
        <v>600</v>
      </c>
      <c r="C771">
        <v>2</v>
      </c>
    </row>
    <row r="772" spans="1:3" x14ac:dyDescent="0.2">
      <c r="A772" s="4">
        <v>5188</v>
      </c>
      <c r="B772">
        <v>600</v>
      </c>
      <c r="C772">
        <v>2</v>
      </c>
    </row>
    <row r="773" spans="1:3" x14ac:dyDescent="0.2">
      <c r="A773" s="4">
        <v>2764</v>
      </c>
      <c r="B773">
        <v>2120</v>
      </c>
      <c r="C773">
        <v>2</v>
      </c>
    </row>
    <row r="774" spans="1:3" x14ac:dyDescent="0.2">
      <c r="A774" s="4">
        <v>1298</v>
      </c>
      <c r="B774">
        <v>1480</v>
      </c>
      <c r="C774">
        <v>2</v>
      </c>
    </row>
    <row r="775" spans="1:3" x14ac:dyDescent="0.2">
      <c r="A775" s="4">
        <v>1761</v>
      </c>
      <c r="B775">
        <v>650</v>
      </c>
      <c r="C775">
        <v>2</v>
      </c>
    </row>
    <row r="776" spans="1:3" x14ac:dyDescent="0.2">
      <c r="A776" s="4">
        <v>3291</v>
      </c>
      <c r="B776">
        <v>650</v>
      </c>
      <c r="C776">
        <v>2</v>
      </c>
    </row>
    <row r="777" spans="1:3" x14ac:dyDescent="0.2">
      <c r="A777" s="4">
        <v>5047</v>
      </c>
      <c r="B777">
        <v>650</v>
      </c>
      <c r="C777">
        <v>2</v>
      </c>
    </row>
    <row r="778" spans="1:3" x14ac:dyDescent="0.2">
      <c r="A778" s="4">
        <v>1820</v>
      </c>
      <c r="B778">
        <v>660</v>
      </c>
      <c r="C778">
        <v>2</v>
      </c>
    </row>
    <row r="779" spans="1:3" x14ac:dyDescent="0.2">
      <c r="A779" s="4">
        <v>6246</v>
      </c>
      <c r="B779">
        <v>660</v>
      </c>
      <c r="C779">
        <v>2</v>
      </c>
    </row>
    <row r="780" spans="1:3" x14ac:dyDescent="0.2">
      <c r="A780" s="4">
        <v>2145</v>
      </c>
      <c r="B780">
        <v>680</v>
      </c>
      <c r="C780">
        <v>2</v>
      </c>
    </row>
    <row r="781" spans="1:3" x14ac:dyDescent="0.2">
      <c r="A781" s="4">
        <v>2782</v>
      </c>
      <c r="B781">
        <v>689</v>
      </c>
      <c r="C781">
        <v>2</v>
      </c>
    </row>
    <row r="782" spans="1:3" x14ac:dyDescent="0.2">
      <c r="A782" s="4">
        <v>2890</v>
      </c>
      <c r="B782">
        <v>700</v>
      </c>
      <c r="C782">
        <v>2</v>
      </c>
    </row>
    <row r="783" spans="1:3" x14ac:dyDescent="0.2">
      <c r="A783" s="4">
        <v>2365</v>
      </c>
      <c r="B783">
        <v>3200</v>
      </c>
      <c r="C783">
        <v>2</v>
      </c>
    </row>
    <row r="784" spans="1:3" x14ac:dyDescent="0.2">
      <c r="A784" s="4">
        <v>915</v>
      </c>
      <c r="B784">
        <v>1400</v>
      </c>
      <c r="C784">
        <v>2</v>
      </c>
    </row>
    <row r="785" spans="1:3" x14ac:dyDescent="0.2">
      <c r="A785" s="4">
        <v>1569</v>
      </c>
      <c r="B785">
        <v>1400</v>
      </c>
      <c r="C785">
        <v>2</v>
      </c>
    </row>
    <row r="786" spans="1:3" x14ac:dyDescent="0.2">
      <c r="A786" s="4">
        <v>1595</v>
      </c>
      <c r="B786">
        <v>700</v>
      </c>
      <c r="C786">
        <v>2</v>
      </c>
    </row>
    <row r="787" spans="1:3" x14ac:dyDescent="0.2">
      <c r="A787" s="4">
        <v>1896</v>
      </c>
      <c r="B787">
        <v>700</v>
      </c>
      <c r="C787">
        <v>2</v>
      </c>
    </row>
    <row r="788" spans="1:3" x14ac:dyDescent="0.2">
      <c r="A788" s="4">
        <v>2040</v>
      </c>
      <c r="B788">
        <v>700</v>
      </c>
      <c r="C788">
        <v>2</v>
      </c>
    </row>
    <row r="789" spans="1:3" x14ac:dyDescent="0.2">
      <c r="A789" s="4">
        <v>2076</v>
      </c>
      <c r="B789">
        <v>1000</v>
      </c>
      <c r="C789">
        <v>2</v>
      </c>
    </row>
    <row r="790" spans="1:3" x14ac:dyDescent="0.2">
      <c r="A790" s="4">
        <v>2089</v>
      </c>
      <c r="B790">
        <v>700</v>
      </c>
      <c r="C790">
        <v>2</v>
      </c>
    </row>
    <row r="791" spans="1:3" x14ac:dyDescent="0.2">
      <c r="A791" s="4">
        <v>2103</v>
      </c>
      <c r="B791">
        <v>700</v>
      </c>
      <c r="C791">
        <v>2</v>
      </c>
    </row>
    <row r="792" spans="1:3" x14ac:dyDescent="0.2">
      <c r="A792" s="4">
        <v>2395</v>
      </c>
      <c r="B792">
        <v>700</v>
      </c>
      <c r="C792">
        <v>2</v>
      </c>
    </row>
    <row r="793" spans="1:3" x14ac:dyDescent="0.2">
      <c r="A793" s="4">
        <v>5048</v>
      </c>
      <c r="B793">
        <v>1700</v>
      </c>
      <c r="C793">
        <v>2</v>
      </c>
    </row>
    <row r="794" spans="1:3" x14ac:dyDescent="0.2">
      <c r="A794" s="4">
        <v>1578</v>
      </c>
      <c r="B794">
        <v>1000</v>
      </c>
      <c r="C794">
        <v>2</v>
      </c>
    </row>
    <row r="795" spans="1:3" x14ac:dyDescent="0.2">
      <c r="A795" s="4">
        <v>2628</v>
      </c>
      <c r="B795">
        <v>1250</v>
      </c>
      <c r="C795">
        <v>2</v>
      </c>
    </row>
    <row r="796" spans="1:3" x14ac:dyDescent="0.2">
      <c r="A796" s="4">
        <v>5049</v>
      </c>
      <c r="B796">
        <v>750</v>
      </c>
      <c r="C796">
        <v>2</v>
      </c>
    </row>
    <row r="797" spans="1:3" x14ac:dyDescent="0.2">
      <c r="A797" s="4">
        <v>5823</v>
      </c>
      <c r="B797">
        <v>810</v>
      </c>
      <c r="C797">
        <v>2</v>
      </c>
    </row>
    <row r="798" spans="1:3" x14ac:dyDescent="0.2">
      <c r="A798" s="4">
        <v>5041</v>
      </c>
      <c r="B798">
        <v>760</v>
      </c>
      <c r="C798">
        <v>2</v>
      </c>
    </row>
    <row r="799" spans="1:3" x14ac:dyDescent="0.2">
      <c r="A799" s="4">
        <v>1763</v>
      </c>
      <c r="B799">
        <v>2160</v>
      </c>
      <c r="C799">
        <v>2</v>
      </c>
    </row>
    <row r="800" spans="1:3" x14ac:dyDescent="0.2">
      <c r="A800" s="4">
        <v>2193</v>
      </c>
      <c r="B800">
        <v>800</v>
      </c>
      <c r="C800">
        <v>2</v>
      </c>
    </row>
    <row r="801" spans="1:3" x14ac:dyDescent="0.2">
      <c r="A801" s="4">
        <v>2889</v>
      </c>
      <c r="B801">
        <v>800</v>
      </c>
      <c r="C801">
        <v>2</v>
      </c>
    </row>
    <row r="802" spans="1:3" x14ac:dyDescent="0.2">
      <c r="A802" s="4">
        <v>458</v>
      </c>
      <c r="B802">
        <v>800</v>
      </c>
      <c r="C802">
        <v>2</v>
      </c>
    </row>
    <row r="803" spans="1:3" x14ac:dyDescent="0.2">
      <c r="A803" s="4">
        <v>1521</v>
      </c>
      <c r="B803">
        <v>1500</v>
      </c>
      <c r="C803">
        <v>2</v>
      </c>
    </row>
    <row r="804" spans="1:3" x14ac:dyDescent="0.2">
      <c r="A804" s="4">
        <v>2011</v>
      </c>
      <c r="B804">
        <v>1800</v>
      </c>
      <c r="C804">
        <v>2</v>
      </c>
    </row>
    <row r="805" spans="1:3" x14ac:dyDescent="0.2">
      <c r="A805" s="4">
        <v>2147</v>
      </c>
      <c r="B805">
        <v>1500</v>
      </c>
      <c r="C805">
        <v>2</v>
      </c>
    </row>
    <row r="806" spans="1:3" x14ac:dyDescent="0.2">
      <c r="A806" s="4">
        <v>2304</v>
      </c>
      <c r="B806">
        <v>800</v>
      </c>
      <c r="C806">
        <v>2</v>
      </c>
    </row>
    <row r="807" spans="1:3" x14ac:dyDescent="0.2">
      <c r="A807" s="4">
        <v>3202</v>
      </c>
      <c r="B807">
        <v>800</v>
      </c>
      <c r="C807">
        <v>2</v>
      </c>
    </row>
    <row r="808" spans="1:3" x14ac:dyDescent="0.2">
      <c r="A808" s="4">
        <v>5141</v>
      </c>
      <c r="B808">
        <v>4300</v>
      </c>
      <c r="C808">
        <v>2</v>
      </c>
    </row>
    <row r="809" spans="1:3" x14ac:dyDescent="0.2">
      <c r="A809" s="4">
        <v>2025</v>
      </c>
      <c r="B809">
        <v>870</v>
      </c>
      <c r="C809">
        <v>2</v>
      </c>
    </row>
    <row r="810" spans="1:3" x14ac:dyDescent="0.2">
      <c r="A810" s="4">
        <v>6443</v>
      </c>
      <c r="B810">
        <v>900</v>
      </c>
      <c r="C810">
        <v>2</v>
      </c>
    </row>
    <row r="811" spans="1:3" x14ac:dyDescent="0.2">
      <c r="A811" s="4">
        <v>839</v>
      </c>
      <c r="B811">
        <v>900</v>
      </c>
      <c r="C811">
        <v>2</v>
      </c>
    </row>
    <row r="812" spans="1:3" x14ac:dyDescent="0.2">
      <c r="A812" s="4">
        <v>1780</v>
      </c>
      <c r="B812">
        <v>2900</v>
      </c>
      <c r="C812">
        <v>2</v>
      </c>
    </row>
    <row r="813" spans="1:3" x14ac:dyDescent="0.2">
      <c r="A813" s="4">
        <v>1802</v>
      </c>
      <c r="B813">
        <v>900</v>
      </c>
      <c r="C813">
        <v>2</v>
      </c>
    </row>
    <row r="814" spans="1:3" x14ac:dyDescent="0.2">
      <c r="A814" s="4">
        <v>2091</v>
      </c>
      <c r="B814">
        <v>900</v>
      </c>
      <c r="C814">
        <v>2</v>
      </c>
    </row>
    <row r="815" spans="1:3" x14ac:dyDescent="0.2">
      <c r="A815" s="4">
        <v>5001</v>
      </c>
      <c r="B815">
        <v>900</v>
      </c>
      <c r="C815">
        <v>2</v>
      </c>
    </row>
    <row r="816" spans="1:3" x14ac:dyDescent="0.2">
      <c r="A816" s="4">
        <v>1992</v>
      </c>
      <c r="B816" s="1">
        <v>1500</v>
      </c>
      <c r="C816">
        <v>2</v>
      </c>
    </row>
    <row r="817" spans="1:3" x14ac:dyDescent="0.2">
      <c r="A817" s="4">
        <v>2636</v>
      </c>
      <c r="B817" s="1">
        <v>1000</v>
      </c>
      <c r="C817">
        <v>2</v>
      </c>
    </row>
    <row r="818" spans="1:3" x14ac:dyDescent="0.2">
      <c r="A818" s="4">
        <v>961</v>
      </c>
      <c r="B818" s="1">
        <v>2000</v>
      </c>
      <c r="C818">
        <v>2</v>
      </c>
    </row>
    <row r="819" spans="1:3" x14ac:dyDescent="0.2">
      <c r="A819" s="4">
        <v>2003</v>
      </c>
      <c r="B819" s="1">
        <v>3000</v>
      </c>
      <c r="C819">
        <v>2</v>
      </c>
    </row>
    <row r="820" spans="1:3" x14ac:dyDescent="0.2">
      <c r="A820" s="4">
        <v>2379</v>
      </c>
      <c r="B820" s="1">
        <v>1000</v>
      </c>
      <c r="C820">
        <v>2</v>
      </c>
    </row>
    <row r="821" spans="1:3" x14ac:dyDescent="0.2">
      <c r="A821" s="4">
        <v>2466</v>
      </c>
      <c r="B821" s="1">
        <v>1000</v>
      </c>
      <c r="C821">
        <v>2</v>
      </c>
    </row>
    <row r="822" spans="1:3" x14ac:dyDescent="0.2">
      <c r="A822" s="4">
        <v>2574</v>
      </c>
      <c r="B822" s="1">
        <v>1000</v>
      </c>
      <c r="C822">
        <v>2</v>
      </c>
    </row>
    <row r="823" spans="1:3" x14ac:dyDescent="0.2">
      <c r="A823" s="4">
        <v>2747</v>
      </c>
      <c r="B823" s="1">
        <v>1000</v>
      </c>
      <c r="C823">
        <v>2</v>
      </c>
    </row>
    <row r="824" spans="1:3" x14ac:dyDescent="0.2">
      <c r="A824" s="4">
        <v>2771</v>
      </c>
      <c r="B824" s="1">
        <v>1000</v>
      </c>
      <c r="C824">
        <v>2</v>
      </c>
    </row>
    <row r="825" spans="1:3" x14ac:dyDescent="0.2">
      <c r="A825" s="4">
        <v>3056</v>
      </c>
      <c r="B825" s="1">
        <v>1000</v>
      </c>
      <c r="C825">
        <v>2</v>
      </c>
    </row>
    <row r="826" spans="1:3" x14ac:dyDescent="0.2">
      <c r="A826" s="4">
        <v>3205</v>
      </c>
      <c r="B826" s="1">
        <v>1000</v>
      </c>
      <c r="C826">
        <v>2</v>
      </c>
    </row>
    <row r="827" spans="1:3" x14ac:dyDescent="0.2">
      <c r="A827" s="4">
        <v>6282</v>
      </c>
      <c r="B827" s="1">
        <v>1000</v>
      </c>
      <c r="C827">
        <v>2</v>
      </c>
    </row>
    <row r="828" spans="1:3" x14ac:dyDescent="0.2">
      <c r="A828" s="4">
        <v>6982</v>
      </c>
      <c r="B828" s="1">
        <v>1000</v>
      </c>
      <c r="C828">
        <v>2</v>
      </c>
    </row>
    <row r="829" spans="1:3" x14ac:dyDescent="0.2">
      <c r="A829" s="4">
        <v>1565</v>
      </c>
      <c r="B829" s="1">
        <v>1015</v>
      </c>
      <c r="C829">
        <v>2</v>
      </c>
    </row>
    <row r="830" spans="1:3" x14ac:dyDescent="0.2">
      <c r="A830" s="4">
        <v>2113</v>
      </c>
      <c r="B830" s="1">
        <v>1707</v>
      </c>
      <c r="C830">
        <v>2</v>
      </c>
    </row>
    <row r="831" spans="1:3" x14ac:dyDescent="0.2">
      <c r="A831" s="4">
        <v>2850</v>
      </c>
      <c r="B831" s="1">
        <v>1094</v>
      </c>
      <c r="C831">
        <v>2</v>
      </c>
    </row>
    <row r="832" spans="1:3" x14ac:dyDescent="0.2">
      <c r="A832" s="4">
        <v>1890</v>
      </c>
      <c r="B832" s="1">
        <v>1167</v>
      </c>
      <c r="C832">
        <v>2</v>
      </c>
    </row>
    <row r="833" spans="1:3" x14ac:dyDescent="0.2">
      <c r="A833" s="4">
        <v>2397</v>
      </c>
      <c r="B833" s="1">
        <v>2000</v>
      </c>
      <c r="C833">
        <v>2</v>
      </c>
    </row>
    <row r="834" spans="1:3" x14ac:dyDescent="0.2">
      <c r="A834" s="4">
        <v>2612</v>
      </c>
      <c r="B834" s="1">
        <v>1200</v>
      </c>
      <c r="C834">
        <v>2</v>
      </c>
    </row>
    <row r="835" spans="1:3" x14ac:dyDescent="0.2">
      <c r="A835" s="4">
        <v>5005</v>
      </c>
      <c r="B835" s="1">
        <v>1200</v>
      </c>
      <c r="C835">
        <v>2</v>
      </c>
    </row>
    <row r="836" spans="1:3" x14ac:dyDescent="0.2">
      <c r="A836" s="4">
        <v>5461</v>
      </c>
      <c r="B836" s="1">
        <v>6200</v>
      </c>
      <c r="C836">
        <v>2</v>
      </c>
    </row>
    <row r="837" spans="1:3" x14ac:dyDescent="0.2">
      <c r="A837" s="4">
        <v>3128</v>
      </c>
      <c r="B837" s="1">
        <v>1230</v>
      </c>
      <c r="C837">
        <v>2</v>
      </c>
    </row>
    <row r="838" spans="1:3" x14ac:dyDescent="0.2">
      <c r="A838" s="4">
        <v>1666</v>
      </c>
      <c r="B838" s="1">
        <v>1300</v>
      </c>
      <c r="C838">
        <v>2</v>
      </c>
    </row>
    <row r="839" spans="1:3" x14ac:dyDescent="0.2">
      <c r="A839" s="4">
        <v>1551</v>
      </c>
      <c r="B839" s="1">
        <v>1350</v>
      </c>
      <c r="C839">
        <v>2</v>
      </c>
    </row>
    <row r="840" spans="1:3" x14ac:dyDescent="0.2">
      <c r="A840" s="4">
        <v>2683</v>
      </c>
      <c r="B840" s="1">
        <v>1400</v>
      </c>
      <c r="C840">
        <v>2</v>
      </c>
    </row>
    <row r="841" spans="1:3" x14ac:dyDescent="0.2">
      <c r="A841" s="4">
        <v>2490</v>
      </c>
      <c r="B841" s="1">
        <v>2475</v>
      </c>
      <c r="C841">
        <v>2</v>
      </c>
    </row>
    <row r="842" spans="1:3" x14ac:dyDescent="0.2">
      <c r="A842" s="4">
        <v>2886</v>
      </c>
      <c r="B842" s="1">
        <v>1500</v>
      </c>
      <c r="C842">
        <v>2</v>
      </c>
    </row>
    <row r="843" spans="1:3" x14ac:dyDescent="0.2">
      <c r="A843" s="4">
        <v>1724</v>
      </c>
      <c r="B843" s="1">
        <v>5500</v>
      </c>
      <c r="C843">
        <v>2</v>
      </c>
    </row>
    <row r="844" spans="1:3" x14ac:dyDescent="0.2">
      <c r="A844" s="4">
        <v>1657</v>
      </c>
      <c r="B844" s="1">
        <v>1500</v>
      </c>
      <c r="C844">
        <v>2</v>
      </c>
    </row>
    <row r="845" spans="1:3" x14ac:dyDescent="0.2">
      <c r="A845" s="4">
        <v>1754</v>
      </c>
      <c r="B845" s="1">
        <v>2700</v>
      </c>
      <c r="C845">
        <v>2</v>
      </c>
    </row>
    <row r="846" spans="1:3" x14ac:dyDescent="0.2">
      <c r="A846" s="4">
        <v>1816</v>
      </c>
      <c r="B846" s="1">
        <v>1500</v>
      </c>
      <c r="C846">
        <v>2</v>
      </c>
    </row>
    <row r="847" spans="1:3" x14ac:dyDescent="0.2">
      <c r="A847" s="4">
        <v>2614</v>
      </c>
      <c r="B847" s="1">
        <v>1500</v>
      </c>
      <c r="C847">
        <v>2</v>
      </c>
    </row>
    <row r="848" spans="1:3" x14ac:dyDescent="0.2">
      <c r="A848" s="4">
        <v>2228</v>
      </c>
      <c r="B848" s="1">
        <v>1600</v>
      </c>
      <c r="C848">
        <v>2</v>
      </c>
    </row>
    <row r="849" spans="1:3" x14ac:dyDescent="0.2">
      <c r="A849" s="4">
        <v>1887</v>
      </c>
      <c r="B849" s="1">
        <v>4520</v>
      </c>
      <c r="C849">
        <v>2</v>
      </c>
    </row>
    <row r="850" spans="1:3" x14ac:dyDescent="0.2">
      <c r="A850" s="4">
        <v>5066</v>
      </c>
      <c r="B850" s="1">
        <v>2000</v>
      </c>
      <c r="C850">
        <v>2</v>
      </c>
    </row>
    <row r="851" spans="1:3" x14ac:dyDescent="0.2">
      <c r="A851" s="4">
        <v>974</v>
      </c>
      <c r="B851" s="1">
        <v>2000</v>
      </c>
      <c r="C851">
        <v>2</v>
      </c>
    </row>
    <row r="852" spans="1:3" x14ac:dyDescent="0.2">
      <c r="A852" s="4">
        <v>1795</v>
      </c>
      <c r="B852" s="1">
        <v>3300</v>
      </c>
      <c r="C852">
        <v>2</v>
      </c>
    </row>
    <row r="853" spans="1:3" x14ac:dyDescent="0.2">
      <c r="A853" s="4">
        <v>2215</v>
      </c>
      <c r="B853" s="1">
        <v>2000</v>
      </c>
      <c r="C853">
        <v>2</v>
      </c>
    </row>
    <row r="854" spans="1:3" x14ac:dyDescent="0.2">
      <c r="A854" s="4">
        <v>5187</v>
      </c>
      <c r="B854" s="1">
        <v>2000</v>
      </c>
      <c r="C854">
        <v>2</v>
      </c>
    </row>
    <row r="855" spans="1:3" x14ac:dyDescent="0.2">
      <c r="A855" s="4">
        <v>2487</v>
      </c>
      <c r="B855" s="1">
        <v>3700</v>
      </c>
      <c r="C855">
        <v>2</v>
      </c>
    </row>
    <row r="856" spans="1:3" x14ac:dyDescent="0.2">
      <c r="A856" s="4">
        <v>2260</v>
      </c>
      <c r="B856" s="1">
        <v>2500</v>
      </c>
      <c r="C856">
        <v>2</v>
      </c>
    </row>
    <row r="857" spans="1:3" x14ac:dyDescent="0.2">
      <c r="A857" s="4">
        <v>2471</v>
      </c>
      <c r="B857" s="1">
        <v>2500</v>
      </c>
      <c r="C857">
        <v>2</v>
      </c>
    </row>
    <row r="858" spans="1:3" x14ac:dyDescent="0.2">
      <c r="A858" s="4">
        <v>2485</v>
      </c>
      <c r="B858" s="1">
        <v>2500</v>
      </c>
      <c r="C858">
        <v>2</v>
      </c>
    </row>
    <row r="859" spans="1:3" x14ac:dyDescent="0.2">
      <c r="A859" s="4">
        <v>1544</v>
      </c>
      <c r="B859" s="1">
        <v>2600</v>
      </c>
      <c r="C859">
        <v>2</v>
      </c>
    </row>
    <row r="860" spans="1:3" x14ac:dyDescent="0.2">
      <c r="A860" s="4">
        <v>1628</v>
      </c>
      <c r="B860" s="1">
        <v>3151</v>
      </c>
      <c r="C860">
        <v>2</v>
      </c>
    </row>
    <row r="861" spans="1:3" x14ac:dyDescent="0.2">
      <c r="A861" s="4">
        <v>1684</v>
      </c>
      <c r="B861" s="1">
        <v>2940</v>
      </c>
      <c r="C861">
        <v>2</v>
      </c>
    </row>
    <row r="862" spans="1:3" x14ac:dyDescent="0.2">
      <c r="A862" s="4">
        <v>3137</v>
      </c>
      <c r="B862" s="1">
        <v>3000</v>
      </c>
      <c r="C862">
        <v>2</v>
      </c>
    </row>
    <row r="863" spans="1:3" x14ac:dyDescent="0.2">
      <c r="A863" s="4">
        <v>2483</v>
      </c>
      <c r="B863" s="1">
        <v>5000</v>
      </c>
      <c r="C863">
        <v>2</v>
      </c>
    </row>
    <row r="864" spans="1:3" x14ac:dyDescent="0.2">
      <c r="A864" s="4">
        <v>5881</v>
      </c>
      <c r="B864" s="1">
        <v>3000</v>
      </c>
      <c r="C864">
        <v>2</v>
      </c>
    </row>
    <row r="865" spans="1:3" x14ac:dyDescent="0.2">
      <c r="A865" s="4">
        <v>1895</v>
      </c>
      <c r="B865" s="1">
        <v>3000</v>
      </c>
      <c r="C865">
        <v>2</v>
      </c>
    </row>
    <row r="866" spans="1:3" x14ac:dyDescent="0.2">
      <c r="A866" s="4">
        <v>2068</v>
      </c>
      <c r="B866" s="1">
        <v>5700</v>
      </c>
      <c r="C866">
        <v>2</v>
      </c>
    </row>
    <row r="867" spans="1:3" x14ac:dyDescent="0.2">
      <c r="A867" s="4">
        <v>2302</v>
      </c>
      <c r="B867" s="1">
        <v>4500</v>
      </c>
      <c r="C867">
        <v>2</v>
      </c>
    </row>
    <row r="868" spans="1:3" x14ac:dyDescent="0.2">
      <c r="A868" s="4">
        <v>2224</v>
      </c>
      <c r="B868" s="1">
        <v>5000</v>
      </c>
      <c r="C868">
        <v>2</v>
      </c>
    </row>
    <row r="869" spans="1:3" x14ac:dyDescent="0.2">
      <c r="A869" s="4">
        <v>1833</v>
      </c>
      <c r="B869" s="1">
        <v>9000</v>
      </c>
      <c r="C869">
        <v>2</v>
      </c>
    </row>
    <row r="870" spans="1:3" x14ac:dyDescent="0.2">
      <c r="A870" s="4">
        <v>5144</v>
      </c>
      <c r="B870">
        <v>40</v>
      </c>
      <c r="C870">
        <v>1</v>
      </c>
    </row>
    <row r="871" spans="1:3" x14ac:dyDescent="0.2">
      <c r="A871" s="4">
        <v>2575</v>
      </c>
      <c r="B871">
        <v>50</v>
      </c>
      <c r="C871">
        <v>1</v>
      </c>
    </row>
    <row r="872" spans="1:3" x14ac:dyDescent="0.2">
      <c r="A872" s="4">
        <v>2921</v>
      </c>
      <c r="B872">
        <v>100</v>
      </c>
      <c r="C872">
        <v>1</v>
      </c>
    </row>
    <row r="873" spans="1:3" x14ac:dyDescent="0.2">
      <c r="A873" s="4">
        <v>2201</v>
      </c>
      <c r="B873">
        <v>100</v>
      </c>
      <c r="C873">
        <v>1</v>
      </c>
    </row>
    <row r="874" spans="1:3" x14ac:dyDescent="0.2">
      <c r="A874" s="4">
        <v>2477</v>
      </c>
      <c r="B874">
        <v>100</v>
      </c>
      <c r="C874">
        <v>1</v>
      </c>
    </row>
    <row r="875" spans="1:3" x14ac:dyDescent="0.2">
      <c r="A875" s="4">
        <v>2324</v>
      </c>
      <c r="B875">
        <v>150</v>
      </c>
      <c r="C875">
        <v>1</v>
      </c>
    </row>
    <row r="876" spans="1:3" x14ac:dyDescent="0.2">
      <c r="A876" s="4">
        <v>2689</v>
      </c>
      <c r="B876">
        <v>150</v>
      </c>
      <c r="C876">
        <v>1</v>
      </c>
    </row>
    <row r="877" spans="1:3" x14ac:dyDescent="0.2">
      <c r="A877" s="4">
        <v>1611</v>
      </c>
      <c r="B877">
        <v>160</v>
      </c>
      <c r="C877">
        <v>1</v>
      </c>
    </row>
    <row r="878" spans="1:3" x14ac:dyDescent="0.2">
      <c r="A878" s="4">
        <v>6293</v>
      </c>
      <c r="B878">
        <v>180</v>
      </c>
      <c r="C878">
        <v>1</v>
      </c>
    </row>
    <row r="879" spans="1:3" x14ac:dyDescent="0.2">
      <c r="A879" s="4">
        <v>2111</v>
      </c>
      <c r="B879">
        <v>180</v>
      </c>
      <c r="C879">
        <v>1</v>
      </c>
    </row>
    <row r="880" spans="1:3" x14ac:dyDescent="0.2">
      <c r="A880" s="4">
        <v>2440</v>
      </c>
      <c r="B880">
        <v>200</v>
      </c>
      <c r="C880">
        <v>1</v>
      </c>
    </row>
    <row r="881" spans="1:3" x14ac:dyDescent="0.2">
      <c r="A881" s="4">
        <v>2336</v>
      </c>
      <c r="B881">
        <v>200</v>
      </c>
      <c r="C881">
        <v>1</v>
      </c>
    </row>
    <row r="882" spans="1:3" x14ac:dyDescent="0.2">
      <c r="A882" s="4">
        <v>2347</v>
      </c>
      <c r="B882">
        <v>200</v>
      </c>
      <c r="C882">
        <v>1</v>
      </c>
    </row>
    <row r="883" spans="1:3" x14ac:dyDescent="0.2">
      <c r="A883" s="4">
        <v>2355</v>
      </c>
      <c r="B883">
        <v>200</v>
      </c>
      <c r="C883">
        <v>1</v>
      </c>
    </row>
    <row r="884" spans="1:3" x14ac:dyDescent="0.2">
      <c r="A884" s="4">
        <v>2582</v>
      </c>
      <c r="B884">
        <v>200</v>
      </c>
      <c r="C884">
        <v>1</v>
      </c>
    </row>
    <row r="885" spans="1:3" x14ac:dyDescent="0.2">
      <c r="A885" s="4">
        <v>2606</v>
      </c>
      <c r="B885">
        <v>200</v>
      </c>
      <c r="C885">
        <v>1</v>
      </c>
    </row>
    <row r="886" spans="1:3" x14ac:dyDescent="0.2">
      <c r="A886" s="4">
        <v>2934</v>
      </c>
      <c r="B886">
        <v>200</v>
      </c>
      <c r="C886">
        <v>1</v>
      </c>
    </row>
    <row r="887" spans="1:3" x14ac:dyDescent="0.2">
      <c r="A887" s="4">
        <v>5121</v>
      </c>
      <c r="B887">
        <v>200</v>
      </c>
      <c r="C887">
        <v>1</v>
      </c>
    </row>
    <row r="888" spans="1:3" x14ac:dyDescent="0.2">
      <c r="A888" s="4">
        <v>6245</v>
      </c>
      <c r="B888">
        <v>200</v>
      </c>
      <c r="C888">
        <v>1</v>
      </c>
    </row>
    <row r="889" spans="1:3" x14ac:dyDescent="0.2">
      <c r="A889" s="4">
        <v>2954</v>
      </c>
      <c r="B889">
        <v>208</v>
      </c>
      <c r="C889">
        <v>1</v>
      </c>
    </row>
    <row r="890" spans="1:3" x14ac:dyDescent="0.2">
      <c r="A890" s="4">
        <v>2196</v>
      </c>
      <c r="B890">
        <v>250</v>
      </c>
      <c r="C890">
        <v>1</v>
      </c>
    </row>
    <row r="891" spans="1:3" x14ac:dyDescent="0.2">
      <c r="A891" s="4">
        <v>6701</v>
      </c>
      <c r="B891">
        <v>250</v>
      </c>
      <c r="C891">
        <v>1</v>
      </c>
    </row>
    <row r="892" spans="1:3" x14ac:dyDescent="0.2">
      <c r="A892" s="4">
        <v>1740</v>
      </c>
      <c r="B892">
        <v>270</v>
      </c>
      <c r="C892">
        <v>1</v>
      </c>
    </row>
    <row r="893" spans="1:3" x14ac:dyDescent="0.2">
      <c r="A893" s="4">
        <v>5841</v>
      </c>
      <c r="B893">
        <v>275</v>
      </c>
      <c r="C893">
        <v>1</v>
      </c>
    </row>
    <row r="894" spans="1:3" x14ac:dyDescent="0.2">
      <c r="A894" s="4">
        <v>2424</v>
      </c>
      <c r="B894">
        <v>280</v>
      </c>
      <c r="C894">
        <v>1</v>
      </c>
    </row>
    <row r="895" spans="1:3" x14ac:dyDescent="0.2">
      <c r="A895" s="4">
        <v>2481</v>
      </c>
      <c r="B895">
        <v>280</v>
      </c>
      <c r="C895">
        <v>1</v>
      </c>
    </row>
    <row r="896" spans="1:3" x14ac:dyDescent="0.2">
      <c r="A896" s="4">
        <v>2408</v>
      </c>
      <c r="B896">
        <v>300</v>
      </c>
      <c r="C896">
        <v>1</v>
      </c>
    </row>
    <row r="897" spans="1:3" x14ac:dyDescent="0.2">
      <c r="A897" s="4">
        <v>2615</v>
      </c>
      <c r="B897">
        <v>300</v>
      </c>
      <c r="C897">
        <v>1</v>
      </c>
    </row>
    <row r="898" spans="1:3" x14ac:dyDescent="0.2">
      <c r="A898" s="4">
        <v>2635</v>
      </c>
      <c r="B898">
        <v>300</v>
      </c>
      <c r="C898">
        <v>1</v>
      </c>
    </row>
    <row r="899" spans="1:3" x14ac:dyDescent="0.2">
      <c r="A899" s="4">
        <v>2822</v>
      </c>
      <c r="B899">
        <v>300</v>
      </c>
      <c r="C899">
        <v>1</v>
      </c>
    </row>
    <row r="900" spans="1:3" x14ac:dyDescent="0.2">
      <c r="A900" s="4">
        <v>2854</v>
      </c>
      <c r="B900">
        <v>300</v>
      </c>
      <c r="C900">
        <v>1</v>
      </c>
    </row>
    <row r="901" spans="1:3" x14ac:dyDescent="0.2">
      <c r="A901" s="4">
        <v>2946</v>
      </c>
      <c r="B901">
        <v>300</v>
      </c>
      <c r="C901">
        <v>1</v>
      </c>
    </row>
    <row r="902" spans="1:3" x14ac:dyDescent="0.2">
      <c r="A902" s="4">
        <v>2979</v>
      </c>
      <c r="B902">
        <v>300</v>
      </c>
      <c r="C902">
        <v>1</v>
      </c>
    </row>
    <row r="903" spans="1:3" x14ac:dyDescent="0.2">
      <c r="A903" s="4">
        <v>5011</v>
      </c>
      <c r="B903">
        <v>300</v>
      </c>
      <c r="C903">
        <v>1</v>
      </c>
    </row>
    <row r="904" spans="1:3" x14ac:dyDescent="0.2">
      <c r="A904" s="4">
        <v>5147</v>
      </c>
      <c r="B904">
        <v>300</v>
      </c>
      <c r="C904">
        <v>1</v>
      </c>
    </row>
    <row r="905" spans="1:3" x14ac:dyDescent="0.2">
      <c r="A905" s="4">
        <v>6141</v>
      </c>
      <c r="B905">
        <v>300</v>
      </c>
      <c r="C905">
        <v>1</v>
      </c>
    </row>
    <row r="906" spans="1:3" x14ac:dyDescent="0.2">
      <c r="A906" s="4">
        <v>6343</v>
      </c>
      <c r="B906">
        <v>300</v>
      </c>
      <c r="C906">
        <v>1</v>
      </c>
    </row>
    <row r="907" spans="1:3" x14ac:dyDescent="0.2">
      <c r="A907" s="4">
        <v>5000</v>
      </c>
      <c r="B907">
        <v>320</v>
      </c>
      <c r="C907">
        <v>1</v>
      </c>
    </row>
    <row r="908" spans="1:3" x14ac:dyDescent="0.2">
      <c r="A908" s="4">
        <v>3149</v>
      </c>
      <c r="B908">
        <v>333</v>
      </c>
      <c r="C908">
        <v>1</v>
      </c>
    </row>
    <row r="909" spans="1:3" x14ac:dyDescent="0.2">
      <c r="A909" s="4">
        <v>3138</v>
      </c>
      <c r="B909">
        <v>350</v>
      </c>
      <c r="C909">
        <v>1</v>
      </c>
    </row>
    <row r="910" spans="1:3" x14ac:dyDescent="0.2">
      <c r="A910" s="4">
        <v>1920</v>
      </c>
      <c r="B910">
        <v>350</v>
      </c>
      <c r="C910">
        <v>1</v>
      </c>
    </row>
    <row r="911" spans="1:3" x14ac:dyDescent="0.2">
      <c r="A911" s="4">
        <v>2218</v>
      </c>
      <c r="B911">
        <v>350</v>
      </c>
      <c r="C911">
        <v>1</v>
      </c>
    </row>
    <row r="912" spans="1:3" x14ac:dyDescent="0.2">
      <c r="A912" s="4">
        <v>3134</v>
      </c>
      <c r="B912">
        <v>350</v>
      </c>
      <c r="C912">
        <v>1</v>
      </c>
    </row>
    <row r="913" spans="1:3" x14ac:dyDescent="0.2">
      <c r="A913" s="4">
        <v>3293</v>
      </c>
      <c r="B913">
        <v>380</v>
      </c>
      <c r="C913">
        <v>1</v>
      </c>
    </row>
    <row r="914" spans="1:3" x14ac:dyDescent="0.2">
      <c r="A914" s="4">
        <v>1928</v>
      </c>
      <c r="B914">
        <v>397</v>
      </c>
      <c r="C914">
        <v>1</v>
      </c>
    </row>
    <row r="915" spans="1:3" x14ac:dyDescent="0.2">
      <c r="A915" s="4">
        <v>2380</v>
      </c>
      <c r="B915">
        <v>400</v>
      </c>
      <c r="C915">
        <v>1</v>
      </c>
    </row>
    <row r="916" spans="1:3" x14ac:dyDescent="0.2">
      <c r="A916" s="4">
        <v>2447</v>
      </c>
      <c r="B916">
        <v>400</v>
      </c>
      <c r="C916">
        <v>1</v>
      </c>
    </row>
    <row r="917" spans="1:3" x14ac:dyDescent="0.2">
      <c r="A917" s="4">
        <v>2506</v>
      </c>
      <c r="B917">
        <v>400</v>
      </c>
      <c r="C917">
        <v>1</v>
      </c>
    </row>
    <row r="918" spans="1:3" x14ac:dyDescent="0.2">
      <c r="A918" s="4">
        <v>2799</v>
      </c>
      <c r="B918">
        <v>400</v>
      </c>
      <c r="C918">
        <v>1</v>
      </c>
    </row>
    <row r="919" spans="1:3" x14ac:dyDescent="0.2">
      <c r="A919" s="4">
        <v>2944</v>
      </c>
      <c r="B919">
        <v>400</v>
      </c>
      <c r="C919">
        <v>1</v>
      </c>
    </row>
    <row r="920" spans="1:3" x14ac:dyDescent="0.2">
      <c r="A920" s="4">
        <v>2949</v>
      </c>
      <c r="B920">
        <v>400</v>
      </c>
      <c r="C920">
        <v>1</v>
      </c>
    </row>
    <row r="921" spans="1:3" x14ac:dyDescent="0.2">
      <c r="A921" s="4">
        <v>2976</v>
      </c>
      <c r="B921">
        <v>400</v>
      </c>
      <c r="C921">
        <v>1</v>
      </c>
    </row>
    <row r="922" spans="1:3" x14ac:dyDescent="0.2">
      <c r="A922" s="4">
        <v>2029</v>
      </c>
      <c r="B922">
        <v>421</v>
      </c>
      <c r="C922">
        <v>1</v>
      </c>
    </row>
    <row r="923" spans="1:3" x14ac:dyDescent="0.2">
      <c r="A923" s="4">
        <v>1543</v>
      </c>
      <c r="B923">
        <v>450</v>
      </c>
      <c r="C923">
        <v>1</v>
      </c>
    </row>
    <row r="924" spans="1:3" x14ac:dyDescent="0.2">
      <c r="A924" s="4">
        <v>2499</v>
      </c>
      <c r="B924">
        <v>450</v>
      </c>
      <c r="C924">
        <v>1</v>
      </c>
    </row>
    <row r="925" spans="1:3" x14ac:dyDescent="0.2">
      <c r="A925" s="4">
        <v>2651</v>
      </c>
      <c r="B925">
        <v>450</v>
      </c>
      <c r="C925">
        <v>1</v>
      </c>
    </row>
    <row r="926" spans="1:3" x14ac:dyDescent="0.2">
      <c r="A926" s="4">
        <v>2846</v>
      </c>
      <c r="B926">
        <v>450</v>
      </c>
      <c r="C926">
        <v>1</v>
      </c>
    </row>
    <row r="927" spans="1:3" x14ac:dyDescent="0.2">
      <c r="A927" s="4">
        <v>3095</v>
      </c>
      <c r="B927">
        <v>450</v>
      </c>
      <c r="C927">
        <v>1</v>
      </c>
    </row>
    <row r="928" spans="1:3" x14ac:dyDescent="0.2">
      <c r="A928" s="4">
        <v>6662</v>
      </c>
      <c r="B928">
        <v>450</v>
      </c>
      <c r="C928">
        <v>1</v>
      </c>
    </row>
    <row r="929" spans="1:3" x14ac:dyDescent="0.2">
      <c r="A929" s="4">
        <v>2955</v>
      </c>
      <c r="B929">
        <v>480</v>
      </c>
      <c r="C929">
        <v>1</v>
      </c>
    </row>
    <row r="930" spans="1:3" x14ac:dyDescent="0.2">
      <c r="A930" s="4">
        <v>1826</v>
      </c>
      <c r="B930">
        <v>500</v>
      </c>
      <c r="C930">
        <v>1</v>
      </c>
    </row>
    <row r="931" spans="1:3" x14ac:dyDescent="0.2">
      <c r="A931" s="4">
        <v>6621</v>
      </c>
      <c r="B931">
        <v>500</v>
      </c>
      <c r="C931">
        <v>1</v>
      </c>
    </row>
    <row r="932" spans="1:3" x14ac:dyDescent="0.2">
      <c r="A932" s="4">
        <v>2899</v>
      </c>
      <c r="B932">
        <v>500</v>
      </c>
      <c r="C932">
        <v>1</v>
      </c>
    </row>
    <row r="933" spans="1:3" x14ac:dyDescent="0.2">
      <c r="A933" s="4">
        <v>878</v>
      </c>
      <c r="B933">
        <v>500</v>
      </c>
      <c r="C933">
        <v>1</v>
      </c>
    </row>
    <row r="934" spans="1:3" x14ac:dyDescent="0.2">
      <c r="A934" s="4">
        <v>1575</v>
      </c>
      <c r="B934">
        <v>500</v>
      </c>
      <c r="C934">
        <v>1</v>
      </c>
    </row>
    <row r="935" spans="1:3" x14ac:dyDescent="0.2">
      <c r="A935" s="4">
        <v>1643</v>
      </c>
      <c r="B935">
        <v>500</v>
      </c>
      <c r="C935">
        <v>1</v>
      </c>
    </row>
    <row r="936" spans="1:3" x14ac:dyDescent="0.2">
      <c r="A936" s="4">
        <v>2071</v>
      </c>
      <c r="B936">
        <v>500</v>
      </c>
      <c r="C936">
        <v>1</v>
      </c>
    </row>
    <row r="937" spans="1:3" x14ac:dyDescent="0.2">
      <c r="A937" s="4">
        <v>2094</v>
      </c>
      <c r="B937">
        <v>500</v>
      </c>
      <c r="C937">
        <v>1</v>
      </c>
    </row>
    <row r="938" spans="1:3" x14ac:dyDescent="0.2">
      <c r="A938" s="4">
        <v>2129</v>
      </c>
      <c r="B938">
        <v>500</v>
      </c>
      <c r="C938">
        <v>1</v>
      </c>
    </row>
    <row r="939" spans="1:3" x14ac:dyDescent="0.2">
      <c r="A939" s="4">
        <v>2272</v>
      </c>
      <c r="B939">
        <v>500</v>
      </c>
      <c r="C939">
        <v>1</v>
      </c>
    </row>
    <row r="940" spans="1:3" x14ac:dyDescent="0.2">
      <c r="A940" s="4">
        <v>2315</v>
      </c>
      <c r="B940">
        <v>500</v>
      </c>
      <c r="C940">
        <v>1</v>
      </c>
    </row>
    <row r="941" spans="1:3" x14ac:dyDescent="0.2">
      <c r="A941" s="4">
        <v>2320</v>
      </c>
      <c r="B941">
        <v>500</v>
      </c>
      <c r="C941">
        <v>1</v>
      </c>
    </row>
    <row r="942" spans="1:3" x14ac:dyDescent="0.2">
      <c r="A942" s="4">
        <v>2431</v>
      </c>
      <c r="B942">
        <v>500</v>
      </c>
      <c r="C942">
        <v>1</v>
      </c>
    </row>
    <row r="943" spans="1:3" x14ac:dyDescent="0.2">
      <c r="A943" s="4">
        <v>2550</v>
      </c>
      <c r="B943">
        <v>500</v>
      </c>
      <c r="C943">
        <v>1</v>
      </c>
    </row>
    <row r="944" spans="1:3" x14ac:dyDescent="0.2">
      <c r="A944" s="4">
        <v>2607</v>
      </c>
      <c r="B944">
        <v>500</v>
      </c>
      <c r="C944">
        <v>1</v>
      </c>
    </row>
    <row r="945" spans="1:3" x14ac:dyDescent="0.2">
      <c r="A945" s="4">
        <v>2783</v>
      </c>
      <c r="B945">
        <v>500</v>
      </c>
      <c r="C945">
        <v>1</v>
      </c>
    </row>
    <row r="946" spans="1:3" x14ac:dyDescent="0.2">
      <c r="A946" s="4">
        <v>2857</v>
      </c>
      <c r="B946">
        <v>500</v>
      </c>
      <c r="C946">
        <v>1</v>
      </c>
    </row>
    <row r="947" spans="1:3" x14ac:dyDescent="0.2">
      <c r="A947" s="4">
        <v>2945</v>
      </c>
      <c r="B947">
        <v>500</v>
      </c>
      <c r="C947">
        <v>1</v>
      </c>
    </row>
    <row r="948" spans="1:3" x14ac:dyDescent="0.2">
      <c r="A948" s="4">
        <v>2968</v>
      </c>
      <c r="B948">
        <v>500</v>
      </c>
      <c r="C948">
        <v>1</v>
      </c>
    </row>
    <row r="949" spans="1:3" x14ac:dyDescent="0.2">
      <c r="A949" s="4">
        <v>2989</v>
      </c>
      <c r="B949">
        <v>500</v>
      </c>
      <c r="C949">
        <v>1</v>
      </c>
    </row>
    <row r="950" spans="1:3" x14ac:dyDescent="0.2">
      <c r="A950" s="4">
        <v>2999</v>
      </c>
      <c r="B950">
        <v>500</v>
      </c>
      <c r="C950">
        <v>1</v>
      </c>
    </row>
    <row r="951" spans="1:3" x14ac:dyDescent="0.2">
      <c r="A951" s="4">
        <v>3075</v>
      </c>
      <c r="B951">
        <v>500</v>
      </c>
      <c r="C951">
        <v>1</v>
      </c>
    </row>
    <row r="952" spans="1:3" x14ac:dyDescent="0.2">
      <c r="A952" s="4">
        <v>3167</v>
      </c>
      <c r="B952">
        <v>500</v>
      </c>
      <c r="C952">
        <v>1</v>
      </c>
    </row>
    <row r="953" spans="1:3" x14ac:dyDescent="0.2">
      <c r="A953" s="4">
        <v>3180</v>
      </c>
      <c r="B953">
        <v>500</v>
      </c>
      <c r="C953">
        <v>1</v>
      </c>
    </row>
    <row r="954" spans="1:3" x14ac:dyDescent="0.2">
      <c r="A954" s="4">
        <v>3183</v>
      </c>
      <c r="B954">
        <v>500</v>
      </c>
      <c r="C954">
        <v>1</v>
      </c>
    </row>
    <row r="955" spans="1:3" x14ac:dyDescent="0.2">
      <c r="A955" s="4">
        <v>3233</v>
      </c>
      <c r="B955">
        <v>500</v>
      </c>
      <c r="C955">
        <v>1</v>
      </c>
    </row>
    <row r="956" spans="1:3" x14ac:dyDescent="0.2">
      <c r="A956" s="4">
        <v>5142</v>
      </c>
      <c r="B956">
        <v>500</v>
      </c>
      <c r="C956">
        <v>1</v>
      </c>
    </row>
    <row r="957" spans="1:3" x14ac:dyDescent="0.2">
      <c r="A957" s="4">
        <v>2597</v>
      </c>
      <c r="B957">
        <v>540</v>
      </c>
      <c r="C957">
        <v>1</v>
      </c>
    </row>
    <row r="958" spans="1:3" x14ac:dyDescent="0.2">
      <c r="A958" s="4">
        <v>167</v>
      </c>
      <c r="B958">
        <v>550</v>
      </c>
      <c r="C958">
        <v>1</v>
      </c>
    </row>
    <row r="959" spans="1:3" x14ac:dyDescent="0.2">
      <c r="A959" s="4">
        <v>2757</v>
      </c>
      <c r="B959">
        <v>550</v>
      </c>
      <c r="C959">
        <v>1</v>
      </c>
    </row>
    <row r="960" spans="1:3" x14ac:dyDescent="0.2">
      <c r="A960" s="4">
        <v>3238</v>
      </c>
      <c r="B960">
        <v>600</v>
      </c>
      <c r="C960">
        <v>1</v>
      </c>
    </row>
    <row r="961" spans="1:3" x14ac:dyDescent="0.2">
      <c r="A961" s="4">
        <v>2436</v>
      </c>
      <c r="B961">
        <v>600</v>
      </c>
      <c r="C961">
        <v>1</v>
      </c>
    </row>
    <row r="962" spans="1:3" x14ac:dyDescent="0.2">
      <c r="A962" s="4">
        <v>895</v>
      </c>
      <c r="B962">
        <v>600</v>
      </c>
      <c r="C962">
        <v>1</v>
      </c>
    </row>
    <row r="963" spans="1:3" x14ac:dyDescent="0.2">
      <c r="A963" s="4">
        <v>1452</v>
      </c>
      <c r="B963">
        <v>600</v>
      </c>
      <c r="C963">
        <v>1</v>
      </c>
    </row>
    <row r="964" spans="1:3" x14ac:dyDescent="0.2">
      <c r="A964" s="4">
        <v>1545</v>
      </c>
      <c r="B964">
        <v>600</v>
      </c>
      <c r="C964">
        <v>1</v>
      </c>
    </row>
    <row r="965" spans="1:3" x14ac:dyDescent="0.2">
      <c r="A965" s="4">
        <v>1695</v>
      </c>
      <c r="B965">
        <v>600</v>
      </c>
      <c r="C965">
        <v>1</v>
      </c>
    </row>
    <row r="966" spans="1:3" x14ac:dyDescent="0.2">
      <c r="A966" s="4">
        <v>2044</v>
      </c>
      <c r="B966">
        <v>600</v>
      </c>
      <c r="C966">
        <v>1</v>
      </c>
    </row>
    <row r="967" spans="1:3" x14ac:dyDescent="0.2">
      <c r="A967" s="4">
        <v>2256</v>
      </c>
      <c r="B967">
        <v>600</v>
      </c>
      <c r="C967">
        <v>1</v>
      </c>
    </row>
    <row r="968" spans="1:3" x14ac:dyDescent="0.2">
      <c r="A968" s="4">
        <v>2386</v>
      </c>
      <c r="B968">
        <v>600</v>
      </c>
      <c r="C968">
        <v>1</v>
      </c>
    </row>
    <row r="969" spans="1:3" x14ac:dyDescent="0.2">
      <c r="A969" s="4">
        <v>2444</v>
      </c>
      <c r="B969">
        <v>600</v>
      </c>
      <c r="C969">
        <v>1</v>
      </c>
    </row>
    <row r="970" spans="1:3" x14ac:dyDescent="0.2">
      <c r="A970" s="4">
        <v>2520</v>
      </c>
      <c r="B970">
        <v>600</v>
      </c>
      <c r="C970">
        <v>1</v>
      </c>
    </row>
    <row r="971" spans="1:3" x14ac:dyDescent="0.2">
      <c r="A971" s="4">
        <v>2595</v>
      </c>
      <c r="B971">
        <v>600</v>
      </c>
      <c r="C971">
        <v>1</v>
      </c>
    </row>
    <row r="972" spans="1:3" x14ac:dyDescent="0.2">
      <c r="A972" s="4">
        <v>2668</v>
      </c>
      <c r="B972">
        <v>600</v>
      </c>
      <c r="C972">
        <v>1</v>
      </c>
    </row>
    <row r="973" spans="1:3" x14ac:dyDescent="0.2">
      <c r="A973" s="4">
        <v>2947</v>
      </c>
      <c r="B973">
        <v>600</v>
      </c>
      <c r="C973">
        <v>1</v>
      </c>
    </row>
    <row r="974" spans="1:3" x14ac:dyDescent="0.2">
      <c r="A974" s="4">
        <v>3116</v>
      </c>
      <c r="B974">
        <v>600</v>
      </c>
      <c r="C974">
        <v>1</v>
      </c>
    </row>
    <row r="975" spans="1:3" x14ac:dyDescent="0.2">
      <c r="A975" s="4">
        <v>6127</v>
      </c>
      <c r="B975">
        <v>600</v>
      </c>
      <c r="C975">
        <v>1</v>
      </c>
    </row>
    <row r="976" spans="1:3" x14ac:dyDescent="0.2">
      <c r="A976" s="4">
        <v>5941</v>
      </c>
      <c r="B976">
        <v>620</v>
      </c>
      <c r="C976">
        <v>1</v>
      </c>
    </row>
    <row r="977" spans="1:3" x14ac:dyDescent="0.2">
      <c r="A977" s="4">
        <v>2309</v>
      </c>
      <c r="B977">
        <v>650</v>
      </c>
      <c r="C977">
        <v>1</v>
      </c>
    </row>
    <row r="978" spans="1:3" x14ac:dyDescent="0.2">
      <c r="A978" s="4">
        <v>6249</v>
      </c>
      <c r="B978">
        <v>650</v>
      </c>
      <c r="C978">
        <v>1</v>
      </c>
    </row>
    <row r="979" spans="1:3" x14ac:dyDescent="0.2">
      <c r="A979" s="4">
        <v>5182</v>
      </c>
      <c r="B979">
        <v>690</v>
      </c>
      <c r="C979">
        <v>1</v>
      </c>
    </row>
    <row r="980" spans="1:3" x14ac:dyDescent="0.2">
      <c r="A980" s="4">
        <v>2052</v>
      </c>
      <c r="B980">
        <v>700</v>
      </c>
      <c r="C980">
        <v>1</v>
      </c>
    </row>
    <row r="981" spans="1:3" x14ac:dyDescent="0.2">
      <c r="A981" s="4">
        <v>1721</v>
      </c>
      <c r="B981">
        <v>700</v>
      </c>
      <c r="C981">
        <v>1</v>
      </c>
    </row>
    <row r="982" spans="1:3" x14ac:dyDescent="0.2">
      <c r="A982" s="4">
        <v>6545</v>
      </c>
      <c r="B982">
        <v>700</v>
      </c>
      <c r="C982">
        <v>1</v>
      </c>
    </row>
    <row r="983" spans="1:3" x14ac:dyDescent="0.2">
      <c r="A983" s="4">
        <v>6661</v>
      </c>
      <c r="B983">
        <v>700</v>
      </c>
      <c r="C983">
        <v>1</v>
      </c>
    </row>
    <row r="984" spans="1:3" x14ac:dyDescent="0.2">
      <c r="A984" s="4">
        <v>1875</v>
      </c>
      <c r="B984">
        <v>700</v>
      </c>
      <c r="C984">
        <v>1</v>
      </c>
    </row>
    <row r="985" spans="1:3" x14ac:dyDescent="0.2">
      <c r="A985" s="4">
        <v>2158</v>
      </c>
      <c r="B985">
        <v>700</v>
      </c>
      <c r="C985">
        <v>1</v>
      </c>
    </row>
    <row r="986" spans="1:3" x14ac:dyDescent="0.2">
      <c r="A986" s="4">
        <v>1766</v>
      </c>
      <c r="B986">
        <v>700</v>
      </c>
      <c r="C986">
        <v>1</v>
      </c>
    </row>
    <row r="987" spans="1:3" x14ac:dyDescent="0.2">
      <c r="A987" s="4">
        <v>1925</v>
      </c>
      <c r="B987">
        <v>700</v>
      </c>
      <c r="C987">
        <v>1</v>
      </c>
    </row>
    <row r="988" spans="1:3" x14ac:dyDescent="0.2">
      <c r="A988" s="4">
        <v>2184</v>
      </c>
      <c r="B988">
        <v>700</v>
      </c>
      <c r="C988">
        <v>1</v>
      </c>
    </row>
    <row r="989" spans="1:3" x14ac:dyDescent="0.2">
      <c r="A989" s="4">
        <v>2464</v>
      </c>
      <c r="B989">
        <v>700</v>
      </c>
      <c r="C989">
        <v>1</v>
      </c>
    </row>
    <row r="990" spans="1:3" x14ac:dyDescent="0.2">
      <c r="A990" s="4">
        <v>2647</v>
      </c>
      <c r="B990">
        <v>700</v>
      </c>
      <c r="C990">
        <v>1</v>
      </c>
    </row>
    <row r="991" spans="1:3" x14ac:dyDescent="0.2">
      <c r="A991" s="4">
        <v>1663</v>
      </c>
      <c r="B991">
        <v>730</v>
      </c>
      <c r="C991">
        <v>1</v>
      </c>
    </row>
    <row r="992" spans="1:3" x14ac:dyDescent="0.2">
      <c r="A992" s="4">
        <v>2060</v>
      </c>
      <c r="B992">
        <v>750</v>
      </c>
      <c r="C992">
        <v>1</v>
      </c>
    </row>
    <row r="993" spans="1:3" x14ac:dyDescent="0.2">
      <c r="A993" s="4">
        <v>3132</v>
      </c>
      <c r="B993">
        <v>750</v>
      </c>
      <c r="C993">
        <v>1</v>
      </c>
    </row>
    <row r="994" spans="1:3" x14ac:dyDescent="0.2">
      <c r="A994" s="4">
        <v>2049</v>
      </c>
      <c r="B994">
        <v>750</v>
      </c>
      <c r="C994">
        <v>1</v>
      </c>
    </row>
    <row r="995" spans="1:3" x14ac:dyDescent="0.2">
      <c r="A995" s="4">
        <v>3009</v>
      </c>
      <c r="B995">
        <v>750</v>
      </c>
      <c r="C995">
        <v>1</v>
      </c>
    </row>
    <row r="996" spans="1:3" x14ac:dyDescent="0.2">
      <c r="A996" s="4">
        <v>6283</v>
      </c>
      <c r="B996">
        <v>750</v>
      </c>
      <c r="C996">
        <v>1</v>
      </c>
    </row>
    <row r="997" spans="1:3" x14ac:dyDescent="0.2">
      <c r="A997" s="4">
        <v>2629</v>
      </c>
      <c r="B997">
        <v>800</v>
      </c>
      <c r="C997">
        <v>1</v>
      </c>
    </row>
    <row r="998" spans="1:3" x14ac:dyDescent="0.2">
      <c r="A998" s="4">
        <v>2549</v>
      </c>
      <c r="B998">
        <v>800</v>
      </c>
      <c r="C998">
        <v>1</v>
      </c>
    </row>
    <row r="999" spans="1:3" x14ac:dyDescent="0.2">
      <c r="A999" s="4">
        <v>794</v>
      </c>
      <c r="B999">
        <v>800</v>
      </c>
      <c r="C999">
        <v>1</v>
      </c>
    </row>
    <row r="1000" spans="1:3" x14ac:dyDescent="0.2">
      <c r="A1000" s="4">
        <v>1419</v>
      </c>
      <c r="B1000">
        <v>800</v>
      </c>
      <c r="C1000">
        <v>1</v>
      </c>
    </row>
    <row r="1001" spans="1:3" x14ac:dyDescent="0.2">
      <c r="A1001" s="4">
        <v>1450</v>
      </c>
      <c r="B1001">
        <v>800</v>
      </c>
      <c r="C1001">
        <v>1</v>
      </c>
    </row>
    <row r="1002" spans="1:3" x14ac:dyDescent="0.2">
      <c r="A1002" s="4">
        <v>1700</v>
      </c>
      <c r="B1002">
        <v>800</v>
      </c>
      <c r="C1002">
        <v>1</v>
      </c>
    </row>
    <row r="1003" spans="1:3" x14ac:dyDescent="0.2">
      <c r="A1003" s="4">
        <v>1854</v>
      </c>
      <c r="B1003">
        <v>800</v>
      </c>
      <c r="C1003">
        <v>1</v>
      </c>
    </row>
    <row r="1004" spans="1:3" x14ac:dyDescent="0.2">
      <c r="A1004" s="4">
        <v>2015</v>
      </c>
      <c r="B1004">
        <v>800</v>
      </c>
      <c r="C1004">
        <v>1</v>
      </c>
    </row>
    <row r="1005" spans="1:3" x14ac:dyDescent="0.2">
      <c r="A1005" s="4">
        <v>5148</v>
      </c>
      <c r="B1005">
        <v>800</v>
      </c>
      <c r="C1005">
        <v>1</v>
      </c>
    </row>
    <row r="1006" spans="1:3" x14ac:dyDescent="0.2">
      <c r="A1006" s="4">
        <v>5824</v>
      </c>
      <c r="B1006">
        <v>800</v>
      </c>
      <c r="C1006">
        <v>1</v>
      </c>
    </row>
    <row r="1007" spans="1:3" x14ac:dyDescent="0.2">
      <c r="A1007" s="4">
        <v>6664</v>
      </c>
      <c r="B1007">
        <v>800</v>
      </c>
      <c r="C1007">
        <v>1</v>
      </c>
    </row>
    <row r="1008" spans="1:3" x14ac:dyDescent="0.2">
      <c r="A1008" s="4">
        <v>6861</v>
      </c>
      <c r="B1008">
        <v>800</v>
      </c>
      <c r="C1008">
        <v>1</v>
      </c>
    </row>
    <row r="1009" spans="1:3" x14ac:dyDescent="0.2">
      <c r="A1009" s="4">
        <v>3197</v>
      </c>
      <c r="B1009">
        <v>820</v>
      </c>
      <c r="C1009">
        <v>1</v>
      </c>
    </row>
    <row r="1010" spans="1:3" x14ac:dyDescent="0.2">
      <c r="A1010" s="4">
        <v>1755</v>
      </c>
      <c r="B1010">
        <v>840</v>
      </c>
      <c r="C1010">
        <v>1</v>
      </c>
    </row>
    <row r="1011" spans="1:3" x14ac:dyDescent="0.2">
      <c r="A1011" s="4">
        <v>3181</v>
      </c>
      <c r="B1011">
        <v>892</v>
      </c>
      <c r="C1011">
        <v>1</v>
      </c>
    </row>
    <row r="1012" spans="1:3" x14ac:dyDescent="0.2">
      <c r="A1012" s="4">
        <v>2230</v>
      </c>
      <c r="B1012">
        <v>900</v>
      </c>
      <c r="C1012">
        <v>1</v>
      </c>
    </row>
    <row r="1013" spans="1:3" x14ac:dyDescent="0.2">
      <c r="A1013" s="4">
        <v>3112</v>
      </c>
      <c r="B1013">
        <v>900</v>
      </c>
      <c r="C1013">
        <v>1</v>
      </c>
    </row>
    <row r="1014" spans="1:3" x14ac:dyDescent="0.2">
      <c r="A1014" s="4">
        <v>3179</v>
      </c>
      <c r="B1014">
        <v>900</v>
      </c>
      <c r="C1014">
        <v>1</v>
      </c>
    </row>
    <row r="1015" spans="1:3" x14ac:dyDescent="0.2">
      <c r="A1015" s="4">
        <v>5103</v>
      </c>
      <c r="B1015">
        <v>900</v>
      </c>
      <c r="C1015">
        <v>1</v>
      </c>
    </row>
    <row r="1016" spans="1:3" x14ac:dyDescent="0.2">
      <c r="A1016" s="4">
        <v>6804</v>
      </c>
      <c r="B1016">
        <v>950</v>
      </c>
      <c r="C1016">
        <v>1</v>
      </c>
    </row>
    <row r="1017" spans="1:3" x14ac:dyDescent="0.2">
      <c r="A1017" s="4">
        <v>2893</v>
      </c>
      <c r="B1017">
        <v>995</v>
      </c>
      <c r="C1017">
        <v>1</v>
      </c>
    </row>
    <row r="1018" spans="1:3" x14ac:dyDescent="0.2">
      <c r="A1018" s="4">
        <v>2428</v>
      </c>
      <c r="B1018" s="1">
        <v>1000</v>
      </c>
      <c r="C1018">
        <v>1</v>
      </c>
    </row>
    <row r="1019" spans="1:3" x14ac:dyDescent="0.2">
      <c r="A1019" s="4">
        <v>2643</v>
      </c>
      <c r="B1019" s="1">
        <v>1000</v>
      </c>
      <c r="C1019">
        <v>1</v>
      </c>
    </row>
    <row r="1020" spans="1:3" x14ac:dyDescent="0.2">
      <c r="A1020" s="4">
        <v>2246</v>
      </c>
      <c r="B1020" s="1">
        <v>1000</v>
      </c>
      <c r="C1020">
        <v>1</v>
      </c>
    </row>
    <row r="1021" spans="1:3" x14ac:dyDescent="0.2">
      <c r="A1021" s="4">
        <v>1874</v>
      </c>
      <c r="B1021" s="1">
        <v>1000</v>
      </c>
      <c r="C1021">
        <v>1</v>
      </c>
    </row>
    <row r="1022" spans="1:3" x14ac:dyDescent="0.2">
      <c r="A1022" s="4">
        <v>2342</v>
      </c>
      <c r="B1022" s="1">
        <v>1000</v>
      </c>
      <c r="C1022">
        <v>1</v>
      </c>
    </row>
    <row r="1023" spans="1:3" x14ac:dyDescent="0.2">
      <c r="A1023" s="4">
        <v>5013</v>
      </c>
      <c r="B1023" s="1">
        <v>1000</v>
      </c>
      <c r="C1023">
        <v>1</v>
      </c>
    </row>
    <row r="1024" spans="1:3" x14ac:dyDescent="0.2">
      <c r="A1024" s="4">
        <v>1746</v>
      </c>
      <c r="B1024" s="1">
        <v>1000</v>
      </c>
      <c r="C1024">
        <v>1</v>
      </c>
    </row>
    <row r="1025" spans="1:3" x14ac:dyDescent="0.2">
      <c r="A1025" s="4">
        <v>1882</v>
      </c>
      <c r="B1025" s="1">
        <v>1000</v>
      </c>
      <c r="C1025">
        <v>1</v>
      </c>
    </row>
    <row r="1026" spans="1:3" x14ac:dyDescent="0.2">
      <c r="A1026" s="4">
        <v>1994</v>
      </c>
      <c r="B1026" s="1">
        <v>1000</v>
      </c>
      <c r="C1026">
        <v>1</v>
      </c>
    </row>
    <row r="1027" spans="1:3" x14ac:dyDescent="0.2">
      <c r="A1027" s="4">
        <v>2573</v>
      </c>
      <c r="B1027" s="1">
        <v>1000</v>
      </c>
      <c r="C1027">
        <v>1</v>
      </c>
    </row>
    <row r="1028" spans="1:3" x14ac:dyDescent="0.2">
      <c r="A1028" s="4">
        <v>2707</v>
      </c>
      <c r="B1028" s="1">
        <v>1000</v>
      </c>
      <c r="C1028">
        <v>1</v>
      </c>
    </row>
    <row r="1029" spans="1:3" x14ac:dyDescent="0.2">
      <c r="A1029" s="4">
        <v>2840</v>
      </c>
      <c r="B1029" s="1">
        <v>1000</v>
      </c>
      <c r="C1029">
        <v>1</v>
      </c>
    </row>
    <row r="1030" spans="1:3" x14ac:dyDescent="0.2">
      <c r="A1030" s="4">
        <v>2880</v>
      </c>
      <c r="B1030" s="1">
        <v>1000</v>
      </c>
      <c r="C1030">
        <v>1</v>
      </c>
    </row>
    <row r="1031" spans="1:3" x14ac:dyDescent="0.2">
      <c r="A1031" s="4">
        <v>3168</v>
      </c>
      <c r="B1031" s="1">
        <v>1000</v>
      </c>
      <c r="C1031">
        <v>1</v>
      </c>
    </row>
    <row r="1032" spans="1:3" x14ac:dyDescent="0.2">
      <c r="A1032" s="4">
        <v>3255</v>
      </c>
      <c r="B1032" s="1">
        <v>1000</v>
      </c>
      <c r="C1032">
        <v>1</v>
      </c>
    </row>
    <row r="1033" spans="1:3" x14ac:dyDescent="0.2">
      <c r="A1033" s="4">
        <v>3261</v>
      </c>
      <c r="B1033" s="1">
        <v>1000</v>
      </c>
      <c r="C1033">
        <v>1</v>
      </c>
    </row>
    <row r="1034" spans="1:3" x14ac:dyDescent="0.2">
      <c r="A1034" s="4">
        <v>5101</v>
      </c>
      <c r="B1034" s="1">
        <v>1000</v>
      </c>
      <c r="C1034">
        <v>1</v>
      </c>
    </row>
    <row r="1035" spans="1:3" x14ac:dyDescent="0.2">
      <c r="A1035" s="4">
        <v>5123</v>
      </c>
      <c r="B1035" s="1">
        <v>1000</v>
      </c>
      <c r="C1035">
        <v>1</v>
      </c>
    </row>
    <row r="1036" spans="1:3" x14ac:dyDescent="0.2">
      <c r="A1036" s="4">
        <v>5145</v>
      </c>
      <c r="B1036" s="1">
        <v>1000</v>
      </c>
      <c r="C1036">
        <v>1</v>
      </c>
    </row>
    <row r="1037" spans="1:3" x14ac:dyDescent="0.2">
      <c r="A1037" s="4">
        <v>5942</v>
      </c>
      <c r="B1037" s="1">
        <v>1000</v>
      </c>
      <c r="C1037">
        <v>1</v>
      </c>
    </row>
    <row r="1038" spans="1:3" x14ac:dyDescent="0.2">
      <c r="A1038" s="4">
        <v>5948</v>
      </c>
      <c r="B1038" s="1">
        <v>1000</v>
      </c>
      <c r="C1038">
        <v>1</v>
      </c>
    </row>
    <row r="1039" spans="1:3" x14ac:dyDescent="0.2">
      <c r="A1039" s="4">
        <v>6125</v>
      </c>
      <c r="B1039" s="1">
        <v>1000</v>
      </c>
      <c r="C1039">
        <v>1</v>
      </c>
    </row>
    <row r="1040" spans="1:3" x14ac:dyDescent="0.2">
      <c r="A1040" s="4">
        <v>6288</v>
      </c>
      <c r="B1040" s="1">
        <v>1000</v>
      </c>
      <c r="C1040">
        <v>1</v>
      </c>
    </row>
    <row r="1041" spans="1:3" x14ac:dyDescent="0.2">
      <c r="A1041" s="4">
        <v>6591</v>
      </c>
      <c r="B1041" s="1">
        <v>1000</v>
      </c>
      <c r="C1041">
        <v>1</v>
      </c>
    </row>
    <row r="1042" spans="1:3" x14ac:dyDescent="0.2">
      <c r="A1042" s="4">
        <v>2722</v>
      </c>
      <c r="B1042" s="1">
        <v>1100</v>
      </c>
      <c r="C1042">
        <v>1</v>
      </c>
    </row>
    <row r="1043" spans="1:3" x14ac:dyDescent="0.2">
      <c r="A1043" s="4">
        <v>5861</v>
      </c>
      <c r="B1043" s="1">
        <v>1170</v>
      </c>
      <c r="C1043">
        <v>1</v>
      </c>
    </row>
    <row r="1044" spans="1:3" x14ac:dyDescent="0.2">
      <c r="A1044" s="4">
        <v>3267</v>
      </c>
      <c r="B1044" s="1">
        <v>1180</v>
      </c>
      <c r="C1044">
        <v>1</v>
      </c>
    </row>
    <row r="1045" spans="1:3" x14ac:dyDescent="0.2">
      <c r="A1045" s="4">
        <v>6622</v>
      </c>
      <c r="B1045" s="1">
        <v>1200</v>
      </c>
      <c r="C1045">
        <v>1</v>
      </c>
    </row>
    <row r="1046" spans="1:3" x14ac:dyDescent="0.2">
      <c r="A1046" s="4">
        <v>1750</v>
      </c>
      <c r="B1046" s="1">
        <v>1200</v>
      </c>
      <c r="C1046">
        <v>1</v>
      </c>
    </row>
    <row r="1047" spans="1:3" x14ac:dyDescent="0.2">
      <c r="A1047" s="4">
        <v>812</v>
      </c>
      <c r="B1047" s="1">
        <v>1200</v>
      </c>
      <c r="C1047">
        <v>1</v>
      </c>
    </row>
    <row r="1048" spans="1:3" x14ac:dyDescent="0.2">
      <c r="A1048" s="4">
        <v>923</v>
      </c>
      <c r="B1048" s="1">
        <v>1200</v>
      </c>
      <c r="C1048">
        <v>1</v>
      </c>
    </row>
    <row r="1049" spans="1:3" x14ac:dyDescent="0.2">
      <c r="A1049" s="4">
        <v>2296</v>
      </c>
      <c r="B1049" s="1">
        <v>1200</v>
      </c>
      <c r="C1049">
        <v>1</v>
      </c>
    </row>
    <row r="1050" spans="1:3" x14ac:dyDescent="0.2">
      <c r="A1050" s="4">
        <v>3178</v>
      </c>
      <c r="B1050" s="1">
        <v>1200</v>
      </c>
      <c r="C1050">
        <v>1</v>
      </c>
    </row>
    <row r="1051" spans="1:3" x14ac:dyDescent="0.2">
      <c r="A1051" s="4">
        <v>3027</v>
      </c>
      <c r="B1051" s="1">
        <v>1300</v>
      </c>
      <c r="C1051">
        <v>1</v>
      </c>
    </row>
    <row r="1052" spans="1:3" x14ac:dyDescent="0.2">
      <c r="A1052" s="4">
        <v>1997</v>
      </c>
      <c r="B1052" s="1">
        <v>1400</v>
      </c>
      <c r="C1052">
        <v>1</v>
      </c>
    </row>
    <row r="1053" spans="1:3" x14ac:dyDescent="0.2">
      <c r="A1053" s="4">
        <v>2112</v>
      </c>
      <c r="B1053" s="1">
        <v>1400</v>
      </c>
      <c r="C1053">
        <v>1</v>
      </c>
    </row>
    <row r="1054" spans="1:3" x14ac:dyDescent="0.2">
      <c r="A1054" s="4">
        <v>2841</v>
      </c>
      <c r="B1054" s="1">
        <v>1400</v>
      </c>
      <c r="C1054">
        <v>1</v>
      </c>
    </row>
    <row r="1055" spans="1:3" x14ac:dyDescent="0.2">
      <c r="A1055" s="4">
        <v>2867</v>
      </c>
      <c r="B1055" s="1">
        <v>1400</v>
      </c>
      <c r="C1055">
        <v>1</v>
      </c>
    </row>
    <row r="1056" spans="1:3" x14ac:dyDescent="0.2">
      <c r="A1056" s="4">
        <v>5152</v>
      </c>
      <c r="B1056" s="1">
        <v>1400</v>
      </c>
      <c r="C1056">
        <v>1</v>
      </c>
    </row>
    <row r="1057" spans="1:3" x14ac:dyDescent="0.2">
      <c r="A1057" s="4">
        <v>1729</v>
      </c>
      <c r="B1057" s="1">
        <v>1500</v>
      </c>
      <c r="C1057">
        <v>1</v>
      </c>
    </row>
    <row r="1058" spans="1:3" x14ac:dyDescent="0.2">
      <c r="A1058" s="4">
        <v>1743</v>
      </c>
      <c r="B1058" s="1">
        <v>1500</v>
      </c>
      <c r="C1058">
        <v>1</v>
      </c>
    </row>
    <row r="1059" spans="1:3" x14ac:dyDescent="0.2">
      <c r="A1059" s="4">
        <v>3113</v>
      </c>
      <c r="B1059" s="1">
        <v>1500</v>
      </c>
      <c r="C1059">
        <v>1</v>
      </c>
    </row>
    <row r="1060" spans="1:3" x14ac:dyDescent="0.2">
      <c r="A1060" s="4">
        <v>2432</v>
      </c>
      <c r="B1060" s="1">
        <v>1500</v>
      </c>
      <c r="C1060">
        <v>1</v>
      </c>
    </row>
    <row r="1061" spans="1:3" x14ac:dyDescent="0.2">
      <c r="A1061" s="4">
        <v>6441</v>
      </c>
      <c r="B1061" s="1">
        <v>1500</v>
      </c>
      <c r="C1061">
        <v>1</v>
      </c>
    </row>
    <row r="1062" spans="1:3" x14ac:dyDescent="0.2">
      <c r="A1062" s="4">
        <v>1964</v>
      </c>
      <c r="B1062" s="1">
        <v>1500</v>
      </c>
      <c r="C1062">
        <v>1</v>
      </c>
    </row>
    <row r="1063" spans="1:3" x14ac:dyDescent="0.2">
      <c r="A1063" s="4">
        <v>2116</v>
      </c>
      <c r="B1063" s="1">
        <v>1500</v>
      </c>
      <c r="C1063">
        <v>1</v>
      </c>
    </row>
    <row r="1064" spans="1:3" x14ac:dyDescent="0.2">
      <c r="A1064" s="4">
        <v>2289</v>
      </c>
      <c r="B1064" s="1">
        <v>1500</v>
      </c>
      <c r="C1064">
        <v>1</v>
      </c>
    </row>
    <row r="1065" spans="1:3" x14ac:dyDescent="0.2">
      <c r="A1065" s="4">
        <v>2297</v>
      </c>
      <c r="B1065" s="1">
        <v>1500</v>
      </c>
      <c r="C1065">
        <v>1</v>
      </c>
    </row>
    <row r="1066" spans="1:3" x14ac:dyDescent="0.2">
      <c r="A1066" s="4">
        <v>2346</v>
      </c>
      <c r="B1066" s="1">
        <v>1500</v>
      </c>
      <c r="C1066">
        <v>1</v>
      </c>
    </row>
    <row r="1067" spans="1:3" x14ac:dyDescent="0.2">
      <c r="A1067" s="4">
        <v>2418</v>
      </c>
      <c r="B1067" s="1">
        <v>1500</v>
      </c>
      <c r="C1067">
        <v>1</v>
      </c>
    </row>
    <row r="1068" spans="1:3" x14ac:dyDescent="0.2">
      <c r="A1068" s="4">
        <v>2439</v>
      </c>
      <c r="B1068" s="1">
        <v>1500</v>
      </c>
      <c r="C1068">
        <v>1</v>
      </c>
    </row>
    <row r="1069" spans="1:3" x14ac:dyDescent="0.2">
      <c r="A1069" s="4">
        <v>2685</v>
      </c>
      <c r="B1069" s="1">
        <v>1500</v>
      </c>
      <c r="C1069">
        <v>1</v>
      </c>
    </row>
    <row r="1070" spans="1:3" x14ac:dyDescent="0.2">
      <c r="A1070" s="4">
        <v>3106</v>
      </c>
      <c r="B1070" s="1">
        <v>1500</v>
      </c>
      <c r="C1070">
        <v>1</v>
      </c>
    </row>
    <row r="1071" spans="1:3" x14ac:dyDescent="0.2">
      <c r="A1071" s="4">
        <v>3165</v>
      </c>
      <c r="B1071" s="1">
        <v>1500</v>
      </c>
      <c r="C1071">
        <v>1</v>
      </c>
    </row>
    <row r="1072" spans="1:3" x14ac:dyDescent="0.2">
      <c r="A1072" s="4">
        <v>3176</v>
      </c>
      <c r="B1072" s="1">
        <v>1500</v>
      </c>
      <c r="C1072">
        <v>1</v>
      </c>
    </row>
    <row r="1073" spans="1:3" x14ac:dyDescent="0.2">
      <c r="A1073" s="4">
        <v>5153</v>
      </c>
      <c r="B1073" s="1">
        <v>1500</v>
      </c>
      <c r="C1073">
        <v>1</v>
      </c>
    </row>
    <row r="1074" spans="1:3" x14ac:dyDescent="0.2">
      <c r="A1074" s="4">
        <v>5943</v>
      </c>
      <c r="B1074" s="1">
        <v>1500</v>
      </c>
      <c r="C1074">
        <v>1</v>
      </c>
    </row>
    <row r="1075" spans="1:3" x14ac:dyDescent="0.2">
      <c r="A1075" s="4">
        <v>5947</v>
      </c>
      <c r="B1075" s="1">
        <v>1500</v>
      </c>
      <c r="C1075">
        <v>1</v>
      </c>
    </row>
    <row r="1076" spans="1:3" x14ac:dyDescent="0.2">
      <c r="A1076" s="4">
        <v>5821</v>
      </c>
      <c r="B1076" s="1">
        <v>1680</v>
      </c>
      <c r="C1076">
        <v>1</v>
      </c>
    </row>
    <row r="1077" spans="1:3" x14ac:dyDescent="0.2">
      <c r="A1077" s="4">
        <v>3115</v>
      </c>
      <c r="B1077" s="1">
        <v>1800</v>
      </c>
      <c r="C1077">
        <v>1</v>
      </c>
    </row>
    <row r="1078" spans="1:3" x14ac:dyDescent="0.2">
      <c r="A1078" s="4">
        <v>5010</v>
      </c>
      <c r="B1078" s="1">
        <v>2000</v>
      </c>
      <c r="C1078">
        <v>1</v>
      </c>
    </row>
    <row r="1079" spans="1:3" x14ac:dyDescent="0.2">
      <c r="A1079" s="4">
        <v>970</v>
      </c>
      <c r="B1079" s="1">
        <v>2000</v>
      </c>
      <c r="C1079">
        <v>1</v>
      </c>
    </row>
    <row r="1080" spans="1:3" x14ac:dyDescent="0.2">
      <c r="A1080" s="4">
        <v>1678</v>
      </c>
      <c r="B1080" s="1">
        <v>2000</v>
      </c>
      <c r="C1080">
        <v>1</v>
      </c>
    </row>
    <row r="1081" spans="1:3" x14ac:dyDescent="0.2">
      <c r="A1081" s="4">
        <v>1996</v>
      </c>
      <c r="B1081" s="1">
        <v>2000</v>
      </c>
      <c r="C1081">
        <v>1</v>
      </c>
    </row>
    <row r="1082" spans="1:3" x14ac:dyDescent="0.2">
      <c r="A1082" s="4">
        <v>2042</v>
      </c>
      <c r="B1082" s="1">
        <v>2000</v>
      </c>
      <c r="C1082">
        <v>1</v>
      </c>
    </row>
    <row r="1083" spans="1:3" x14ac:dyDescent="0.2">
      <c r="A1083" s="4">
        <v>2175</v>
      </c>
      <c r="B1083" s="1">
        <v>2000</v>
      </c>
      <c r="C1083">
        <v>1</v>
      </c>
    </row>
    <row r="1084" spans="1:3" x14ac:dyDescent="0.2">
      <c r="A1084" s="4">
        <v>2548</v>
      </c>
      <c r="B1084" s="1">
        <v>2000</v>
      </c>
      <c r="C1084">
        <v>1</v>
      </c>
    </row>
    <row r="1085" spans="1:3" x14ac:dyDescent="0.2">
      <c r="A1085" s="4">
        <v>2656</v>
      </c>
      <c r="B1085" s="1">
        <v>2000</v>
      </c>
      <c r="C1085">
        <v>1</v>
      </c>
    </row>
    <row r="1086" spans="1:3" x14ac:dyDescent="0.2">
      <c r="A1086" s="4">
        <v>2855</v>
      </c>
      <c r="B1086" s="1">
        <v>2000</v>
      </c>
      <c r="C1086">
        <v>1</v>
      </c>
    </row>
    <row r="1087" spans="1:3" x14ac:dyDescent="0.2">
      <c r="A1087" s="4">
        <v>3047</v>
      </c>
      <c r="B1087" s="1">
        <v>2000</v>
      </c>
      <c r="C1087">
        <v>1</v>
      </c>
    </row>
    <row r="1088" spans="1:3" x14ac:dyDescent="0.2">
      <c r="A1088" s="4">
        <v>5009</v>
      </c>
      <c r="B1088" s="1">
        <v>2000</v>
      </c>
      <c r="C1088">
        <v>1</v>
      </c>
    </row>
    <row r="1089" spans="1:3" x14ac:dyDescent="0.2">
      <c r="A1089" s="4">
        <v>5064</v>
      </c>
      <c r="B1089" s="1">
        <v>2000</v>
      </c>
      <c r="C1089">
        <v>1</v>
      </c>
    </row>
    <row r="1090" spans="1:3" x14ac:dyDescent="0.2">
      <c r="A1090" s="4">
        <v>6341</v>
      </c>
      <c r="B1090" s="1">
        <v>2000</v>
      </c>
      <c r="C1090">
        <v>1</v>
      </c>
    </row>
    <row r="1091" spans="1:3" x14ac:dyDescent="0.2">
      <c r="A1091" s="4">
        <v>6702</v>
      </c>
      <c r="B1091" s="1">
        <v>2000</v>
      </c>
      <c r="C1091">
        <v>1</v>
      </c>
    </row>
    <row r="1092" spans="1:3" x14ac:dyDescent="0.2">
      <c r="A1092" s="4">
        <v>2041</v>
      </c>
      <c r="B1092" s="1">
        <v>2100</v>
      </c>
      <c r="C1092">
        <v>1</v>
      </c>
    </row>
    <row r="1093" spans="1:3" x14ac:dyDescent="0.2">
      <c r="A1093" s="4">
        <v>1773</v>
      </c>
      <c r="B1093" s="1">
        <v>2250</v>
      </c>
      <c r="C1093">
        <v>1</v>
      </c>
    </row>
    <row r="1094" spans="1:3" x14ac:dyDescent="0.2">
      <c r="A1094" s="4">
        <v>2498</v>
      </c>
      <c r="B1094" s="1">
        <v>2400</v>
      </c>
      <c r="C1094">
        <v>1</v>
      </c>
    </row>
    <row r="1095" spans="1:3" x14ac:dyDescent="0.2">
      <c r="A1095" s="4">
        <v>1747</v>
      </c>
      <c r="B1095" s="1">
        <v>2500</v>
      </c>
      <c r="C1095">
        <v>1</v>
      </c>
    </row>
    <row r="1096" spans="1:3" x14ac:dyDescent="0.2">
      <c r="A1096" s="4">
        <v>1884</v>
      </c>
      <c r="B1096" s="1">
        <v>2500</v>
      </c>
      <c r="C1096">
        <v>1</v>
      </c>
    </row>
    <row r="1097" spans="1:3" x14ac:dyDescent="0.2">
      <c r="A1097" s="4">
        <v>2462</v>
      </c>
      <c r="B1097" s="1">
        <v>2500</v>
      </c>
      <c r="C1097">
        <v>1</v>
      </c>
    </row>
    <row r="1098" spans="1:3" x14ac:dyDescent="0.2">
      <c r="A1098" s="4">
        <v>2752</v>
      </c>
      <c r="B1098" s="1">
        <v>2500</v>
      </c>
      <c r="C1098">
        <v>1</v>
      </c>
    </row>
    <row r="1099" spans="1:3" x14ac:dyDescent="0.2">
      <c r="A1099" s="4">
        <v>2800</v>
      </c>
      <c r="B1099" s="1">
        <v>2700</v>
      </c>
      <c r="C1099">
        <v>1</v>
      </c>
    </row>
    <row r="1100" spans="1:3" x14ac:dyDescent="0.2">
      <c r="A1100" s="4">
        <v>2125</v>
      </c>
      <c r="B1100" s="1">
        <v>2800</v>
      </c>
      <c r="C1100">
        <v>1</v>
      </c>
    </row>
    <row r="1101" spans="1:3" x14ac:dyDescent="0.2">
      <c r="A1101" s="4">
        <v>2682</v>
      </c>
      <c r="B1101" s="1">
        <v>2800</v>
      </c>
      <c r="C1101">
        <v>1</v>
      </c>
    </row>
    <row r="1102" spans="1:3" x14ac:dyDescent="0.2">
      <c r="A1102" s="4">
        <v>2237</v>
      </c>
      <c r="B1102" s="1">
        <v>2900</v>
      </c>
      <c r="C1102">
        <v>1</v>
      </c>
    </row>
    <row r="1103" spans="1:3" x14ac:dyDescent="0.2">
      <c r="A1103" s="4">
        <v>2165</v>
      </c>
      <c r="B1103" s="1">
        <v>3000</v>
      </c>
      <c r="C1103">
        <v>1</v>
      </c>
    </row>
    <row r="1104" spans="1:3" x14ac:dyDescent="0.2">
      <c r="A1104" s="4">
        <v>2107</v>
      </c>
      <c r="B1104" s="1">
        <v>3000</v>
      </c>
      <c r="C1104">
        <v>1</v>
      </c>
    </row>
    <row r="1105" spans="1:3" x14ac:dyDescent="0.2">
      <c r="A1105" s="4">
        <v>1523</v>
      </c>
      <c r="B1105" s="1">
        <v>3000</v>
      </c>
      <c r="C1105">
        <v>1</v>
      </c>
    </row>
    <row r="1106" spans="1:3" x14ac:dyDescent="0.2">
      <c r="A1106" s="4">
        <v>2083</v>
      </c>
      <c r="B1106" s="1">
        <v>3000</v>
      </c>
      <c r="C1106">
        <v>1</v>
      </c>
    </row>
    <row r="1107" spans="1:3" x14ac:dyDescent="0.2">
      <c r="A1107" s="4">
        <v>2105</v>
      </c>
      <c r="B1107" s="1">
        <v>3000</v>
      </c>
      <c r="C1107">
        <v>1</v>
      </c>
    </row>
    <row r="1108" spans="1:3" x14ac:dyDescent="0.2">
      <c r="A1108" s="4">
        <v>2467</v>
      </c>
      <c r="B1108" s="1">
        <v>3000</v>
      </c>
      <c r="C1108">
        <v>1</v>
      </c>
    </row>
    <row r="1109" spans="1:3" x14ac:dyDescent="0.2">
      <c r="A1109" s="4">
        <v>2491</v>
      </c>
      <c r="B1109" s="1">
        <v>3000</v>
      </c>
      <c r="C1109">
        <v>1</v>
      </c>
    </row>
    <row r="1110" spans="1:3" x14ac:dyDescent="0.2">
      <c r="A1110" s="4">
        <v>2657</v>
      </c>
      <c r="B1110" s="1">
        <v>3000</v>
      </c>
      <c r="C1110">
        <v>1</v>
      </c>
    </row>
    <row r="1111" spans="1:3" x14ac:dyDescent="0.2">
      <c r="A1111" s="4">
        <v>2948</v>
      </c>
      <c r="B1111" s="1">
        <v>3000</v>
      </c>
      <c r="C1111">
        <v>1</v>
      </c>
    </row>
    <row r="1112" spans="1:3" x14ac:dyDescent="0.2">
      <c r="A1112" s="4">
        <v>3188</v>
      </c>
      <c r="B1112" s="1">
        <v>3000</v>
      </c>
      <c r="C1112">
        <v>1</v>
      </c>
    </row>
    <row r="1113" spans="1:3" x14ac:dyDescent="0.2">
      <c r="A1113" s="4">
        <v>2557</v>
      </c>
      <c r="B1113" s="1">
        <v>3600</v>
      </c>
      <c r="C1113">
        <v>1</v>
      </c>
    </row>
    <row r="1114" spans="1:3" x14ac:dyDescent="0.2">
      <c r="A1114" s="4">
        <v>1731</v>
      </c>
      <c r="B1114" s="1">
        <v>4000</v>
      </c>
      <c r="C1114">
        <v>1</v>
      </c>
    </row>
    <row r="1115" spans="1:3" x14ac:dyDescent="0.2">
      <c r="A1115" s="4">
        <v>6142</v>
      </c>
      <c r="B1115" s="1">
        <v>4000</v>
      </c>
      <c r="C1115">
        <v>1</v>
      </c>
    </row>
    <row r="1116" spans="1:3" x14ac:dyDescent="0.2">
      <c r="A1116" s="4">
        <v>2255</v>
      </c>
      <c r="B1116" s="1">
        <v>4000</v>
      </c>
      <c r="C1116">
        <v>1</v>
      </c>
    </row>
    <row r="1117" spans="1:3" x14ac:dyDescent="0.2">
      <c r="A1117" s="4">
        <v>2871</v>
      </c>
      <c r="B1117" s="1">
        <v>4000</v>
      </c>
      <c r="C1117">
        <v>1</v>
      </c>
    </row>
    <row r="1118" spans="1:3" x14ac:dyDescent="0.2">
      <c r="A1118" s="4">
        <v>1398</v>
      </c>
      <c r="B1118" s="1">
        <v>4500</v>
      </c>
      <c r="C1118">
        <v>1</v>
      </c>
    </row>
    <row r="1119" spans="1:3" x14ac:dyDescent="0.2">
      <c r="A1119" s="4">
        <v>2552</v>
      </c>
      <c r="B1119" s="1">
        <v>4500</v>
      </c>
      <c r="C1119">
        <v>1</v>
      </c>
    </row>
    <row r="1120" spans="1:3" x14ac:dyDescent="0.2">
      <c r="A1120" s="4">
        <v>3025</v>
      </c>
      <c r="B1120" s="1">
        <v>5000</v>
      </c>
      <c r="C1120">
        <v>1</v>
      </c>
    </row>
    <row r="1121" spans="1:3" x14ac:dyDescent="0.2">
      <c r="A1121" s="4">
        <v>2199</v>
      </c>
      <c r="B1121" s="1">
        <v>5600</v>
      </c>
      <c r="C1121">
        <v>1</v>
      </c>
    </row>
    <row r="1122" spans="1:3" x14ac:dyDescent="0.2">
      <c r="A1122" s="4">
        <v>2267</v>
      </c>
      <c r="B1122" s="1">
        <v>7200</v>
      </c>
      <c r="C1122">
        <v>1</v>
      </c>
    </row>
    <row r="1123" spans="1:3" x14ac:dyDescent="0.2">
      <c r="A1123" s="4">
        <v>2078</v>
      </c>
      <c r="B1123" s="1">
        <v>7500</v>
      </c>
      <c r="C1123">
        <v>1</v>
      </c>
    </row>
    <row r="1124" spans="1:3" x14ac:dyDescent="0.2">
      <c r="A1124" s="4">
        <v>6462</v>
      </c>
      <c r="B1124" s="1">
        <v>7500</v>
      </c>
      <c r="C1124">
        <v>1</v>
      </c>
    </row>
    <row r="1125" spans="1:3" x14ac:dyDescent="0.2">
      <c r="A1125"/>
    </row>
    <row r="1126" spans="1:3" x14ac:dyDescent="0.2">
      <c r="A1126"/>
    </row>
    <row r="1127" spans="1:3" x14ac:dyDescent="0.2">
      <c r="A1127"/>
    </row>
    <row r="1128" spans="1:3" x14ac:dyDescent="0.2">
      <c r="A1128"/>
    </row>
    <row r="1129" spans="1:3" x14ac:dyDescent="0.2">
      <c r="A1129"/>
    </row>
    <row r="1130" spans="1:3" x14ac:dyDescent="0.2">
      <c r="A1130"/>
    </row>
    <row r="1131" spans="1:3" x14ac:dyDescent="0.2">
      <c r="A1131"/>
    </row>
    <row r="1132" spans="1:3" x14ac:dyDescent="0.2">
      <c r="A1132"/>
    </row>
    <row r="1133" spans="1:3" x14ac:dyDescent="0.2">
      <c r="A1133"/>
    </row>
    <row r="1134" spans="1:3" x14ac:dyDescent="0.2">
      <c r="A1134"/>
    </row>
    <row r="1135" spans="1:3" x14ac:dyDescent="0.2">
      <c r="A1135"/>
    </row>
    <row r="1136" spans="1:3" x14ac:dyDescent="0.2">
      <c r="A1136"/>
    </row>
    <row r="1137" spans="1:1" x14ac:dyDescent="0.2">
      <c r="A1137"/>
    </row>
    <row r="1138" spans="1:1" x14ac:dyDescent="0.2">
      <c r="A1138"/>
    </row>
    <row r="1139" spans="1:1" x14ac:dyDescent="0.2">
      <c r="A1139"/>
    </row>
    <row r="1140" spans="1:1" x14ac:dyDescent="0.2">
      <c r="A1140"/>
    </row>
    <row r="1141" spans="1:1" x14ac:dyDescent="0.2">
      <c r="A1141"/>
    </row>
    <row r="1142" spans="1:1" x14ac:dyDescent="0.2">
      <c r="A1142"/>
    </row>
    <row r="1143" spans="1:1" x14ac:dyDescent="0.2">
      <c r="A1143"/>
    </row>
    <row r="1144" spans="1:1" x14ac:dyDescent="0.2">
      <c r="A1144"/>
    </row>
    <row r="1145" spans="1:1" x14ac:dyDescent="0.2">
      <c r="A1145"/>
    </row>
    <row r="1146" spans="1:1" x14ac:dyDescent="0.2">
      <c r="A1146"/>
    </row>
    <row r="1147" spans="1:1" x14ac:dyDescent="0.2">
      <c r="A1147"/>
    </row>
    <row r="1148" spans="1:1" x14ac:dyDescent="0.2">
      <c r="A1148"/>
    </row>
    <row r="1149" spans="1:1" x14ac:dyDescent="0.2">
      <c r="A1149"/>
    </row>
    <row r="1150" spans="1:1" x14ac:dyDescent="0.2">
      <c r="A1150"/>
    </row>
    <row r="1151" spans="1:1" x14ac:dyDescent="0.2">
      <c r="A1151"/>
    </row>
    <row r="1152" spans="1:1" x14ac:dyDescent="0.2">
      <c r="A1152"/>
    </row>
    <row r="1153" spans="1:1" x14ac:dyDescent="0.2">
      <c r="A1153"/>
    </row>
    <row r="1154" spans="1:1" x14ac:dyDescent="0.2">
      <c r="A1154"/>
    </row>
    <row r="1155" spans="1:1" x14ac:dyDescent="0.2">
      <c r="A1155"/>
    </row>
    <row r="1156" spans="1:1" x14ac:dyDescent="0.2">
      <c r="A1156"/>
    </row>
    <row r="1157" spans="1:1" x14ac:dyDescent="0.2">
      <c r="A1157"/>
    </row>
    <row r="1158" spans="1:1" x14ac:dyDescent="0.2">
      <c r="A1158"/>
    </row>
    <row r="1159" spans="1:1" x14ac:dyDescent="0.2">
      <c r="A1159"/>
    </row>
    <row r="1160" spans="1:1" x14ac:dyDescent="0.2">
      <c r="A1160"/>
    </row>
    <row r="1161" spans="1:1" x14ac:dyDescent="0.2">
      <c r="A1161"/>
    </row>
    <row r="1162" spans="1:1" x14ac:dyDescent="0.2">
      <c r="A1162"/>
    </row>
    <row r="1163" spans="1:1" x14ac:dyDescent="0.2">
      <c r="A1163"/>
    </row>
    <row r="1164" spans="1:1" x14ac:dyDescent="0.2">
      <c r="A1164"/>
    </row>
    <row r="1165" spans="1:1" x14ac:dyDescent="0.2">
      <c r="A1165"/>
    </row>
    <row r="1166" spans="1:1" x14ac:dyDescent="0.2">
      <c r="A1166"/>
    </row>
    <row r="1167" spans="1:1" x14ac:dyDescent="0.2">
      <c r="A1167"/>
    </row>
    <row r="1168" spans="1:1" x14ac:dyDescent="0.2">
      <c r="A1168"/>
    </row>
    <row r="1169" spans="1:1" x14ac:dyDescent="0.2">
      <c r="A1169"/>
    </row>
    <row r="1170" spans="1:1" x14ac:dyDescent="0.2">
      <c r="A1170"/>
    </row>
    <row r="1171" spans="1:1" x14ac:dyDescent="0.2">
      <c r="A1171"/>
    </row>
    <row r="1172" spans="1:1" x14ac:dyDescent="0.2">
      <c r="A1172"/>
    </row>
    <row r="1173" spans="1:1" x14ac:dyDescent="0.2">
      <c r="A1173"/>
    </row>
    <row r="1174" spans="1:1" x14ac:dyDescent="0.2">
      <c r="A1174"/>
    </row>
    <row r="1175" spans="1:1" x14ac:dyDescent="0.2">
      <c r="A1175"/>
    </row>
    <row r="1176" spans="1:1" x14ac:dyDescent="0.2">
      <c r="A1176"/>
    </row>
    <row r="1177" spans="1:1" x14ac:dyDescent="0.2">
      <c r="A1177"/>
    </row>
    <row r="1178" spans="1:1" x14ac:dyDescent="0.2">
      <c r="A1178"/>
    </row>
    <row r="1179" spans="1:1" x14ac:dyDescent="0.2">
      <c r="A1179"/>
    </row>
    <row r="1180" spans="1:1" x14ac:dyDescent="0.2">
      <c r="A1180"/>
    </row>
    <row r="1181" spans="1:1" x14ac:dyDescent="0.2">
      <c r="A1181"/>
    </row>
    <row r="1182" spans="1:1" x14ac:dyDescent="0.2">
      <c r="A1182"/>
    </row>
    <row r="1183" spans="1:1" x14ac:dyDescent="0.2">
      <c r="A1183"/>
    </row>
    <row r="1184" spans="1:1" x14ac:dyDescent="0.2">
      <c r="A1184"/>
    </row>
    <row r="1185" spans="1:1" x14ac:dyDescent="0.2">
      <c r="A1185"/>
    </row>
    <row r="1186" spans="1:1" x14ac:dyDescent="0.2">
      <c r="A1186"/>
    </row>
    <row r="1187" spans="1:1" x14ac:dyDescent="0.2">
      <c r="A1187"/>
    </row>
    <row r="1188" spans="1:1" x14ac:dyDescent="0.2">
      <c r="A1188"/>
    </row>
    <row r="1189" spans="1:1" x14ac:dyDescent="0.2">
      <c r="A1189"/>
    </row>
    <row r="1190" spans="1:1" x14ac:dyDescent="0.2">
      <c r="A1190"/>
    </row>
    <row r="1191" spans="1:1" x14ac:dyDescent="0.2">
      <c r="A1191"/>
    </row>
    <row r="1192" spans="1:1" x14ac:dyDescent="0.2">
      <c r="A1192"/>
    </row>
    <row r="1193" spans="1:1" x14ac:dyDescent="0.2">
      <c r="A1193"/>
    </row>
    <row r="1194" spans="1:1" x14ac:dyDescent="0.2">
      <c r="A1194"/>
    </row>
    <row r="1195" spans="1:1" x14ac:dyDescent="0.2">
      <c r="A1195"/>
    </row>
    <row r="1196" spans="1:1" x14ac:dyDescent="0.2">
      <c r="A1196"/>
    </row>
    <row r="1197" spans="1:1" x14ac:dyDescent="0.2">
      <c r="A1197"/>
    </row>
    <row r="1198" spans="1:1" x14ac:dyDescent="0.2">
      <c r="A1198"/>
    </row>
    <row r="1199" spans="1:1" x14ac:dyDescent="0.2">
      <c r="A1199"/>
    </row>
    <row r="1200" spans="1:1" x14ac:dyDescent="0.2">
      <c r="A1200"/>
    </row>
    <row r="1201" spans="1:1" x14ac:dyDescent="0.2">
      <c r="A1201"/>
    </row>
    <row r="1202" spans="1:1" x14ac:dyDescent="0.2">
      <c r="A1202"/>
    </row>
    <row r="1203" spans="1:1" x14ac:dyDescent="0.2">
      <c r="A1203"/>
    </row>
    <row r="1204" spans="1:1" x14ac:dyDescent="0.2">
      <c r="A1204"/>
    </row>
    <row r="1205" spans="1:1" x14ac:dyDescent="0.2">
      <c r="A1205"/>
    </row>
    <row r="1206" spans="1:1" x14ac:dyDescent="0.2">
      <c r="A1206"/>
    </row>
    <row r="1207" spans="1:1" x14ac:dyDescent="0.2">
      <c r="A1207"/>
    </row>
    <row r="1208" spans="1:1" x14ac:dyDescent="0.2">
      <c r="A1208"/>
    </row>
    <row r="1209" spans="1:1" x14ac:dyDescent="0.2">
      <c r="A1209"/>
    </row>
    <row r="1210" spans="1:1" x14ac:dyDescent="0.2">
      <c r="A1210"/>
    </row>
    <row r="1211" spans="1:1" x14ac:dyDescent="0.2">
      <c r="A1211"/>
    </row>
    <row r="1212" spans="1:1" x14ac:dyDescent="0.2">
      <c r="A1212"/>
    </row>
    <row r="1213" spans="1:1" x14ac:dyDescent="0.2">
      <c r="A1213"/>
    </row>
    <row r="1214" spans="1:1" x14ac:dyDescent="0.2">
      <c r="A1214"/>
    </row>
    <row r="1215" spans="1:1" x14ac:dyDescent="0.2">
      <c r="A1215"/>
    </row>
    <row r="1216" spans="1:1" x14ac:dyDescent="0.2">
      <c r="A1216"/>
    </row>
    <row r="1217" spans="1:1" x14ac:dyDescent="0.2">
      <c r="A1217"/>
    </row>
    <row r="1218" spans="1:1" x14ac:dyDescent="0.2">
      <c r="A1218"/>
    </row>
    <row r="1219" spans="1:1" x14ac:dyDescent="0.2">
      <c r="A1219"/>
    </row>
    <row r="1220" spans="1:1" x14ac:dyDescent="0.2">
      <c r="A1220"/>
    </row>
    <row r="1221" spans="1:1" x14ac:dyDescent="0.2">
      <c r="A1221"/>
    </row>
    <row r="1222" spans="1:1" x14ac:dyDescent="0.2">
      <c r="A1222"/>
    </row>
    <row r="1223" spans="1:1" x14ac:dyDescent="0.2">
      <c r="A1223"/>
    </row>
    <row r="1224" spans="1:1" x14ac:dyDescent="0.2">
      <c r="A1224"/>
    </row>
    <row r="1225" spans="1:1" x14ac:dyDescent="0.2">
      <c r="A1225"/>
    </row>
    <row r="1226" spans="1:1" x14ac:dyDescent="0.2">
      <c r="A1226"/>
    </row>
    <row r="1227" spans="1:1" x14ac:dyDescent="0.2">
      <c r="A1227"/>
    </row>
    <row r="1228" spans="1:1" x14ac:dyDescent="0.2">
      <c r="A1228"/>
    </row>
    <row r="1229" spans="1:1" x14ac:dyDescent="0.2">
      <c r="A1229"/>
    </row>
    <row r="1230" spans="1:1" x14ac:dyDescent="0.2">
      <c r="A1230"/>
    </row>
    <row r="1231" spans="1:1" x14ac:dyDescent="0.2">
      <c r="A1231"/>
    </row>
    <row r="1232" spans="1:1" x14ac:dyDescent="0.2">
      <c r="A1232"/>
    </row>
    <row r="1233" spans="1:1" x14ac:dyDescent="0.2">
      <c r="A1233"/>
    </row>
    <row r="1234" spans="1:1" x14ac:dyDescent="0.2">
      <c r="A1234"/>
    </row>
    <row r="1235" spans="1:1" x14ac:dyDescent="0.2">
      <c r="A1235"/>
    </row>
    <row r="1236" spans="1:1" x14ac:dyDescent="0.2">
      <c r="A1236"/>
    </row>
    <row r="1237" spans="1:1" x14ac:dyDescent="0.2">
      <c r="A1237"/>
    </row>
    <row r="1238" spans="1:1" x14ac:dyDescent="0.2">
      <c r="A1238"/>
    </row>
    <row r="1239" spans="1:1" x14ac:dyDescent="0.2">
      <c r="A1239"/>
    </row>
    <row r="1240" spans="1:1" x14ac:dyDescent="0.2">
      <c r="A1240"/>
    </row>
    <row r="1241" spans="1:1" x14ac:dyDescent="0.2">
      <c r="A1241"/>
    </row>
    <row r="1242" spans="1:1" x14ac:dyDescent="0.2">
      <c r="A1242"/>
    </row>
    <row r="1243" spans="1:1" x14ac:dyDescent="0.2">
      <c r="A1243"/>
    </row>
    <row r="1244" spans="1:1" x14ac:dyDescent="0.2">
      <c r="A1244"/>
    </row>
    <row r="1245" spans="1:1" x14ac:dyDescent="0.2">
      <c r="A1245"/>
    </row>
    <row r="1246" spans="1:1" x14ac:dyDescent="0.2">
      <c r="A1246"/>
    </row>
    <row r="1247" spans="1:1" x14ac:dyDescent="0.2">
      <c r="A1247"/>
    </row>
    <row r="1248" spans="1:1" x14ac:dyDescent="0.2">
      <c r="A1248"/>
    </row>
    <row r="1249" spans="1:1" x14ac:dyDescent="0.2">
      <c r="A1249"/>
    </row>
    <row r="1250" spans="1:1" x14ac:dyDescent="0.2">
      <c r="A1250"/>
    </row>
    <row r="1251" spans="1:1" x14ac:dyDescent="0.2">
      <c r="A1251"/>
    </row>
    <row r="1252" spans="1:1" x14ac:dyDescent="0.2">
      <c r="A1252"/>
    </row>
    <row r="1253" spans="1:1" x14ac:dyDescent="0.2">
      <c r="A1253"/>
    </row>
    <row r="1254" spans="1:1" x14ac:dyDescent="0.2">
      <c r="A1254"/>
    </row>
    <row r="1255" spans="1:1" x14ac:dyDescent="0.2">
      <c r="A1255"/>
    </row>
    <row r="1256" spans="1:1" x14ac:dyDescent="0.2">
      <c r="A1256"/>
    </row>
    <row r="1257" spans="1:1" x14ac:dyDescent="0.2">
      <c r="A1257"/>
    </row>
    <row r="1258" spans="1:1" x14ac:dyDescent="0.2">
      <c r="A1258"/>
    </row>
    <row r="1259" spans="1:1" x14ac:dyDescent="0.2">
      <c r="A1259"/>
    </row>
    <row r="1260" spans="1:1" x14ac:dyDescent="0.2">
      <c r="A1260"/>
    </row>
    <row r="1261" spans="1:1" x14ac:dyDescent="0.2">
      <c r="A1261"/>
    </row>
    <row r="1262" spans="1:1" x14ac:dyDescent="0.2">
      <c r="A1262"/>
    </row>
    <row r="1263" spans="1:1" x14ac:dyDescent="0.2">
      <c r="A1263"/>
    </row>
    <row r="1264" spans="1:1" x14ac:dyDescent="0.2">
      <c r="A1264"/>
    </row>
    <row r="1265" spans="1:1" x14ac:dyDescent="0.2">
      <c r="A1265"/>
    </row>
    <row r="1266" spans="1:1" x14ac:dyDescent="0.2">
      <c r="A1266"/>
    </row>
    <row r="1267" spans="1:1" x14ac:dyDescent="0.2">
      <c r="A1267"/>
    </row>
    <row r="1268" spans="1:1" x14ac:dyDescent="0.2">
      <c r="A1268"/>
    </row>
    <row r="1269" spans="1:1" x14ac:dyDescent="0.2">
      <c r="A1269"/>
    </row>
    <row r="1270" spans="1:1" x14ac:dyDescent="0.2">
      <c r="A1270"/>
    </row>
    <row r="1271" spans="1:1" x14ac:dyDescent="0.2">
      <c r="A1271"/>
    </row>
    <row r="1272" spans="1:1" x14ac:dyDescent="0.2">
      <c r="A1272"/>
    </row>
    <row r="1273" spans="1:1" x14ac:dyDescent="0.2">
      <c r="A1273"/>
    </row>
    <row r="1274" spans="1:1" x14ac:dyDescent="0.2">
      <c r="A1274"/>
    </row>
    <row r="1275" spans="1:1" x14ac:dyDescent="0.2">
      <c r="A1275"/>
    </row>
    <row r="1276" spans="1:1" x14ac:dyDescent="0.2">
      <c r="A1276"/>
    </row>
    <row r="1277" spans="1:1" x14ac:dyDescent="0.2">
      <c r="A1277"/>
    </row>
    <row r="1278" spans="1:1" x14ac:dyDescent="0.2">
      <c r="A1278"/>
    </row>
    <row r="1279" spans="1:1" x14ac:dyDescent="0.2">
      <c r="A1279"/>
    </row>
    <row r="1280" spans="1:1" x14ac:dyDescent="0.2">
      <c r="A1280"/>
    </row>
    <row r="1281" spans="1:1" x14ac:dyDescent="0.2">
      <c r="A1281"/>
    </row>
    <row r="1282" spans="1:1" x14ac:dyDescent="0.2">
      <c r="A1282"/>
    </row>
    <row r="1283" spans="1:1" x14ac:dyDescent="0.2">
      <c r="A1283"/>
    </row>
    <row r="1284" spans="1:1" x14ac:dyDescent="0.2">
      <c r="A1284"/>
    </row>
    <row r="1285" spans="1:1" x14ac:dyDescent="0.2">
      <c r="A1285"/>
    </row>
    <row r="1286" spans="1:1" x14ac:dyDescent="0.2">
      <c r="A1286"/>
    </row>
    <row r="1287" spans="1:1" x14ac:dyDescent="0.2">
      <c r="A1287"/>
    </row>
    <row r="1288" spans="1:1" x14ac:dyDescent="0.2">
      <c r="A1288"/>
    </row>
    <row r="1289" spans="1:1" x14ac:dyDescent="0.2">
      <c r="A1289"/>
    </row>
    <row r="1290" spans="1:1" x14ac:dyDescent="0.2">
      <c r="A1290"/>
    </row>
    <row r="1291" spans="1:1" x14ac:dyDescent="0.2">
      <c r="A1291"/>
    </row>
    <row r="1292" spans="1:1" x14ac:dyDescent="0.2">
      <c r="A1292"/>
    </row>
    <row r="1293" spans="1:1" x14ac:dyDescent="0.2">
      <c r="A1293"/>
    </row>
    <row r="1294" spans="1:1" x14ac:dyDescent="0.2">
      <c r="A1294"/>
    </row>
    <row r="1295" spans="1:1" x14ac:dyDescent="0.2">
      <c r="A1295"/>
    </row>
    <row r="1296" spans="1:1" x14ac:dyDescent="0.2">
      <c r="A1296"/>
    </row>
    <row r="1297" spans="1:1" x14ac:dyDescent="0.2">
      <c r="A1297"/>
    </row>
    <row r="1298" spans="1:1" x14ac:dyDescent="0.2">
      <c r="A1298"/>
    </row>
    <row r="1299" spans="1:1" x14ac:dyDescent="0.2">
      <c r="A1299"/>
    </row>
    <row r="1300" spans="1:1" x14ac:dyDescent="0.2">
      <c r="A1300"/>
    </row>
    <row r="1301" spans="1:1" x14ac:dyDescent="0.2">
      <c r="A1301"/>
    </row>
    <row r="1302" spans="1:1" x14ac:dyDescent="0.2">
      <c r="A1302"/>
    </row>
    <row r="1303" spans="1:1" x14ac:dyDescent="0.2">
      <c r="A1303"/>
    </row>
    <row r="1304" spans="1:1" x14ac:dyDescent="0.2">
      <c r="A1304"/>
    </row>
    <row r="1305" spans="1:1" x14ac:dyDescent="0.2">
      <c r="A1305"/>
    </row>
    <row r="1306" spans="1:1" x14ac:dyDescent="0.2">
      <c r="A1306"/>
    </row>
    <row r="1307" spans="1:1" x14ac:dyDescent="0.2">
      <c r="A1307"/>
    </row>
    <row r="1308" spans="1:1" x14ac:dyDescent="0.2">
      <c r="A1308"/>
    </row>
    <row r="1309" spans="1:1" x14ac:dyDescent="0.2">
      <c r="A1309"/>
    </row>
    <row r="1310" spans="1:1" x14ac:dyDescent="0.2">
      <c r="A1310"/>
    </row>
    <row r="1311" spans="1:1" x14ac:dyDescent="0.2">
      <c r="A1311"/>
    </row>
    <row r="1312" spans="1:1" x14ac:dyDescent="0.2">
      <c r="A1312"/>
    </row>
    <row r="1313" spans="1:1" x14ac:dyDescent="0.2">
      <c r="A1313"/>
    </row>
    <row r="1314" spans="1:1" x14ac:dyDescent="0.2">
      <c r="A1314"/>
    </row>
    <row r="1315" spans="1:1" x14ac:dyDescent="0.2">
      <c r="A1315"/>
    </row>
    <row r="1316" spans="1:1" x14ac:dyDescent="0.2">
      <c r="A1316"/>
    </row>
    <row r="1317" spans="1:1" x14ac:dyDescent="0.2">
      <c r="A1317"/>
    </row>
    <row r="1318" spans="1:1" x14ac:dyDescent="0.2">
      <c r="A1318"/>
    </row>
    <row r="1319" spans="1:1" x14ac:dyDescent="0.2">
      <c r="A1319"/>
    </row>
    <row r="1320" spans="1:1" x14ac:dyDescent="0.2">
      <c r="A1320"/>
    </row>
    <row r="1321" spans="1:1" x14ac:dyDescent="0.2">
      <c r="A1321"/>
    </row>
    <row r="1322" spans="1:1" x14ac:dyDescent="0.2">
      <c r="A1322"/>
    </row>
    <row r="1323" spans="1:1" x14ac:dyDescent="0.2">
      <c r="A1323"/>
    </row>
    <row r="1324" spans="1:1" x14ac:dyDescent="0.2">
      <c r="A1324"/>
    </row>
    <row r="1325" spans="1:1" x14ac:dyDescent="0.2">
      <c r="A1325"/>
    </row>
    <row r="1326" spans="1:1" x14ac:dyDescent="0.2">
      <c r="A1326"/>
    </row>
    <row r="1327" spans="1:1" x14ac:dyDescent="0.2">
      <c r="A1327"/>
    </row>
    <row r="1328" spans="1:1" x14ac:dyDescent="0.2">
      <c r="A1328"/>
    </row>
    <row r="1329" spans="1:1" x14ac:dyDescent="0.2">
      <c r="A1329"/>
    </row>
    <row r="1330" spans="1:1" x14ac:dyDescent="0.2">
      <c r="A1330"/>
    </row>
    <row r="1331" spans="1:1" x14ac:dyDescent="0.2">
      <c r="A1331"/>
    </row>
    <row r="1332" spans="1:1" x14ac:dyDescent="0.2">
      <c r="A1332"/>
    </row>
    <row r="1333" spans="1:1" x14ac:dyDescent="0.2">
      <c r="A1333"/>
    </row>
    <row r="1334" spans="1:1" x14ac:dyDescent="0.2">
      <c r="A1334"/>
    </row>
    <row r="1335" spans="1:1" x14ac:dyDescent="0.2">
      <c r="A1335"/>
    </row>
    <row r="1336" spans="1:1" x14ac:dyDescent="0.2">
      <c r="A1336"/>
    </row>
    <row r="1337" spans="1:1" x14ac:dyDescent="0.2">
      <c r="A1337"/>
    </row>
    <row r="1338" spans="1:1" x14ac:dyDescent="0.2">
      <c r="A1338"/>
    </row>
    <row r="1339" spans="1:1" x14ac:dyDescent="0.2">
      <c r="A1339"/>
    </row>
    <row r="1340" spans="1:1" x14ac:dyDescent="0.2">
      <c r="A1340"/>
    </row>
    <row r="1341" spans="1:1" x14ac:dyDescent="0.2">
      <c r="A1341"/>
    </row>
    <row r="1342" spans="1:1" x14ac:dyDescent="0.2">
      <c r="A1342"/>
    </row>
    <row r="1343" spans="1:1" x14ac:dyDescent="0.2">
      <c r="A1343"/>
    </row>
    <row r="1344" spans="1:1" x14ac:dyDescent="0.2">
      <c r="A1344"/>
    </row>
    <row r="1345" spans="1:1" x14ac:dyDescent="0.2">
      <c r="A1345"/>
    </row>
    <row r="1346" spans="1:1" x14ac:dyDescent="0.2">
      <c r="A1346"/>
    </row>
    <row r="1347" spans="1:1" x14ac:dyDescent="0.2">
      <c r="A1347"/>
    </row>
    <row r="1348" spans="1:1" x14ac:dyDescent="0.2">
      <c r="A1348"/>
    </row>
    <row r="1349" spans="1:1" x14ac:dyDescent="0.2">
      <c r="A1349"/>
    </row>
    <row r="1350" spans="1:1" x14ac:dyDescent="0.2">
      <c r="A1350"/>
    </row>
    <row r="1351" spans="1:1" x14ac:dyDescent="0.2">
      <c r="A1351"/>
    </row>
    <row r="1352" spans="1:1" x14ac:dyDescent="0.2">
      <c r="A1352"/>
    </row>
    <row r="1353" spans="1:1" x14ac:dyDescent="0.2">
      <c r="A1353"/>
    </row>
    <row r="1354" spans="1:1" x14ac:dyDescent="0.2">
      <c r="A1354"/>
    </row>
    <row r="1355" spans="1:1" x14ac:dyDescent="0.2">
      <c r="A1355"/>
    </row>
    <row r="1356" spans="1:1" x14ac:dyDescent="0.2">
      <c r="A1356"/>
    </row>
    <row r="1357" spans="1:1" x14ac:dyDescent="0.2">
      <c r="A1357"/>
    </row>
    <row r="1358" spans="1:1" x14ac:dyDescent="0.2">
      <c r="A1358"/>
    </row>
    <row r="1359" spans="1:1" x14ac:dyDescent="0.2">
      <c r="A1359"/>
    </row>
    <row r="1360" spans="1:1" x14ac:dyDescent="0.2">
      <c r="A1360"/>
    </row>
    <row r="1361" spans="1:1" x14ac:dyDescent="0.2">
      <c r="A1361"/>
    </row>
    <row r="1362" spans="1:1" x14ac:dyDescent="0.2">
      <c r="A1362"/>
    </row>
    <row r="1363" spans="1:1" x14ac:dyDescent="0.2">
      <c r="A1363"/>
    </row>
    <row r="1364" spans="1:1" x14ac:dyDescent="0.2">
      <c r="A1364"/>
    </row>
    <row r="1365" spans="1:1" x14ac:dyDescent="0.2">
      <c r="A1365"/>
    </row>
    <row r="1366" spans="1:1" x14ac:dyDescent="0.2">
      <c r="A1366"/>
    </row>
    <row r="1367" spans="1:1" x14ac:dyDescent="0.2">
      <c r="A1367"/>
    </row>
    <row r="1368" spans="1:1" x14ac:dyDescent="0.2">
      <c r="A1368"/>
    </row>
    <row r="1369" spans="1:1" x14ac:dyDescent="0.2">
      <c r="A1369"/>
    </row>
    <row r="1370" spans="1:1" x14ac:dyDescent="0.2">
      <c r="A1370"/>
    </row>
    <row r="1371" spans="1:1" x14ac:dyDescent="0.2">
      <c r="A1371"/>
    </row>
    <row r="1372" spans="1:1" x14ac:dyDescent="0.2">
      <c r="A1372"/>
    </row>
    <row r="1373" spans="1:1" x14ac:dyDescent="0.2">
      <c r="A1373"/>
    </row>
    <row r="1374" spans="1:1" x14ac:dyDescent="0.2">
      <c r="A1374"/>
    </row>
    <row r="1375" spans="1:1" x14ac:dyDescent="0.2">
      <c r="A1375"/>
    </row>
    <row r="1376" spans="1:1" x14ac:dyDescent="0.2">
      <c r="A1376"/>
    </row>
    <row r="1377" spans="1:1" x14ac:dyDescent="0.2">
      <c r="A1377"/>
    </row>
    <row r="1378" spans="1:1" x14ac:dyDescent="0.2">
      <c r="A1378"/>
    </row>
    <row r="1379" spans="1:1" x14ac:dyDescent="0.2">
      <c r="A1379"/>
    </row>
    <row r="1380" spans="1:1" x14ac:dyDescent="0.2">
      <c r="A1380"/>
    </row>
    <row r="1381" spans="1:1" x14ac:dyDescent="0.2">
      <c r="A1381"/>
    </row>
    <row r="1382" spans="1:1" x14ac:dyDescent="0.2">
      <c r="A1382"/>
    </row>
    <row r="1383" spans="1:1" x14ac:dyDescent="0.2">
      <c r="A1383"/>
    </row>
    <row r="1384" spans="1:1" x14ac:dyDescent="0.2">
      <c r="A1384"/>
    </row>
    <row r="1385" spans="1:1" x14ac:dyDescent="0.2">
      <c r="A1385"/>
    </row>
    <row r="1386" spans="1:1" x14ac:dyDescent="0.2">
      <c r="A1386"/>
    </row>
    <row r="1387" spans="1:1" x14ac:dyDescent="0.2">
      <c r="A1387"/>
    </row>
    <row r="1388" spans="1:1" x14ac:dyDescent="0.2">
      <c r="A1388"/>
    </row>
    <row r="1389" spans="1:1" x14ac:dyDescent="0.2">
      <c r="A1389"/>
    </row>
    <row r="1390" spans="1:1" x14ac:dyDescent="0.2">
      <c r="A1390"/>
    </row>
    <row r="1391" spans="1:1" x14ac:dyDescent="0.2">
      <c r="A1391"/>
    </row>
    <row r="1392" spans="1:1" x14ac:dyDescent="0.2">
      <c r="A1392"/>
    </row>
    <row r="1393" spans="1:1" x14ac:dyDescent="0.2">
      <c r="A1393"/>
    </row>
    <row r="1394" spans="1:1" x14ac:dyDescent="0.2">
      <c r="A1394"/>
    </row>
    <row r="1395" spans="1:1" x14ac:dyDescent="0.2">
      <c r="A1395"/>
    </row>
    <row r="1396" spans="1:1" x14ac:dyDescent="0.2">
      <c r="A1396"/>
    </row>
    <row r="1397" spans="1:1" x14ac:dyDescent="0.2">
      <c r="A1397"/>
    </row>
    <row r="1398" spans="1:1" x14ac:dyDescent="0.2">
      <c r="A1398"/>
    </row>
    <row r="1399" spans="1:1" x14ac:dyDescent="0.2">
      <c r="A1399"/>
    </row>
    <row r="1400" spans="1:1" x14ac:dyDescent="0.2">
      <c r="A1400"/>
    </row>
    <row r="1401" spans="1:1" x14ac:dyDescent="0.2">
      <c r="A1401"/>
    </row>
    <row r="1402" spans="1:1" x14ac:dyDescent="0.2">
      <c r="A1402"/>
    </row>
    <row r="1403" spans="1:1" x14ac:dyDescent="0.2">
      <c r="A1403"/>
    </row>
    <row r="1404" spans="1:1" x14ac:dyDescent="0.2">
      <c r="A1404"/>
    </row>
    <row r="1405" spans="1:1" x14ac:dyDescent="0.2">
      <c r="A1405"/>
    </row>
    <row r="1406" spans="1:1" x14ac:dyDescent="0.2">
      <c r="A1406"/>
    </row>
    <row r="1407" spans="1:1" x14ac:dyDescent="0.2">
      <c r="A1407"/>
    </row>
    <row r="1408" spans="1:1" x14ac:dyDescent="0.2">
      <c r="A1408"/>
    </row>
    <row r="1409" spans="1:1" x14ac:dyDescent="0.2">
      <c r="A1409"/>
    </row>
    <row r="1410" spans="1:1" x14ac:dyDescent="0.2">
      <c r="A1410"/>
    </row>
    <row r="1411" spans="1:1" x14ac:dyDescent="0.2">
      <c r="A1411"/>
    </row>
    <row r="1412" spans="1:1" x14ac:dyDescent="0.2">
      <c r="A1412"/>
    </row>
    <row r="1413" spans="1:1" x14ac:dyDescent="0.2">
      <c r="A1413"/>
    </row>
    <row r="1414" spans="1:1" x14ac:dyDescent="0.2">
      <c r="A1414"/>
    </row>
    <row r="1415" spans="1:1" x14ac:dyDescent="0.2">
      <c r="A1415"/>
    </row>
    <row r="1416" spans="1:1" x14ac:dyDescent="0.2">
      <c r="A1416"/>
    </row>
    <row r="1417" spans="1:1" x14ac:dyDescent="0.2">
      <c r="A1417"/>
    </row>
    <row r="1418" spans="1:1" x14ac:dyDescent="0.2">
      <c r="A1418"/>
    </row>
    <row r="1419" spans="1:1" x14ac:dyDescent="0.2">
      <c r="A1419"/>
    </row>
    <row r="1420" spans="1:1" x14ac:dyDescent="0.2">
      <c r="A1420"/>
    </row>
    <row r="1421" spans="1:1" x14ac:dyDescent="0.2">
      <c r="A1421"/>
    </row>
    <row r="1422" spans="1:1" x14ac:dyDescent="0.2">
      <c r="A1422"/>
    </row>
    <row r="1423" spans="1:1" x14ac:dyDescent="0.2">
      <c r="A1423"/>
    </row>
    <row r="1424" spans="1:1" x14ac:dyDescent="0.2">
      <c r="A1424"/>
    </row>
    <row r="1425" spans="1:1" x14ac:dyDescent="0.2">
      <c r="A1425"/>
    </row>
    <row r="1426" spans="1:1" x14ac:dyDescent="0.2">
      <c r="A1426"/>
    </row>
    <row r="1427" spans="1:1" x14ac:dyDescent="0.2">
      <c r="A1427"/>
    </row>
    <row r="1428" spans="1:1" x14ac:dyDescent="0.2">
      <c r="A1428"/>
    </row>
    <row r="1429" spans="1:1" x14ac:dyDescent="0.2">
      <c r="A1429"/>
    </row>
    <row r="1430" spans="1:1" x14ac:dyDescent="0.2">
      <c r="A1430"/>
    </row>
    <row r="1431" spans="1:1" x14ac:dyDescent="0.2">
      <c r="A1431"/>
    </row>
    <row r="1432" spans="1:1" x14ac:dyDescent="0.2">
      <c r="A1432"/>
    </row>
    <row r="1433" spans="1:1" x14ac:dyDescent="0.2">
      <c r="A1433"/>
    </row>
    <row r="1434" spans="1:1" x14ac:dyDescent="0.2">
      <c r="A1434"/>
    </row>
    <row r="1435" spans="1:1" x14ac:dyDescent="0.2">
      <c r="A1435"/>
    </row>
    <row r="1436" spans="1:1" x14ac:dyDescent="0.2">
      <c r="A1436"/>
    </row>
    <row r="1437" spans="1:1" x14ac:dyDescent="0.2">
      <c r="A1437"/>
    </row>
    <row r="1438" spans="1:1" x14ac:dyDescent="0.2">
      <c r="A1438"/>
    </row>
    <row r="1439" spans="1:1" x14ac:dyDescent="0.2">
      <c r="A1439"/>
    </row>
    <row r="1440" spans="1:1" x14ac:dyDescent="0.2">
      <c r="A1440"/>
    </row>
    <row r="1441" spans="1:1" x14ac:dyDescent="0.2">
      <c r="A1441"/>
    </row>
    <row r="1442" spans="1:1" x14ac:dyDescent="0.2">
      <c r="A1442"/>
    </row>
    <row r="1443" spans="1:1" x14ac:dyDescent="0.2">
      <c r="A1443"/>
    </row>
    <row r="1444" spans="1:1" x14ac:dyDescent="0.2">
      <c r="A1444"/>
    </row>
    <row r="1445" spans="1:1" x14ac:dyDescent="0.2">
      <c r="A1445"/>
    </row>
    <row r="1446" spans="1:1" x14ac:dyDescent="0.2">
      <c r="A1446"/>
    </row>
    <row r="1447" spans="1:1" x14ac:dyDescent="0.2">
      <c r="A1447"/>
    </row>
    <row r="1448" spans="1:1" x14ac:dyDescent="0.2">
      <c r="A1448"/>
    </row>
    <row r="1449" spans="1:1" x14ac:dyDescent="0.2">
      <c r="A1449"/>
    </row>
    <row r="1450" spans="1:1" x14ac:dyDescent="0.2">
      <c r="A1450"/>
    </row>
    <row r="1451" spans="1:1" x14ac:dyDescent="0.2">
      <c r="A1451"/>
    </row>
    <row r="1452" spans="1:1" x14ac:dyDescent="0.2">
      <c r="A1452"/>
    </row>
    <row r="1453" spans="1:1" x14ac:dyDescent="0.2">
      <c r="A1453"/>
    </row>
    <row r="1454" spans="1:1" x14ac:dyDescent="0.2">
      <c r="A1454"/>
    </row>
    <row r="1455" spans="1:1" x14ac:dyDescent="0.2">
      <c r="A1455"/>
    </row>
    <row r="1456" spans="1:1" x14ac:dyDescent="0.2">
      <c r="A1456"/>
    </row>
    <row r="1457" spans="1:1" x14ac:dyDescent="0.2">
      <c r="A1457"/>
    </row>
    <row r="1458" spans="1:1" x14ac:dyDescent="0.2">
      <c r="A1458"/>
    </row>
    <row r="1459" spans="1:1" x14ac:dyDescent="0.2">
      <c r="A1459"/>
    </row>
    <row r="1460" spans="1:1" x14ac:dyDescent="0.2">
      <c r="A1460"/>
    </row>
    <row r="1461" spans="1:1" x14ac:dyDescent="0.2">
      <c r="A1461"/>
    </row>
    <row r="1462" spans="1:1" x14ac:dyDescent="0.2">
      <c r="A1462"/>
    </row>
    <row r="1463" spans="1:1" x14ac:dyDescent="0.2">
      <c r="A1463"/>
    </row>
    <row r="1464" spans="1:1" x14ac:dyDescent="0.2">
      <c r="A1464"/>
    </row>
    <row r="1465" spans="1:1" x14ac:dyDescent="0.2">
      <c r="A1465"/>
    </row>
    <row r="1466" spans="1:1" x14ac:dyDescent="0.2">
      <c r="A1466"/>
    </row>
    <row r="1467" spans="1:1" x14ac:dyDescent="0.2">
      <c r="A1467"/>
    </row>
    <row r="1468" spans="1:1" x14ac:dyDescent="0.2">
      <c r="A1468"/>
    </row>
    <row r="1469" spans="1:1" x14ac:dyDescent="0.2">
      <c r="A1469"/>
    </row>
    <row r="1470" spans="1:1" x14ac:dyDescent="0.2">
      <c r="A1470"/>
    </row>
    <row r="1471" spans="1:1" x14ac:dyDescent="0.2">
      <c r="A1471"/>
    </row>
    <row r="1472" spans="1:1" x14ac:dyDescent="0.2">
      <c r="A1472"/>
    </row>
    <row r="1473" spans="1:1" x14ac:dyDescent="0.2">
      <c r="A1473"/>
    </row>
    <row r="1474" spans="1:1" x14ac:dyDescent="0.2">
      <c r="A1474"/>
    </row>
    <row r="1475" spans="1:1" x14ac:dyDescent="0.2">
      <c r="A1475"/>
    </row>
    <row r="1476" spans="1:1" x14ac:dyDescent="0.2">
      <c r="A1476"/>
    </row>
    <row r="1477" spans="1:1" x14ac:dyDescent="0.2">
      <c r="A1477"/>
    </row>
    <row r="1478" spans="1:1" x14ac:dyDescent="0.2">
      <c r="A1478"/>
    </row>
    <row r="1479" spans="1:1" x14ac:dyDescent="0.2">
      <c r="A1479"/>
    </row>
    <row r="1480" spans="1:1" x14ac:dyDescent="0.2">
      <c r="A1480"/>
    </row>
    <row r="1481" spans="1:1" x14ac:dyDescent="0.2">
      <c r="A1481"/>
    </row>
    <row r="1482" spans="1:1" x14ac:dyDescent="0.2">
      <c r="A1482"/>
    </row>
    <row r="1483" spans="1:1" x14ac:dyDescent="0.2">
      <c r="A1483"/>
    </row>
    <row r="1484" spans="1:1" x14ac:dyDescent="0.2">
      <c r="A1484"/>
    </row>
    <row r="1485" spans="1:1" x14ac:dyDescent="0.2">
      <c r="A1485"/>
    </row>
    <row r="1486" spans="1:1" x14ac:dyDescent="0.2">
      <c r="A1486"/>
    </row>
    <row r="1487" spans="1:1" x14ac:dyDescent="0.2">
      <c r="A1487"/>
    </row>
    <row r="1488" spans="1:1" x14ac:dyDescent="0.2">
      <c r="A1488"/>
    </row>
    <row r="1489" spans="1:1" x14ac:dyDescent="0.2">
      <c r="A1489"/>
    </row>
    <row r="1490" spans="1:1" x14ac:dyDescent="0.2">
      <c r="A1490"/>
    </row>
    <row r="1491" spans="1:1" x14ac:dyDescent="0.2">
      <c r="A1491"/>
    </row>
    <row r="1492" spans="1:1" x14ac:dyDescent="0.2">
      <c r="A1492"/>
    </row>
    <row r="1493" spans="1:1" x14ac:dyDescent="0.2">
      <c r="A1493"/>
    </row>
    <row r="1494" spans="1:1" x14ac:dyDescent="0.2">
      <c r="A1494"/>
    </row>
    <row r="1495" spans="1:1" x14ac:dyDescent="0.2">
      <c r="A1495"/>
    </row>
    <row r="1496" spans="1:1" x14ac:dyDescent="0.2">
      <c r="A1496"/>
    </row>
    <row r="1497" spans="1:1" x14ac:dyDescent="0.2">
      <c r="A1497"/>
    </row>
    <row r="1498" spans="1:1" x14ac:dyDescent="0.2">
      <c r="A1498"/>
    </row>
    <row r="1499" spans="1:1" x14ac:dyDescent="0.2">
      <c r="A1499"/>
    </row>
    <row r="1500" spans="1:1" x14ac:dyDescent="0.2">
      <c r="A1500"/>
    </row>
    <row r="1501" spans="1:1" x14ac:dyDescent="0.2">
      <c r="A1501"/>
    </row>
    <row r="1502" spans="1:1" x14ac:dyDescent="0.2">
      <c r="A1502"/>
    </row>
    <row r="1503" spans="1:1" x14ac:dyDescent="0.2">
      <c r="A1503"/>
    </row>
    <row r="1504" spans="1:1" x14ac:dyDescent="0.2">
      <c r="A1504"/>
    </row>
    <row r="1505" spans="1:1" x14ac:dyDescent="0.2">
      <c r="A1505"/>
    </row>
    <row r="1506" spans="1:1" x14ac:dyDescent="0.2">
      <c r="A1506"/>
    </row>
    <row r="1507" spans="1:1" x14ac:dyDescent="0.2">
      <c r="A1507"/>
    </row>
    <row r="1508" spans="1:1" x14ac:dyDescent="0.2">
      <c r="A1508"/>
    </row>
    <row r="1509" spans="1:1" x14ac:dyDescent="0.2">
      <c r="A1509"/>
    </row>
    <row r="1510" spans="1:1" x14ac:dyDescent="0.2">
      <c r="A1510"/>
    </row>
    <row r="1511" spans="1:1" x14ac:dyDescent="0.2">
      <c r="A1511"/>
    </row>
    <row r="1512" spans="1:1" x14ac:dyDescent="0.2">
      <c r="A1512"/>
    </row>
    <row r="1513" spans="1:1" x14ac:dyDescent="0.2">
      <c r="A1513"/>
    </row>
    <row r="1514" spans="1:1" x14ac:dyDescent="0.2">
      <c r="A1514"/>
    </row>
    <row r="1515" spans="1:1" x14ac:dyDescent="0.2">
      <c r="A1515"/>
    </row>
    <row r="1516" spans="1:1" x14ac:dyDescent="0.2">
      <c r="A1516"/>
    </row>
    <row r="1517" spans="1:1" x14ac:dyDescent="0.2">
      <c r="A1517"/>
    </row>
    <row r="1518" spans="1:1" x14ac:dyDescent="0.2">
      <c r="A1518"/>
    </row>
    <row r="1519" spans="1:1" x14ac:dyDescent="0.2">
      <c r="A1519"/>
    </row>
    <row r="1520" spans="1:1" x14ac:dyDescent="0.2">
      <c r="A1520"/>
    </row>
    <row r="1521" spans="1:1" x14ac:dyDescent="0.2">
      <c r="A1521"/>
    </row>
    <row r="1522" spans="1:1" x14ac:dyDescent="0.2">
      <c r="A1522"/>
    </row>
    <row r="1523" spans="1:1" x14ac:dyDescent="0.2">
      <c r="A1523"/>
    </row>
    <row r="1524" spans="1:1" x14ac:dyDescent="0.2">
      <c r="A1524"/>
    </row>
    <row r="1525" spans="1:1" x14ac:dyDescent="0.2">
      <c r="A1525"/>
    </row>
    <row r="1526" spans="1:1" x14ac:dyDescent="0.2">
      <c r="A1526"/>
    </row>
    <row r="1527" spans="1:1" x14ac:dyDescent="0.2">
      <c r="A1527"/>
    </row>
    <row r="1528" spans="1:1" x14ac:dyDescent="0.2">
      <c r="A1528"/>
    </row>
    <row r="1529" spans="1:1" x14ac:dyDescent="0.2">
      <c r="A1529"/>
    </row>
    <row r="1530" spans="1:1" x14ac:dyDescent="0.2">
      <c r="A1530"/>
    </row>
    <row r="1531" spans="1:1" x14ac:dyDescent="0.2">
      <c r="A1531"/>
    </row>
    <row r="1532" spans="1:1" x14ac:dyDescent="0.2">
      <c r="A1532"/>
    </row>
    <row r="1533" spans="1:1" x14ac:dyDescent="0.2">
      <c r="A1533"/>
    </row>
    <row r="1534" spans="1:1" x14ac:dyDescent="0.2">
      <c r="A1534"/>
    </row>
    <row r="1535" spans="1:1" x14ac:dyDescent="0.2">
      <c r="A1535"/>
    </row>
    <row r="1536" spans="1:1" x14ac:dyDescent="0.2">
      <c r="A1536"/>
    </row>
    <row r="1537" spans="1:1" x14ac:dyDescent="0.2">
      <c r="A1537"/>
    </row>
    <row r="1538" spans="1:1" x14ac:dyDescent="0.2">
      <c r="A1538"/>
    </row>
    <row r="1539" spans="1:1" x14ac:dyDescent="0.2">
      <c r="A1539"/>
    </row>
    <row r="1540" spans="1:1" x14ac:dyDescent="0.2">
      <c r="A1540"/>
    </row>
    <row r="1541" spans="1:1" x14ac:dyDescent="0.2">
      <c r="A1541"/>
    </row>
    <row r="1542" spans="1:1" x14ac:dyDescent="0.2">
      <c r="A1542"/>
    </row>
    <row r="1543" spans="1:1" x14ac:dyDescent="0.2">
      <c r="A1543"/>
    </row>
    <row r="1544" spans="1:1" x14ac:dyDescent="0.2">
      <c r="A1544"/>
    </row>
    <row r="1545" spans="1:1" x14ac:dyDescent="0.2">
      <c r="A1545"/>
    </row>
    <row r="1546" spans="1:1" x14ac:dyDescent="0.2">
      <c r="A1546"/>
    </row>
    <row r="1547" spans="1:1" x14ac:dyDescent="0.2">
      <c r="A1547"/>
    </row>
    <row r="1548" spans="1:1" x14ac:dyDescent="0.2">
      <c r="A1548"/>
    </row>
    <row r="1549" spans="1:1" x14ac:dyDescent="0.2">
      <c r="A1549"/>
    </row>
    <row r="1550" spans="1:1" x14ac:dyDescent="0.2">
      <c r="A1550"/>
    </row>
    <row r="1551" spans="1:1" x14ac:dyDescent="0.2">
      <c r="A1551"/>
    </row>
    <row r="1552" spans="1:1" x14ac:dyDescent="0.2">
      <c r="A1552"/>
    </row>
    <row r="1553" spans="1:1" x14ac:dyDescent="0.2">
      <c r="A1553"/>
    </row>
    <row r="1554" spans="1:1" x14ac:dyDescent="0.2">
      <c r="A1554"/>
    </row>
    <row r="1555" spans="1:1" x14ac:dyDescent="0.2">
      <c r="A1555"/>
    </row>
    <row r="1556" spans="1:1" x14ac:dyDescent="0.2">
      <c r="A1556"/>
    </row>
    <row r="1557" spans="1:1" x14ac:dyDescent="0.2">
      <c r="A1557"/>
    </row>
    <row r="1558" spans="1:1" x14ac:dyDescent="0.2">
      <c r="A1558"/>
    </row>
    <row r="1559" spans="1:1" x14ac:dyDescent="0.2">
      <c r="A1559"/>
    </row>
    <row r="1560" spans="1:1" x14ac:dyDescent="0.2">
      <c r="A1560"/>
    </row>
    <row r="1561" spans="1:1" x14ac:dyDescent="0.2">
      <c r="A1561"/>
    </row>
    <row r="1562" spans="1:1" x14ac:dyDescent="0.2">
      <c r="A1562"/>
    </row>
    <row r="1563" spans="1:1" x14ac:dyDescent="0.2">
      <c r="A1563"/>
    </row>
    <row r="1564" spans="1:1" x14ac:dyDescent="0.2">
      <c r="A1564"/>
    </row>
    <row r="1565" spans="1:1" x14ac:dyDescent="0.2">
      <c r="A1565"/>
    </row>
    <row r="1566" spans="1:1" x14ac:dyDescent="0.2">
      <c r="A1566"/>
    </row>
    <row r="1567" spans="1:1" x14ac:dyDescent="0.2">
      <c r="A1567"/>
    </row>
    <row r="1568" spans="1:1" x14ac:dyDescent="0.2">
      <c r="A1568"/>
    </row>
    <row r="1569" spans="1:1" x14ac:dyDescent="0.2">
      <c r="A1569"/>
    </row>
    <row r="1570" spans="1:1" x14ac:dyDescent="0.2">
      <c r="A1570"/>
    </row>
    <row r="1571" spans="1:1" x14ac:dyDescent="0.2">
      <c r="A1571"/>
    </row>
    <row r="1572" spans="1:1" x14ac:dyDescent="0.2">
      <c r="A1572"/>
    </row>
    <row r="1573" spans="1:1" x14ac:dyDescent="0.2">
      <c r="A1573"/>
    </row>
    <row r="1574" spans="1:1" x14ac:dyDescent="0.2">
      <c r="A1574"/>
    </row>
    <row r="1575" spans="1:1" x14ac:dyDescent="0.2">
      <c r="A1575"/>
    </row>
    <row r="1576" spans="1:1" x14ac:dyDescent="0.2">
      <c r="A1576"/>
    </row>
    <row r="1577" spans="1:1" x14ac:dyDescent="0.2">
      <c r="A1577"/>
    </row>
    <row r="1578" spans="1:1" x14ac:dyDescent="0.2">
      <c r="A1578"/>
    </row>
    <row r="1579" spans="1:1" x14ac:dyDescent="0.2">
      <c r="A1579"/>
    </row>
    <row r="1580" spans="1:1" x14ac:dyDescent="0.2">
      <c r="A1580"/>
    </row>
    <row r="1581" spans="1:1" x14ac:dyDescent="0.2">
      <c r="A1581"/>
    </row>
    <row r="1582" spans="1:1" x14ac:dyDescent="0.2">
      <c r="A1582"/>
    </row>
    <row r="1583" spans="1:1" x14ac:dyDescent="0.2">
      <c r="A1583"/>
    </row>
    <row r="1584" spans="1:1" x14ac:dyDescent="0.2">
      <c r="A1584"/>
    </row>
    <row r="1585" spans="1:1" x14ac:dyDescent="0.2">
      <c r="A1585"/>
    </row>
    <row r="1586" spans="1:1" x14ac:dyDescent="0.2">
      <c r="A1586"/>
    </row>
    <row r="1587" spans="1:1" x14ac:dyDescent="0.2">
      <c r="A1587"/>
    </row>
    <row r="1588" spans="1:1" x14ac:dyDescent="0.2">
      <c r="A1588"/>
    </row>
    <row r="1589" spans="1:1" x14ac:dyDescent="0.2">
      <c r="A1589"/>
    </row>
    <row r="1590" spans="1:1" x14ac:dyDescent="0.2">
      <c r="A1590"/>
    </row>
    <row r="1591" spans="1:1" x14ac:dyDescent="0.2">
      <c r="A1591"/>
    </row>
    <row r="1592" spans="1:1" x14ac:dyDescent="0.2">
      <c r="A1592"/>
    </row>
    <row r="1593" spans="1:1" x14ac:dyDescent="0.2">
      <c r="A1593"/>
    </row>
    <row r="1594" spans="1:1" x14ac:dyDescent="0.2">
      <c r="A1594"/>
    </row>
    <row r="1595" spans="1:1" x14ac:dyDescent="0.2">
      <c r="A1595"/>
    </row>
    <row r="1596" spans="1:1" x14ac:dyDescent="0.2">
      <c r="A1596"/>
    </row>
    <row r="1597" spans="1:1" x14ac:dyDescent="0.2">
      <c r="A1597"/>
    </row>
    <row r="1598" spans="1:1" x14ac:dyDescent="0.2">
      <c r="A1598"/>
    </row>
    <row r="1599" spans="1:1" x14ac:dyDescent="0.2">
      <c r="A1599"/>
    </row>
    <row r="1600" spans="1:1" x14ac:dyDescent="0.2">
      <c r="A1600"/>
    </row>
    <row r="1601" spans="1:1" x14ac:dyDescent="0.2">
      <c r="A1601"/>
    </row>
    <row r="1602" spans="1:1" x14ac:dyDescent="0.2">
      <c r="A1602"/>
    </row>
    <row r="1603" spans="1:1" x14ac:dyDescent="0.2">
      <c r="A1603"/>
    </row>
    <row r="1604" spans="1:1" x14ac:dyDescent="0.2">
      <c r="A1604"/>
    </row>
    <row r="1605" spans="1:1" x14ac:dyDescent="0.2">
      <c r="A1605"/>
    </row>
    <row r="1606" spans="1:1" x14ac:dyDescent="0.2">
      <c r="A1606"/>
    </row>
    <row r="1607" spans="1:1" x14ac:dyDescent="0.2">
      <c r="A1607"/>
    </row>
    <row r="1608" spans="1:1" x14ac:dyDescent="0.2">
      <c r="A1608"/>
    </row>
    <row r="1609" spans="1:1" x14ac:dyDescent="0.2">
      <c r="A1609"/>
    </row>
    <row r="1610" spans="1:1" x14ac:dyDescent="0.2">
      <c r="A1610"/>
    </row>
    <row r="1611" spans="1:1" x14ac:dyDescent="0.2">
      <c r="A1611"/>
    </row>
    <row r="1612" spans="1:1" x14ac:dyDescent="0.2">
      <c r="A1612"/>
    </row>
    <row r="1613" spans="1:1" x14ac:dyDescent="0.2">
      <c r="A1613"/>
    </row>
    <row r="1614" spans="1:1" x14ac:dyDescent="0.2">
      <c r="A1614"/>
    </row>
    <row r="1615" spans="1:1" x14ac:dyDescent="0.2">
      <c r="A1615"/>
    </row>
    <row r="1616" spans="1:1" x14ac:dyDescent="0.2">
      <c r="A1616"/>
    </row>
    <row r="1617" spans="1:1" x14ac:dyDescent="0.2">
      <c r="A1617"/>
    </row>
    <row r="1618" spans="1:1" x14ac:dyDescent="0.2">
      <c r="A1618"/>
    </row>
    <row r="1619" spans="1:1" x14ac:dyDescent="0.2">
      <c r="A1619"/>
    </row>
    <row r="1620" spans="1:1" x14ac:dyDescent="0.2">
      <c r="A1620"/>
    </row>
    <row r="1621" spans="1:1" x14ac:dyDescent="0.2">
      <c r="A1621"/>
    </row>
    <row r="1622" spans="1:1" x14ac:dyDescent="0.2">
      <c r="A1622"/>
    </row>
    <row r="1623" spans="1:1" x14ac:dyDescent="0.2">
      <c r="A1623"/>
    </row>
    <row r="1624" spans="1:1" x14ac:dyDescent="0.2">
      <c r="A1624"/>
    </row>
    <row r="1625" spans="1:1" x14ac:dyDescent="0.2">
      <c r="A1625"/>
    </row>
    <row r="1626" spans="1:1" x14ac:dyDescent="0.2">
      <c r="A1626"/>
    </row>
    <row r="1627" spans="1:1" x14ac:dyDescent="0.2">
      <c r="A1627"/>
    </row>
    <row r="1628" spans="1:1" x14ac:dyDescent="0.2">
      <c r="A1628"/>
    </row>
    <row r="1629" spans="1:1" x14ac:dyDescent="0.2">
      <c r="A1629"/>
    </row>
    <row r="1630" spans="1:1" x14ac:dyDescent="0.2">
      <c r="A1630"/>
    </row>
    <row r="1631" spans="1:1" x14ac:dyDescent="0.2">
      <c r="A1631"/>
    </row>
    <row r="1632" spans="1:1" x14ac:dyDescent="0.2">
      <c r="A1632"/>
    </row>
    <row r="1633" spans="1:1" x14ac:dyDescent="0.2">
      <c r="A1633"/>
    </row>
    <row r="1634" spans="1:1" x14ac:dyDescent="0.2">
      <c r="A1634"/>
    </row>
    <row r="1635" spans="1:1" x14ac:dyDescent="0.2">
      <c r="A1635"/>
    </row>
    <row r="1636" spans="1:1" x14ac:dyDescent="0.2">
      <c r="A1636"/>
    </row>
    <row r="1637" spans="1:1" x14ac:dyDescent="0.2">
      <c r="A1637"/>
    </row>
    <row r="1638" spans="1:1" x14ac:dyDescent="0.2">
      <c r="A1638"/>
    </row>
    <row r="1639" spans="1:1" x14ac:dyDescent="0.2">
      <c r="A1639"/>
    </row>
    <row r="1640" spans="1:1" x14ac:dyDescent="0.2">
      <c r="A1640"/>
    </row>
    <row r="1641" spans="1:1" x14ac:dyDescent="0.2">
      <c r="A1641"/>
    </row>
    <row r="1642" spans="1:1" x14ac:dyDescent="0.2">
      <c r="A1642"/>
    </row>
    <row r="1643" spans="1:1" x14ac:dyDescent="0.2">
      <c r="A1643"/>
    </row>
    <row r="1644" spans="1:1" x14ac:dyDescent="0.2">
      <c r="A1644"/>
    </row>
    <row r="1645" spans="1:1" x14ac:dyDescent="0.2">
      <c r="A1645"/>
    </row>
    <row r="1646" spans="1:1" x14ac:dyDescent="0.2">
      <c r="A1646"/>
    </row>
    <row r="1647" spans="1:1" x14ac:dyDescent="0.2">
      <c r="A1647"/>
    </row>
    <row r="1648" spans="1:1" x14ac:dyDescent="0.2">
      <c r="A1648"/>
    </row>
    <row r="1649" spans="1:1" x14ac:dyDescent="0.2">
      <c r="A1649"/>
    </row>
    <row r="1650" spans="1:1" x14ac:dyDescent="0.2">
      <c r="A1650"/>
    </row>
    <row r="1651" spans="1:1" x14ac:dyDescent="0.2">
      <c r="A1651"/>
    </row>
    <row r="1652" spans="1:1" x14ac:dyDescent="0.2">
      <c r="A1652"/>
    </row>
    <row r="1653" spans="1:1" x14ac:dyDescent="0.2">
      <c r="A1653"/>
    </row>
    <row r="1654" spans="1:1" x14ac:dyDescent="0.2">
      <c r="A1654"/>
    </row>
    <row r="1655" spans="1:1" x14ac:dyDescent="0.2">
      <c r="A1655"/>
    </row>
    <row r="1656" spans="1:1" x14ac:dyDescent="0.2">
      <c r="A1656"/>
    </row>
    <row r="1657" spans="1:1" x14ac:dyDescent="0.2">
      <c r="A1657"/>
    </row>
    <row r="1658" spans="1:1" x14ac:dyDescent="0.2">
      <c r="A1658"/>
    </row>
    <row r="1659" spans="1:1" x14ac:dyDescent="0.2">
      <c r="A1659"/>
    </row>
    <row r="1660" spans="1:1" x14ac:dyDescent="0.2">
      <c r="A1660"/>
    </row>
    <row r="1661" spans="1:1" x14ac:dyDescent="0.2">
      <c r="A1661"/>
    </row>
    <row r="1662" spans="1:1" x14ac:dyDescent="0.2">
      <c r="A1662"/>
    </row>
    <row r="1663" spans="1:1" x14ac:dyDescent="0.2">
      <c r="A1663"/>
    </row>
    <row r="1664" spans="1:1" x14ac:dyDescent="0.2">
      <c r="A1664"/>
    </row>
    <row r="1665" spans="1:1" x14ac:dyDescent="0.2">
      <c r="A1665"/>
    </row>
    <row r="1666" spans="1:1" x14ac:dyDescent="0.2">
      <c r="A1666"/>
    </row>
    <row r="1667" spans="1:1" x14ac:dyDescent="0.2">
      <c r="A1667"/>
    </row>
    <row r="1668" spans="1:1" x14ac:dyDescent="0.2">
      <c r="A1668"/>
    </row>
    <row r="1669" spans="1:1" x14ac:dyDescent="0.2">
      <c r="A1669"/>
    </row>
    <row r="1670" spans="1:1" x14ac:dyDescent="0.2">
      <c r="A1670"/>
    </row>
    <row r="1671" spans="1:1" x14ac:dyDescent="0.2">
      <c r="A1671"/>
    </row>
    <row r="1672" spans="1:1" x14ac:dyDescent="0.2">
      <c r="A1672"/>
    </row>
    <row r="1673" spans="1:1" x14ac:dyDescent="0.2">
      <c r="A1673"/>
    </row>
    <row r="1674" spans="1:1" x14ac:dyDescent="0.2">
      <c r="A1674"/>
    </row>
    <row r="1675" spans="1:1" x14ac:dyDescent="0.2">
      <c r="A1675"/>
    </row>
    <row r="1676" spans="1:1" x14ac:dyDescent="0.2">
      <c r="A1676"/>
    </row>
    <row r="1677" spans="1:1" x14ac:dyDescent="0.2">
      <c r="A1677"/>
    </row>
    <row r="1678" spans="1:1" x14ac:dyDescent="0.2">
      <c r="A1678"/>
    </row>
    <row r="1679" spans="1:1" x14ac:dyDescent="0.2">
      <c r="A1679"/>
    </row>
    <row r="1680" spans="1:1" x14ac:dyDescent="0.2">
      <c r="A1680"/>
    </row>
    <row r="1681" spans="1:1" x14ac:dyDescent="0.2">
      <c r="A1681"/>
    </row>
    <row r="1682" spans="1:1" x14ac:dyDescent="0.2">
      <c r="A1682"/>
    </row>
    <row r="1683" spans="1:1" x14ac:dyDescent="0.2">
      <c r="A1683"/>
    </row>
    <row r="1684" spans="1:1" x14ac:dyDescent="0.2">
      <c r="A1684"/>
    </row>
    <row r="1685" spans="1:1" x14ac:dyDescent="0.2">
      <c r="A1685"/>
    </row>
    <row r="1686" spans="1:1" x14ac:dyDescent="0.2">
      <c r="A1686"/>
    </row>
    <row r="1687" spans="1:1" x14ac:dyDescent="0.2">
      <c r="A1687"/>
    </row>
    <row r="1688" spans="1:1" x14ac:dyDescent="0.2">
      <c r="A1688"/>
    </row>
    <row r="1689" spans="1:1" x14ac:dyDescent="0.2">
      <c r="A1689"/>
    </row>
    <row r="1690" spans="1:1" x14ac:dyDescent="0.2">
      <c r="A1690"/>
    </row>
    <row r="1691" spans="1:1" x14ac:dyDescent="0.2">
      <c r="A1691"/>
    </row>
    <row r="1692" spans="1:1" x14ac:dyDescent="0.2">
      <c r="A1692"/>
    </row>
    <row r="1693" spans="1:1" x14ac:dyDescent="0.2">
      <c r="A1693"/>
    </row>
    <row r="1694" spans="1:1" x14ac:dyDescent="0.2">
      <c r="A1694"/>
    </row>
    <row r="1695" spans="1:1" x14ac:dyDescent="0.2">
      <c r="A1695"/>
    </row>
    <row r="1696" spans="1:1" x14ac:dyDescent="0.2">
      <c r="A1696"/>
    </row>
    <row r="1697" spans="1:1" x14ac:dyDescent="0.2">
      <c r="A1697"/>
    </row>
    <row r="1698" spans="1:1" x14ac:dyDescent="0.2">
      <c r="A1698"/>
    </row>
    <row r="1699" spans="1:1" x14ac:dyDescent="0.2">
      <c r="A1699"/>
    </row>
    <row r="1700" spans="1:1" x14ac:dyDescent="0.2">
      <c r="A1700"/>
    </row>
    <row r="1701" spans="1:1" x14ac:dyDescent="0.2">
      <c r="A1701"/>
    </row>
    <row r="1702" spans="1:1" x14ac:dyDescent="0.2">
      <c r="A1702"/>
    </row>
    <row r="1703" spans="1:1" x14ac:dyDescent="0.2">
      <c r="A1703"/>
    </row>
    <row r="1704" spans="1:1" x14ac:dyDescent="0.2">
      <c r="A1704"/>
    </row>
    <row r="1705" spans="1:1" x14ac:dyDescent="0.2">
      <c r="A1705"/>
    </row>
    <row r="1706" spans="1:1" x14ac:dyDescent="0.2">
      <c r="A1706"/>
    </row>
    <row r="1707" spans="1:1" x14ac:dyDescent="0.2">
      <c r="A1707"/>
    </row>
    <row r="1708" spans="1:1" x14ac:dyDescent="0.2">
      <c r="A1708"/>
    </row>
    <row r="1709" spans="1:1" x14ac:dyDescent="0.2">
      <c r="A1709"/>
    </row>
    <row r="1710" spans="1:1" x14ac:dyDescent="0.2">
      <c r="A1710"/>
    </row>
    <row r="1711" spans="1:1" x14ac:dyDescent="0.2">
      <c r="A1711"/>
    </row>
    <row r="1712" spans="1:1" x14ac:dyDescent="0.2">
      <c r="A1712"/>
    </row>
    <row r="1713" spans="1:1" x14ac:dyDescent="0.2">
      <c r="A1713"/>
    </row>
    <row r="1714" spans="1:1" x14ac:dyDescent="0.2">
      <c r="A1714"/>
    </row>
    <row r="1715" spans="1:1" x14ac:dyDescent="0.2">
      <c r="A1715"/>
    </row>
    <row r="1716" spans="1:1" x14ac:dyDescent="0.2">
      <c r="A1716"/>
    </row>
    <row r="1717" spans="1:1" x14ac:dyDescent="0.2">
      <c r="A1717"/>
    </row>
    <row r="1718" spans="1:1" x14ac:dyDescent="0.2">
      <c r="A1718"/>
    </row>
    <row r="1719" spans="1:1" x14ac:dyDescent="0.2">
      <c r="A1719"/>
    </row>
    <row r="1720" spans="1:1" x14ac:dyDescent="0.2">
      <c r="A1720"/>
    </row>
    <row r="1721" spans="1:1" x14ac:dyDescent="0.2">
      <c r="A1721"/>
    </row>
    <row r="1722" spans="1:1" x14ac:dyDescent="0.2">
      <c r="A1722"/>
    </row>
    <row r="1723" spans="1:1" x14ac:dyDescent="0.2">
      <c r="A1723"/>
    </row>
    <row r="1724" spans="1:1" x14ac:dyDescent="0.2">
      <c r="A1724"/>
    </row>
    <row r="1725" spans="1:1" x14ac:dyDescent="0.2">
      <c r="A1725"/>
    </row>
    <row r="1726" spans="1:1" x14ac:dyDescent="0.2">
      <c r="A1726"/>
    </row>
    <row r="1727" spans="1:1" x14ac:dyDescent="0.2">
      <c r="A1727"/>
    </row>
    <row r="1728" spans="1:1" x14ac:dyDescent="0.2">
      <c r="A1728"/>
    </row>
    <row r="1729" spans="1:1" x14ac:dyDescent="0.2">
      <c r="A1729"/>
    </row>
    <row r="1730" spans="1:1" x14ac:dyDescent="0.2">
      <c r="A1730"/>
    </row>
    <row r="1731" spans="1:1" x14ac:dyDescent="0.2">
      <c r="A1731"/>
    </row>
    <row r="1732" spans="1:1" x14ac:dyDescent="0.2">
      <c r="A1732"/>
    </row>
    <row r="1733" spans="1:1" x14ac:dyDescent="0.2">
      <c r="A1733"/>
    </row>
    <row r="1734" spans="1:1" x14ac:dyDescent="0.2">
      <c r="A1734"/>
    </row>
    <row r="1735" spans="1:1" x14ac:dyDescent="0.2">
      <c r="A1735"/>
    </row>
    <row r="1736" spans="1:1" x14ac:dyDescent="0.2">
      <c r="A1736"/>
    </row>
    <row r="1737" spans="1:1" x14ac:dyDescent="0.2">
      <c r="A1737"/>
    </row>
    <row r="1738" spans="1:1" x14ac:dyDescent="0.2">
      <c r="A1738"/>
    </row>
    <row r="1739" spans="1:1" x14ac:dyDescent="0.2">
      <c r="A1739"/>
    </row>
    <row r="1740" spans="1:1" x14ac:dyDescent="0.2">
      <c r="A1740"/>
    </row>
    <row r="1741" spans="1:1" x14ac:dyDescent="0.2">
      <c r="A1741"/>
    </row>
    <row r="1742" spans="1:1" x14ac:dyDescent="0.2">
      <c r="A1742"/>
    </row>
    <row r="1743" spans="1:1" x14ac:dyDescent="0.2">
      <c r="A1743"/>
    </row>
    <row r="1744" spans="1:1" x14ac:dyDescent="0.2">
      <c r="A1744"/>
    </row>
    <row r="1745" spans="1:1" x14ac:dyDescent="0.2">
      <c r="A1745"/>
    </row>
    <row r="1746" spans="1:1" x14ac:dyDescent="0.2">
      <c r="A1746"/>
    </row>
    <row r="1747" spans="1:1" x14ac:dyDescent="0.2">
      <c r="A1747"/>
    </row>
    <row r="1748" spans="1:1" x14ac:dyDescent="0.2">
      <c r="A1748"/>
    </row>
    <row r="1749" spans="1:1" x14ac:dyDescent="0.2">
      <c r="A1749"/>
    </row>
    <row r="1750" spans="1:1" x14ac:dyDescent="0.2">
      <c r="A1750"/>
    </row>
    <row r="1751" spans="1:1" x14ac:dyDescent="0.2">
      <c r="A1751"/>
    </row>
    <row r="1752" spans="1:1" x14ac:dyDescent="0.2">
      <c r="A1752"/>
    </row>
    <row r="1753" spans="1:1" x14ac:dyDescent="0.2">
      <c r="A1753"/>
    </row>
    <row r="1754" spans="1:1" x14ac:dyDescent="0.2">
      <c r="A1754"/>
    </row>
    <row r="1755" spans="1:1" x14ac:dyDescent="0.2">
      <c r="A1755"/>
    </row>
    <row r="1756" spans="1:1" x14ac:dyDescent="0.2">
      <c r="A1756"/>
    </row>
    <row r="1757" spans="1:1" x14ac:dyDescent="0.2">
      <c r="A1757"/>
    </row>
    <row r="1758" spans="1:1" x14ac:dyDescent="0.2">
      <c r="A1758"/>
    </row>
    <row r="1759" spans="1:1" x14ac:dyDescent="0.2">
      <c r="A1759"/>
    </row>
    <row r="1760" spans="1:1" x14ac:dyDescent="0.2">
      <c r="A1760"/>
    </row>
    <row r="1761" spans="1:1" x14ac:dyDescent="0.2">
      <c r="A1761"/>
    </row>
    <row r="1762" spans="1:1" x14ac:dyDescent="0.2">
      <c r="A1762"/>
    </row>
    <row r="1763" spans="1:1" x14ac:dyDescent="0.2">
      <c r="A1763"/>
    </row>
    <row r="1764" spans="1:1" x14ac:dyDescent="0.2">
      <c r="A1764"/>
    </row>
    <row r="1765" spans="1:1" x14ac:dyDescent="0.2">
      <c r="A1765"/>
    </row>
    <row r="1766" spans="1:1" x14ac:dyDescent="0.2">
      <c r="A1766"/>
    </row>
    <row r="1767" spans="1:1" x14ac:dyDescent="0.2">
      <c r="A1767"/>
    </row>
    <row r="1768" spans="1:1" x14ac:dyDescent="0.2">
      <c r="A1768"/>
    </row>
    <row r="1769" spans="1:1" x14ac:dyDescent="0.2">
      <c r="A1769"/>
    </row>
    <row r="1770" spans="1:1" x14ac:dyDescent="0.2">
      <c r="A1770"/>
    </row>
    <row r="1771" spans="1:1" x14ac:dyDescent="0.2">
      <c r="A1771"/>
    </row>
    <row r="1772" spans="1:1" x14ac:dyDescent="0.2">
      <c r="A1772"/>
    </row>
    <row r="1773" spans="1:1" x14ac:dyDescent="0.2">
      <c r="A1773"/>
    </row>
    <row r="1774" spans="1:1" x14ac:dyDescent="0.2">
      <c r="A1774"/>
    </row>
    <row r="1775" spans="1:1" x14ac:dyDescent="0.2">
      <c r="A1775"/>
    </row>
    <row r="1776" spans="1:1" x14ac:dyDescent="0.2">
      <c r="A1776"/>
    </row>
    <row r="1777" spans="1:1" x14ac:dyDescent="0.2">
      <c r="A1777"/>
    </row>
    <row r="1778" spans="1:1" x14ac:dyDescent="0.2">
      <c r="A1778"/>
    </row>
    <row r="1779" spans="1:1" x14ac:dyDescent="0.2">
      <c r="A1779"/>
    </row>
    <row r="1780" spans="1:1" x14ac:dyDescent="0.2">
      <c r="A1780"/>
    </row>
    <row r="1781" spans="1:1" x14ac:dyDescent="0.2">
      <c r="A1781"/>
    </row>
    <row r="1782" spans="1:1" x14ac:dyDescent="0.2">
      <c r="A1782"/>
    </row>
    <row r="1783" spans="1:1" x14ac:dyDescent="0.2">
      <c r="A1783"/>
    </row>
    <row r="1784" spans="1:1" x14ac:dyDescent="0.2">
      <c r="A1784"/>
    </row>
    <row r="1785" spans="1:1" x14ac:dyDescent="0.2">
      <c r="A1785"/>
    </row>
    <row r="1786" spans="1:1" x14ac:dyDescent="0.2">
      <c r="A1786"/>
    </row>
    <row r="1787" spans="1:1" x14ac:dyDescent="0.2">
      <c r="A1787"/>
    </row>
    <row r="1788" spans="1:1" x14ac:dyDescent="0.2">
      <c r="A1788"/>
    </row>
    <row r="1789" spans="1:1" x14ac:dyDescent="0.2">
      <c r="A1789"/>
    </row>
    <row r="1790" spans="1:1" x14ac:dyDescent="0.2">
      <c r="A1790"/>
    </row>
    <row r="1791" spans="1:1" x14ac:dyDescent="0.2">
      <c r="A1791"/>
    </row>
    <row r="1792" spans="1:1" x14ac:dyDescent="0.2">
      <c r="A1792"/>
    </row>
    <row r="1793" spans="1:1" x14ac:dyDescent="0.2">
      <c r="A1793"/>
    </row>
    <row r="1794" spans="1:1" x14ac:dyDescent="0.2">
      <c r="A1794"/>
    </row>
    <row r="1795" spans="1:1" x14ac:dyDescent="0.2">
      <c r="A1795"/>
    </row>
    <row r="1796" spans="1:1" x14ac:dyDescent="0.2">
      <c r="A1796"/>
    </row>
    <row r="1797" spans="1:1" x14ac:dyDescent="0.2">
      <c r="A1797"/>
    </row>
    <row r="1798" spans="1:1" x14ac:dyDescent="0.2">
      <c r="A1798"/>
    </row>
    <row r="1799" spans="1:1" x14ac:dyDescent="0.2">
      <c r="A1799"/>
    </row>
    <row r="1800" spans="1:1" x14ac:dyDescent="0.2">
      <c r="A1800"/>
    </row>
    <row r="1801" spans="1:1" x14ac:dyDescent="0.2">
      <c r="A1801"/>
    </row>
    <row r="1802" spans="1:1" x14ac:dyDescent="0.2">
      <c r="A1802"/>
    </row>
    <row r="1803" spans="1:1" x14ac:dyDescent="0.2">
      <c r="A1803"/>
    </row>
    <row r="1804" spans="1:1" x14ac:dyDescent="0.2">
      <c r="A1804"/>
    </row>
    <row r="1805" spans="1:1" x14ac:dyDescent="0.2">
      <c r="A1805"/>
    </row>
    <row r="1806" spans="1:1" x14ac:dyDescent="0.2">
      <c r="A1806"/>
    </row>
    <row r="1807" spans="1:1" x14ac:dyDescent="0.2">
      <c r="A1807"/>
    </row>
    <row r="1808" spans="1:1" x14ac:dyDescent="0.2">
      <c r="A1808"/>
    </row>
    <row r="1809" spans="1:1" x14ac:dyDescent="0.2">
      <c r="A1809"/>
    </row>
    <row r="1810" spans="1:1" x14ac:dyDescent="0.2">
      <c r="A1810"/>
    </row>
    <row r="1811" spans="1:1" x14ac:dyDescent="0.2">
      <c r="A1811"/>
    </row>
    <row r="1812" spans="1:1" x14ac:dyDescent="0.2">
      <c r="A1812"/>
    </row>
    <row r="1813" spans="1:1" x14ac:dyDescent="0.2">
      <c r="A1813"/>
    </row>
    <row r="1814" spans="1:1" x14ac:dyDescent="0.2">
      <c r="A1814"/>
    </row>
    <row r="1815" spans="1:1" x14ac:dyDescent="0.2">
      <c r="A1815"/>
    </row>
    <row r="1816" spans="1:1" x14ac:dyDescent="0.2">
      <c r="A1816"/>
    </row>
    <row r="1817" spans="1:1" x14ac:dyDescent="0.2">
      <c r="A1817"/>
    </row>
    <row r="1818" spans="1:1" x14ac:dyDescent="0.2">
      <c r="A1818"/>
    </row>
    <row r="1819" spans="1:1" x14ac:dyDescent="0.2">
      <c r="A1819"/>
    </row>
    <row r="1820" spans="1:1" x14ac:dyDescent="0.2">
      <c r="A1820"/>
    </row>
    <row r="1821" spans="1:1" x14ac:dyDescent="0.2">
      <c r="A1821"/>
    </row>
    <row r="1822" spans="1:1" x14ac:dyDescent="0.2">
      <c r="A1822"/>
    </row>
    <row r="1823" spans="1:1" x14ac:dyDescent="0.2">
      <c r="A1823"/>
    </row>
    <row r="1824" spans="1:1" x14ac:dyDescent="0.2">
      <c r="A1824"/>
    </row>
    <row r="1825" spans="1:1" x14ac:dyDescent="0.2">
      <c r="A1825"/>
    </row>
    <row r="1826" spans="1:1" x14ac:dyDescent="0.2">
      <c r="A1826"/>
    </row>
    <row r="1827" spans="1:1" x14ac:dyDescent="0.2">
      <c r="A1827"/>
    </row>
    <row r="1828" spans="1:1" x14ac:dyDescent="0.2">
      <c r="A1828"/>
    </row>
    <row r="1829" spans="1:1" x14ac:dyDescent="0.2">
      <c r="A1829"/>
    </row>
    <row r="1830" spans="1:1" x14ac:dyDescent="0.2">
      <c r="A1830"/>
    </row>
    <row r="1831" spans="1:1" x14ac:dyDescent="0.2">
      <c r="A1831"/>
    </row>
    <row r="1832" spans="1:1" x14ac:dyDescent="0.2">
      <c r="A1832"/>
    </row>
    <row r="1833" spans="1:1" x14ac:dyDescent="0.2">
      <c r="A1833"/>
    </row>
    <row r="1834" spans="1:1" x14ac:dyDescent="0.2">
      <c r="A1834"/>
    </row>
    <row r="1835" spans="1:1" x14ac:dyDescent="0.2">
      <c r="A1835"/>
    </row>
    <row r="1836" spans="1:1" x14ac:dyDescent="0.2">
      <c r="A1836"/>
    </row>
    <row r="1837" spans="1:1" x14ac:dyDescent="0.2">
      <c r="A1837"/>
    </row>
    <row r="1838" spans="1:1" x14ac:dyDescent="0.2">
      <c r="A1838"/>
    </row>
    <row r="1839" spans="1:1" x14ac:dyDescent="0.2">
      <c r="A1839"/>
    </row>
    <row r="1840" spans="1:1" x14ac:dyDescent="0.2">
      <c r="A1840"/>
    </row>
    <row r="1841" spans="1:1" x14ac:dyDescent="0.2">
      <c r="A1841"/>
    </row>
    <row r="1842" spans="1:1" x14ac:dyDescent="0.2">
      <c r="A1842"/>
    </row>
    <row r="1843" spans="1:1" x14ac:dyDescent="0.2">
      <c r="A1843"/>
    </row>
    <row r="1844" spans="1:1" x14ac:dyDescent="0.2">
      <c r="A1844"/>
    </row>
    <row r="1845" spans="1:1" x14ac:dyDescent="0.2">
      <c r="A1845"/>
    </row>
    <row r="1846" spans="1:1" x14ac:dyDescent="0.2">
      <c r="A1846"/>
    </row>
    <row r="1847" spans="1:1" x14ac:dyDescent="0.2">
      <c r="A1847"/>
    </row>
    <row r="1848" spans="1:1" x14ac:dyDescent="0.2">
      <c r="A1848"/>
    </row>
    <row r="1849" spans="1:1" x14ac:dyDescent="0.2">
      <c r="A1849"/>
    </row>
    <row r="1850" spans="1:1" x14ac:dyDescent="0.2">
      <c r="A1850"/>
    </row>
    <row r="1851" spans="1:1" x14ac:dyDescent="0.2">
      <c r="A1851"/>
    </row>
    <row r="1852" spans="1:1" x14ac:dyDescent="0.2">
      <c r="A1852"/>
    </row>
    <row r="1853" spans="1:1" x14ac:dyDescent="0.2">
      <c r="A1853"/>
    </row>
    <row r="1854" spans="1:1" x14ac:dyDescent="0.2">
      <c r="A1854"/>
    </row>
    <row r="1855" spans="1:1" x14ac:dyDescent="0.2">
      <c r="A1855"/>
    </row>
    <row r="1856" spans="1:1" x14ac:dyDescent="0.2">
      <c r="A1856"/>
    </row>
    <row r="1857" spans="1:1" x14ac:dyDescent="0.2">
      <c r="A1857"/>
    </row>
    <row r="1858" spans="1:1" x14ac:dyDescent="0.2">
      <c r="A1858"/>
    </row>
    <row r="1859" spans="1:1" x14ac:dyDescent="0.2">
      <c r="A1859"/>
    </row>
    <row r="1860" spans="1:1" x14ac:dyDescent="0.2">
      <c r="A1860"/>
    </row>
    <row r="1861" spans="1:1" x14ac:dyDescent="0.2">
      <c r="A1861"/>
    </row>
    <row r="1862" spans="1:1" x14ac:dyDescent="0.2">
      <c r="A1862"/>
    </row>
    <row r="1863" spans="1:1" x14ac:dyDescent="0.2">
      <c r="A1863"/>
    </row>
    <row r="1864" spans="1:1" x14ac:dyDescent="0.2">
      <c r="A1864"/>
    </row>
    <row r="1865" spans="1:1" x14ac:dyDescent="0.2">
      <c r="A1865"/>
    </row>
    <row r="1866" spans="1:1" x14ac:dyDescent="0.2">
      <c r="A1866"/>
    </row>
    <row r="1867" spans="1:1" x14ac:dyDescent="0.2">
      <c r="A1867"/>
    </row>
  </sheetData>
  <conditionalFormatting sqref="A2">
    <cfRule type="duplicateValues" dxfId="3" priority="14"/>
  </conditionalFormatting>
  <conditionalFormatting sqref="A1:A1124 A1868:A1048576">
    <cfRule type="duplicateValues" dxfId="2" priority="13"/>
  </conditionalFormatting>
  <conditionalFormatting sqref="A1125">
    <cfRule type="duplicateValues" dxfId="1" priority="1"/>
  </conditionalFormatting>
  <conditionalFormatting sqref="A1125">
    <cfRule type="duplicateValues" dxfId="0" priority="2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"/>
  <sheetViews>
    <sheetView workbookViewId="0">
      <selection activeCell="K18" sqref="K18"/>
    </sheetView>
  </sheetViews>
  <sheetFormatPr baseColWidth="10" defaultRowHeight="15" x14ac:dyDescent="0.2"/>
  <cols>
    <col min="7" max="8" width="12.83203125" bestFit="1" customWidth="1"/>
  </cols>
  <sheetData>
    <row r="1" spans="1:8" ht="26" x14ac:dyDescent="0.3">
      <c r="A1" s="23" t="s">
        <v>39</v>
      </c>
    </row>
    <row r="2" spans="1:8" x14ac:dyDescent="0.2">
      <c r="A2" s="14"/>
      <c r="B2" s="25" t="s">
        <v>36</v>
      </c>
      <c r="C2" s="25"/>
      <c r="G2" t="s">
        <v>36</v>
      </c>
    </row>
    <row r="3" spans="1:8" x14ac:dyDescent="0.2">
      <c r="A3" s="14"/>
      <c r="B3" s="14" t="s">
        <v>37</v>
      </c>
      <c r="C3" s="14" t="s">
        <v>38</v>
      </c>
      <c r="G3" t="s">
        <v>37</v>
      </c>
      <c r="H3" t="s">
        <v>38</v>
      </c>
    </row>
    <row r="4" spans="1:8" x14ac:dyDescent="0.2">
      <c r="A4" s="14">
        <v>2000</v>
      </c>
      <c r="B4" s="14">
        <v>6000000</v>
      </c>
      <c r="C4" s="14">
        <v>20400000</v>
      </c>
      <c r="F4">
        <v>2000</v>
      </c>
      <c r="G4" s="22">
        <v>6000000</v>
      </c>
      <c r="H4" s="22">
        <v>20400000</v>
      </c>
    </row>
    <row r="5" spans="1:8" x14ac:dyDescent="0.2">
      <c r="A5" s="14">
        <v>2001</v>
      </c>
      <c r="B5" s="14">
        <f ca="1">B4+RANDBETWEEN(B4*0.018,B4*0.022)</f>
        <v>6123891</v>
      </c>
      <c r="C5" s="14">
        <f ca="1">C4+RANDBETWEEN(C4*0.018,C4*0.022)</f>
        <v>20813779</v>
      </c>
      <c r="F5">
        <v>2001</v>
      </c>
      <c r="G5" s="22">
        <v>6125876</v>
      </c>
      <c r="H5" s="22">
        <v>20846516</v>
      </c>
    </row>
    <row r="6" spans="1:8" x14ac:dyDescent="0.2">
      <c r="A6" s="14">
        <v>2002</v>
      </c>
      <c r="B6" s="14">
        <f t="shared" ref="B6:B30" ca="1" si="0">B5+RANDBETWEEN(B5*0.018,B5*0.022)</f>
        <v>6256269</v>
      </c>
      <c r="C6" s="14">
        <f t="shared" ref="C6:C30" ca="1" si="1">C5+RANDBETWEEN(C5*0.018,C5*0.022)</f>
        <v>21198962</v>
      </c>
      <c r="F6">
        <v>2002</v>
      </c>
      <c r="G6" s="22">
        <v>6253454</v>
      </c>
      <c r="H6" s="22">
        <v>21289483</v>
      </c>
    </row>
    <row r="7" spans="1:8" x14ac:dyDescent="0.2">
      <c r="A7" s="14">
        <v>2003</v>
      </c>
      <c r="B7" s="14">
        <f t="shared" ca="1" si="0"/>
        <v>6379218</v>
      </c>
      <c r="C7" s="14">
        <f t="shared" ca="1" si="1"/>
        <v>21604179</v>
      </c>
      <c r="F7">
        <v>2003</v>
      </c>
      <c r="G7" s="22">
        <v>6373381</v>
      </c>
      <c r="H7" s="22">
        <v>21740639</v>
      </c>
    </row>
    <row r="8" spans="1:8" x14ac:dyDescent="0.2">
      <c r="A8" s="14">
        <v>2004</v>
      </c>
      <c r="B8" s="14">
        <f t="shared" ca="1" si="0"/>
        <v>6516765</v>
      </c>
      <c r="C8" s="14">
        <f t="shared" ca="1" si="1"/>
        <v>22024258</v>
      </c>
      <c r="F8">
        <v>2004</v>
      </c>
      <c r="G8" s="22">
        <v>6501509</v>
      </c>
      <c r="H8" s="22">
        <v>22206007</v>
      </c>
    </row>
    <row r="9" spans="1:8" x14ac:dyDescent="0.2">
      <c r="A9" s="14">
        <v>2005</v>
      </c>
      <c r="B9" s="14">
        <f t="shared" ca="1" si="0"/>
        <v>6636509</v>
      </c>
      <c r="C9" s="14">
        <f t="shared" ca="1" si="1"/>
        <v>22469748</v>
      </c>
      <c r="F9">
        <v>2005</v>
      </c>
      <c r="G9" s="22">
        <v>6643962</v>
      </c>
      <c r="H9" s="22">
        <v>22658115</v>
      </c>
    </row>
    <row r="10" spans="1:8" x14ac:dyDescent="0.2">
      <c r="A10" s="14">
        <v>2006</v>
      </c>
      <c r="B10" s="14">
        <f t="shared" ca="1" si="0"/>
        <v>6775580</v>
      </c>
      <c r="C10" s="14">
        <f t="shared" ca="1" si="1"/>
        <v>22900646</v>
      </c>
      <c r="F10">
        <v>2006</v>
      </c>
      <c r="G10" s="22">
        <v>6772797</v>
      </c>
      <c r="H10" s="22">
        <v>23069186</v>
      </c>
    </row>
    <row r="11" spans="1:8" x14ac:dyDescent="0.2">
      <c r="A11" s="14">
        <v>2007</v>
      </c>
      <c r="B11" s="14">
        <f t="shared" ca="1" si="0"/>
        <v>6924298</v>
      </c>
      <c r="C11" s="14">
        <f t="shared" ca="1" si="1"/>
        <v>23382768</v>
      </c>
      <c r="F11">
        <v>2007</v>
      </c>
      <c r="G11" s="22">
        <v>6915879</v>
      </c>
      <c r="H11" s="22">
        <v>23511307</v>
      </c>
    </row>
    <row r="12" spans="1:8" x14ac:dyDescent="0.2">
      <c r="A12" s="14">
        <v>2008</v>
      </c>
      <c r="B12" s="14">
        <f t="shared" ca="1" si="0"/>
        <v>7057790</v>
      </c>
      <c r="C12" s="14">
        <f t="shared" ca="1" si="1"/>
        <v>23881958</v>
      </c>
      <c r="F12">
        <v>2008</v>
      </c>
      <c r="G12" s="22">
        <v>7053031</v>
      </c>
      <c r="H12" s="22">
        <v>23956311</v>
      </c>
    </row>
    <row r="13" spans="1:8" x14ac:dyDescent="0.2">
      <c r="A13" s="14">
        <v>2009</v>
      </c>
      <c r="B13" s="14">
        <f t="shared" ca="1" si="0"/>
        <v>7203044</v>
      </c>
      <c r="C13" s="14">
        <f t="shared" ca="1" si="1"/>
        <v>24368454</v>
      </c>
      <c r="F13">
        <v>2009</v>
      </c>
      <c r="G13" s="22">
        <v>7183669</v>
      </c>
      <c r="H13" s="22">
        <v>24424463</v>
      </c>
    </row>
    <row r="14" spans="1:8" x14ac:dyDescent="0.2">
      <c r="A14" s="14">
        <v>2010</v>
      </c>
      <c r="B14" s="14">
        <f t="shared" ca="1" si="0"/>
        <v>7336153</v>
      </c>
      <c r="C14" s="14">
        <f t="shared" ca="1" si="1"/>
        <v>24867312</v>
      </c>
      <c r="F14">
        <v>2010</v>
      </c>
      <c r="G14" s="22">
        <v>7325867</v>
      </c>
      <c r="H14" s="22">
        <v>24883578</v>
      </c>
    </row>
    <row r="15" spans="1:8" x14ac:dyDescent="0.2">
      <c r="A15" s="14">
        <v>2011</v>
      </c>
      <c r="B15" s="14">
        <f t="shared" ca="1" si="0"/>
        <v>7482119</v>
      </c>
      <c r="C15" s="14">
        <f t="shared" ca="1" si="1"/>
        <v>25401409</v>
      </c>
      <c r="F15">
        <v>2011</v>
      </c>
      <c r="G15" s="22">
        <v>7485426</v>
      </c>
      <c r="H15" s="22">
        <v>25368987</v>
      </c>
    </row>
    <row r="16" spans="1:8" x14ac:dyDescent="0.2">
      <c r="A16" s="14">
        <v>2012</v>
      </c>
      <c r="B16" s="14">
        <f t="shared" ca="1" si="0"/>
        <v>7643194</v>
      </c>
      <c r="C16" s="14">
        <f t="shared" ca="1" si="1"/>
        <v>25936208</v>
      </c>
      <c r="F16">
        <v>2012</v>
      </c>
      <c r="G16" s="22">
        <v>7637847</v>
      </c>
      <c r="H16" s="22">
        <v>25858973</v>
      </c>
    </row>
    <row r="17" spans="1:8" x14ac:dyDescent="0.2">
      <c r="A17" s="14">
        <v>2013</v>
      </c>
      <c r="B17" s="14">
        <f t="shared" ca="1" si="0"/>
        <v>7810176</v>
      </c>
      <c r="C17" s="14">
        <f t="shared" ca="1" si="1"/>
        <v>26439680</v>
      </c>
      <c r="F17">
        <v>2013</v>
      </c>
      <c r="G17" s="22">
        <v>7788748</v>
      </c>
      <c r="H17" s="22">
        <v>26421369</v>
      </c>
    </row>
    <row r="18" spans="1:8" x14ac:dyDescent="0.2">
      <c r="A18" s="14">
        <v>2014</v>
      </c>
      <c r="B18" s="14">
        <f t="shared" ca="1" si="0"/>
        <v>7969479</v>
      </c>
      <c r="C18" s="14">
        <f t="shared" ca="1" si="1"/>
        <v>27006751</v>
      </c>
      <c r="F18">
        <v>2014</v>
      </c>
      <c r="G18" s="22">
        <v>7954677</v>
      </c>
      <c r="H18" s="22">
        <v>26934795</v>
      </c>
    </row>
    <row r="19" spans="1:8" x14ac:dyDescent="0.2">
      <c r="A19" s="14">
        <v>2015</v>
      </c>
      <c r="B19" s="14">
        <f t="shared" ca="1" si="0"/>
        <v>8123903</v>
      </c>
      <c r="C19" s="14">
        <f t="shared" ca="1" si="1"/>
        <v>27578873</v>
      </c>
      <c r="F19">
        <v>2015</v>
      </c>
      <c r="G19" s="22">
        <v>8106241</v>
      </c>
      <c r="H19" s="22">
        <v>27470650</v>
      </c>
    </row>
    <row r="20" spans="1:8" x14ac:dyDescent="0.2">
      <c r="A20" s="14">
        <v>2016</v>
      </c>
      <c r="B20" s="14">
        <f t="shared" ca="1" si="0"/>
        <v>8294610</v>
      </c>
      <c r="C20" s="14">
        <f t="shared" ca="1" si="1"/>
        <v>28080673</v>
      </c>
      <c r="F20">
        <v>2016</v>
      </c>
      <c r="G20" s="22">
        <v>8281201</v>
      </c>
      <c r="H20" s="22">
        <v>28060885</v>
      </c>
    </row>
    <row r="21" spans="1:8" x14ac:dyDescent="0.2">
      <c r="A21" s="14">
        <v>2017</v>
      </c>
      <c r="B21" s="14">
        <f t="shared" ca="1" si="0"/>
        <v>8461126</v>
      </c>
      <c r="C21" s="14">
        <f t="shared" ca="1" si="1"/>
        <v>28657406</v>
      </c>
      <c r="F21">
        <v>2017</v>
      </c>
      <c r="G21" s="22">
        <v>8446120</v>
      </c>
      <c r="H21" s="22">
        <v>28576468</v>
      </c>
    </row>
    <row r="22" spans="1:8" x14ac:dyDescent="0.2">
      <c r="A22" s="14">
        <v>2018</v>
      </c>
      <c r="B22" s="14">
        <f t="shared" ca="1" si="0"/>
        <v>8644565</v>
      </c>
      <c r="C22" s="14">
        <f t="shared" ca="1" si="1"/>
        <v>29260831</v>
      </c>
      <c r="F22">
        <v>2018</v>
      </c>
      <c r="G22" s="22">
        <v>8609308</v>
      </c>
      <c r="H22" s="22">
        <v>29144360</v>
      </c>
    </row>
    <row r="23" spans="1:8" x14ac:dyDescent="0.2">
      <c r="A23" s="14">
        <v>2019</v>
      </c>
      <c r="B23" s="14">
        <f t="shared" ca="1" si="0"/>
        <v>8832602</v>
      </c>
      <c r="C23" s="14">
        <f t="shared" ca="1" si="1"/>
        <v>29866835</v>
      </c>
      <c r="F23">
        <v>2019</v>
      </c>
      <c r="G23" s="22">
        <v>8780717</v>
      </c>
      <c r="H23" s="22">
        <v>29752418</v>
      </c>
    </row>
    <row r="24" spans="1:8" x14ac:dyDescent="0.2">
      <c r="A24" s="14">
        <v>2020</v>
      </c>
      <c r="B24" s="14">
        <f t="shared" ca="1" si="0"/>
        <v>8996466</v>
      </c>
      <c r="C24" s="14">
        <f t="shared" ca="1" si="1"/>
        <v>30465929</v>
      </c>
      <c r="F24">
        <v>2020</v>
      </c>
      <c r="G24" s="22">
        <v>8955199</v>
      </c>
      <c r="H24" s="22">
        <v>30347751</v>
      </c>
    </row>
    <row r="25" spans="1:8" x14ac:dyDescent="0.2">
      <c r="A25" s="14">
        <v>2021</v>
      </c>
      <c r="B25" s="14">
        <f t="shared" ca="1" si="0"/>
        <v>9189572</v>
      </c>
      <c r="C25" s="14">
        <f t="shared" ca="1" si="1"/>
        <v>31047444</v>
      </c>
      <c r="F25">
        <v>2021</v>
      </c>
      <c r="G25" s="22">
        <v>9125420</v>
      </c>
      <c r="H25" s="22">
        <v>30940876</v>
      </c>
    </row>
    <row r="26" spans="1:8" x14ac:dyDescent="0.2">
      <c r="A26" s="14">
        <v>2022</v>
      </c>
      <c r="B26" s="14">
        <f t="shared" ca="1" si="0"/>
        <v>9372961</v>
      </c>
      <c r="C26" s="14">
        <f t="shared" ca="1" si="1"/>
        <v>31655915</v>
      </c>
      <c r="F26">
        <v>2022</v>
      </c>
      <c r="G26" s="22">
        <v>9319802</v>
      </c>
      <c r="H26" s="22">
        <v>31570674</v>
      </c>
    </row>
    <row r="27" spans="1:8" x14ac:dyDescent="0.2">
      <c r="A27" s="14">
        <v>2023</v>
      </c>
      <c r="B27" s="14">
        <f t="shared" ca="1" si="0"/>
        <v>9571042</v>
      </c>
      <c r="C27" s="14">
        <f t="shared" ca="1" si="1"/>
        <v>32330830</v>
      </c>
      <c r="F27">
        <v>2023</v>
      </c>
      <c r="G27" s="22">
        <v>9501900</v>
      </c>
      <c r="H27" s="22">
        <v>32227472</v>
      </c>
    </row>
    <row r="28" spans="1:8" x14ac:dyDescent="0.2">
      <c r="A28" s="14">
        <v>2024</v>
      </c>
      <c r="B28" s="14">
        <f t="shared" ca="1" si="0"/>
        <v>9756571</v>
      </c>
      <c r="C28" s="14">
        <f t="shared" ca="1" si="1"/>
        <v>33015214</v>
      </c>
      <c r="F28">
        <v>2024</v>
      </c>
      <c r="G28" s="22">
        <v>9698840</v>
      </c>
      <c r="H28" s="22">
        <v>32877095</v>
      </c>
    </row>
    <row r="29" spans="1:8" x14ac:dyDescent="0.2">
      <c r="A29" s="14">
        <v>2025</v>
      </c>
      <c r="B29" s="14">
        <f t="shared" ca="1" si="0"/>
        <v>9943512</v>
      </c>
      <c r="C29" s="14">
        <f t="shared" ca="1" si="1"/>
        <v>33612890</v>
      </c>
      <c r="F29">
        <v>2025</v>
      </c>
      <c r="G29" s="22">
        <v>9835811</v>
      </c>
      <c r="H29" s="22">
        <v>33329856</v>
      </c>
    </row>
    <row r="30" spans="1:8" x14ac:dyDescent="0.2">
      <c r="A30" s="14">
        <v>2026</v>
      </c>
      <c r="B30" s="14">
        <f t="shared" ca="1" si="0"/>
        <v>10151919</v>
      </c>
      <c r="C30" s="14">
        <f t="shared" ca="1" si="1"/>
        <v>34250709</v>
      </c>
      <c r="F30">
        <v>2026</v>
      </c>
      <c r="G30" s="22">
        <v>10028882</v>
      </c>
      <c r="H30" s="22">
        <v>34030861</v>
      </c>
    </row>
  </sheetData>
  <mergeCells count="1">
    <mergeCell ref="B2:C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showGridLines="0" workbookViewId="0">
      <selection activeCell="G40" sqref="G40"/>
    </sheetView>
  </sheetViews>
  <sheetFormatPr baseColWidth="10" defaultRowHeight="15" x14ac:dyDescent="0.2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1</vt:lpstr>
      <vt:lpstr>2</vt:lpstr>
      <vt:lpstr>3</vt:lpstr>
      <vt:lpstr>4</vt:lpstr>
      <vt:lpstr>5 pivotchart</vt:lpstr>
      <vt:lpstr>Correlation</vt:lpstr>
      <vt:lpstr>Forecast</vt:lpstr>
      <vt:lpstr> Final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Loiq Mirov</dc:creator>
  <cp:lastModifiedBy>Microsoft Office User</cp:lastModifiedBy>
  <dcterms:created xsi:type="dcterms:W3CDTF">2021-07-18T15:59:18Z</dcterms:created>
  <dcterms:modified xsi:type="dcterms:W3CDTF">2023-03-17T16:57:35Z</dcterms:modified>
</cp:coreProperties>
</file>